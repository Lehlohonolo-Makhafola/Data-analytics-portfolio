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itshealth-my.sharepoint.com/personal/lehlogonolo_makhafola_witshealth_co_za/Documents/Data analyst portfolio/Credit card dashboard/"/>
    </mc:Choice>
  </mc:AlternateContent>
  <xr:revisionPtr revIDLastSave="2577" documentId="8_{906A0643-F8F2-47B7-A5A3-6A4CF1B67406}" xr6:coauthVersionLast="47" xr6:coauthVersionMax="47" xr10:uidLastSave="{1BD040EF-8A56-4FE2-B5C5-BD74C3602054}"/>
  <bookViews>
    <workbookView xWindow="28680" yWindow="-120" windowWidth="29040" windowHeight="15720" activeTab="2" xr2:uid="{00000000-000D-0000-FFFF-FFFF00000000}"/>
  </bookViews>
  <sheets>
    <sheet name="Sheet1" sheetId="7" r:id="rId1"/>
    <sheet name="Pivot table" sheetId="5" r:id="rId2"/>
    <sheet name="Dashboard" sheetId="6" r:id="rId3"/>
    <sheet name="Transactions_Cleaned" sheetId="1" r:id="rId4"/>
    <sheet name="Cardholders_Reference" sheetId="2" r:id="rId5"/>
    <sheet name="Issues log" sheetId="3" r:id="rId6"/>
  </sheets>
  <definedNames>
    <definedName name="_xlnm._FilterDatabase" localSheetId="4" hidden="1">Cardholders_Reference!$A$4:$G$66</definedName>
    <definedName name="_xlnm._FilterDatabase" localSheetId="3" hidden="1">Transactions_Cleaned!$A$1:$X$739</definedName>
    <definedName name="NativeTimeline_Date">#N/A</definedName>
    <definedName name="Slicer_Card_Network">#N/A</definedName>
    <definedName name="Slicer_Category">#N/A</definedName>
    <definedName name="Slicer_Channel">#N/A</definedName>
    <definedName name="Slicer_City">#N/A</definedName>
    <definedName name="Slicer_Risk_Level">#N/A</definedName>
  </definedNames>
  <calcPr calcId="191029"/>
  <pivotCaches>
    <pivotCache cacheId="7"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2" i="1"/>
  <c r="L5" i="1"/>
  <c r="R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2"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2" i="1"/>
  <c r="L2" i="1"/>
  <c r="L3"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2" i="1"/>
  <c r="M3" i="1"/>
  <c r="P3" i="1" s="1"/>
  <c r="T4" i="1" s="1"/>
  <c r="M4" i="1"/>
  <c r="P4" i="1" s="1"/>
  <c r="T5" i="1" s="1"/>
  <c r="M5" i="1"/>
  <c r="P5" i="1" s="1"/>
  <c r="T6" i="1" s="1"/>
  <c r="M6" i="1"/>
  <c r="P6" i="1" s="1"/>
  <c r="T7" i="1" s="1"/>
  <c r="M7" i="1"/>
  <c r="P7" i="1" s="1"/>
  <c r="T8" i="1" s="1"/>
  <c r="M8" i="1"/>
  <c r="P8" i="1" s="1"/>
  <c r="T9" i="1" s="1"/>
  <c r="M9" i="1"/>
  <c r="P9" i="1" s="1"/>
  <c r="T10" i="1" s="1"/>
  <c r="M10" i="1"/>
  <c r="P10" i="1" s="1"/>
  <c r="T11" i="1" s="1"/>
  <c r="M11" i="1"/>
  <c r="P11" i="1" s="1"/>
  <c r="T12" i="1" s="1"/>
  <c r="M12" i="1"/>
  <c r="P12" i="1" s="1"/>
  <c r="T13" i="1" s="1"/>
  <c r="M13" i="1"/>
  <c r="P13" i="1" s="1"/>
  <c r="T14" i="1" s="1"/>
  <c r="M14" i="1"/>
  <c r="P14" i="1" s="1"/>
  <c r="T15" i="1" s="1"/>
  <c r="M15" i="1"/>
  <c r="P15" i="1" s="1"/>
  <c r="T16" i="1" s="1"/>
  <c r="M16" i="1"/>
  <c r="P16" i="1" s="1"/>
  <c r="T17" i="1" s="1"/>
  <c r="M17" i="1"/>
  <c r="P17" i="1" s="1"/>
  <c r="T18" i="1" s="1"/>
  <c r="M18" i="1"/>
  <c r="P18" i="1" s="1"/>
  <c r="T19" i="1" s="1"/>
  <c r="M19" i="1"/>
  <c r="P19" i="1" s="1"/>
  <c r="T20" i="1" s="1"/>
  <c r="M20" i="1"/>
  <c r="P20" i="1" s="1"/>
  <c r="T21" i="1" s="1"/>
  <c r="M21" i="1"/>
  <c r="P21" i="1" s="1"/>
  <c r="T22" i="1" s="1"/>
  <c r="M22" i="1"/>
  <c r="P22" i="1" s="1"/>
  <c r="T23" i="1" s="1"/>
  <c r="M23" i="1"/>
  <c r="P23" i="1" s="1"/>
  <c r="T24" i="1" s="1"/>
  <c r="M24" i="1"/>
  <c r="P24" i="1" s="1"/>
  <c r="T25" i="1" s="1"/>
  <c r="M25" i="1"/>
  <c r="P25" i="1" s="1"/>
  <c r="T26" i="1" s="1"/>
  <c r="M26" i="1"/>
  <c r="P26" i="1" s="1"/>
  <c r="T27" i="1" s="1"/>
  <c r="M27" i="1"/>
  <c r="P27" i="1" s="1"/>
  <c r="T28" i="1" s="1"/>
  <c r="M28" i="1"/>
  <c r="P28" i="1" s="1"/>
  <c r="T29" i="1" s="1"/>
  <c r="M29" i="1"/>
  <c r="P29" i="1" s="1"/>
  <c r="T30" i="1" s="1"/>
  <c r="M30" i="1"/>
  <c r="P30" i="1" s="1"/>
  <c r="T31" i="1" s="1"/>
  <c r="M31" i="1"/>
  <c r="P31" i="1" s="1"/>
  <c r="T32" i="1" s="1"/>
  <c r="M32" i="1"/>
  <c r="P32" i="1" s="1"/>
  <c r="T33" i="1" s="1"/>
  <c r="M33" i="1"/>
  <c r="P33" i="1" s="1"/>
  <c r="T34" i="1" s="1"/>
  <c r="M34" i="1"/>
  <c r="P34" i="1" s="1"/>
  <c r="T35" i="1" s="1"/>
  <c r="M35" i="1"/>
  <c r="P35" i="1" s="1"/>
  <c r="T36" i="1" s="1"/>
  <c r="M36" i="1"/>
  <c r="P36" i="1" s="1"/>
  <c r="T37" i="1" s="1"/>
  <c r="M37" i="1"/>
  <c r="P37" i="1" s="1"/>
  <c r="T38" i="1" s="1"/>
  <c r="M38" i="1"/>
  <c r="P38" i="1" s="1"/>
  <c r="T39" i="1" s="1"/>
  <c r="M39" i="1"/>
  <c r="P39" i="1" s="1"/>
  <c r="T40" i="1" s="1"/>
  <c r="M40" i="1"/>
  <c r="P40" i="1" s="1"/>
  <c r="T41" i="1" s="1"/>
  <c r="M41" i="1"/>
  <c r="P41" i="1" s="1"/>
  <c r="T42" i="1" s="1"/>
  <c r="M42" i="1"/>
  <c r="P42" i="1" s="1"/>
  <c r="T43" i="1" s="1"/>
  <c r="M43" i="1"/>
  <c r="P43" i="1" s="1"/>
  <c r="T44" i="1" s="1"/>
  <c r="M44" i="1"/>
  <c r="P44" i="1" s="1"/>
  <c r="T45" i="1" s="1"/>
  <c r="M45" i="1"/>
  <c r="P45" i="1" s="1"/>
  <c r="T46" i="1" s="1"/>
  <c r="M46" i="1"/>
  <c r="P46" i="1" s="1"/>
  <c r="T47" i="1" s="1"/>
  <c r="M47" i="1"/>
  <c r="P47" i="1" s="1"/>
  <c r="T48" i="1" s="1"/>
  <c r="M48" i="1"/>
  <c r="P48" i="1" s="1"/>
  <c r="T49" i="1" s="1"/>
  <c r="M49" i="1"/>
  <c r="P49" i="1" s="1"/>
  <c r="T50" i="1" s="1"/>
  <c r="M50" i="1"/>
  <c r="P50" i="1" s="1"/>
  <c r="T51" i="1" s="1"/>
  <c r="M51" i="1"/>
  <c r="P51" i="1" s="1"/>
  <c r="T52" i="1" s="1"/>
  <c r="M52" i="1"/>
  <c r="P52" i="1" s="1"/>
  <c r="T53" i="1" s="1"/>
  <c r="M53" i="1"/>
  <c r="P53" i="1" s="1"/>
  <c r="T54" i="1" s="1"/>
  <c r="M54" i="1"/>
  <c r="P54" i="1" s="1"/>
  <c r="T55" i="1" s="1"/>
  <c r="M55" i="1"/>
  <c r="P55" i="1" s="1"/>
  <c r="T56" i="1" s="1"/>
  <c r="M56" i="1"/>
  <c r="P56" i="1" s="1"/>
  <c r="T57" i="1" s="1"/>
  <c r="M57" i="1"/>
  <c r="P57" i="1" s="1"/>
  <c r="T58" i="1" s="1"/>
  <c r="M58" i="1"/>
  <c r="P58" i="1" s="1"/>
  <c r="T59" i="1" s="1"/>
  <c r="M59" i="1"/>
  <c r="P59" i="1" s="1"/>
  <c r="T60" i="1" s="1"/>
  <c r="M60" i="1"/>
  <c r="P60" i="1" s="1"/>
  <c r="T61" i="1" s="1"/>
  <c r="M61" i="1"/>
  <c r="P61" i="1" s="1"/>
  <c r="T62" i="1" s="1"/>
  <c r="M62" i="1"/>
  <c r="P62" i="1" s="1"/>
  <c r="T63" i="1" s="1"/>
  <c r="M63" i="1"/>
  <c r="P63" i="1" s="1"/>
  <c r="T64" i="1" s="1"/>
  <c r="M64" i="1"/>
  <c r="P64" i="1" s="1"/>
  <c r="T65" i="1" s="1"/>
  <c r="M65" i="1"/>
  <c r="P65" i="1" s="1"/>
  <c r="T66" i="1" s="1"/>
  <c r="M66" i="1"/>
  <c r="P66" i="1" s="1"/>
  <c r="T67" i="1" s="1"/>
  <c r="M67" i="1"/>
  <c r="P67" i="1" s="1"/>
  <c r="T68" i="1" s="1"/>
  <c r="M68" i="1"/>
  <c r="P68" i="1" s="1"/>
  <c r="T69" i="1" s="1"/>
  <c r="M69" i="1"/>
  <c r="P69" i="1" s="1"/>
  <c r="T70" i="1" s="1"/>
  <c r="M70" i="1"/>
  <c r="P70" i="1" s="1"/>
  <c r="T71" i="1" s="1"/>
  <c r="M71" i="1"/>
  <c r="P71" i="1" s="1"/>
  <c r="T72" i="1" s="1"/>
  <c r="M72" i="1"/>
  <c r="P72" i="1" s="1"/>
  <c r="T73" i="1" s="1"/>
  <c r="M73" i="1"/>
  <c r="P73" i="1" s="1"/>
  <c r="T74" i="1" s="1"/>
  <c r="M74" i="1"/>
  <c r="P74" i="1" s="1"/>
  <c r="T75" i="1" s="1"/>
  <c r="M75" i="1"/>
  <c r="P75" i="1" s="1"/>
  <c r="T76" i="1" s="1"/>
  <c r="M76" i="1"/>
  <c r="P76" i="1" s="1"/>
  <c r="T77" i="1" s="1"/>
  <c r="M77" i="1"/>
  <c r="P77" i="1" s="1"/>
  <c r="T78" i="1" s="1"/>
  <c r="M78" i="1"/>
  <c r="P78" i="1" s="1"/>
  <c r="T79" i="1" s="1"/>
  <c r="M79" i="1"/>
  <c r="P79" i="1" s="1"/>
  <c r="T80" i="1" s="1"/>
  <c r="M80" i="1"/>
  <c r="P80" i="1" s="1"/>
  <c r="T81" i="1" s="1"/>
  <c r="M81" i="1"/>
  <c r="P81" i="1" s="1"/>
  <c r="T82" i="1" s="1"/>
  <c r="M82" i="1"/>
  <c r="P82" i="1" s="1"/>
  <c r="T83" i="1" s="1"/>
  <c r="M83" i="1"/>
  <c r="P83" i="1" s="1"/>
  <c r="T84" i="1" s="1"/>
  <c r="M84" i="1"/>
  <c r="P84" i="1" s="1"/>
  <c r="T85" i="1" s="1"/>
  <c r="M85" i="1"/>
  <c r="P85" i="1" s="1"/>
  <c r="T86" i="1" s="1"/>
  <c r="M86" i="1"/>
  <c r="P86" i="1" s="1"/>
  <c r="T87" i="1" s="1"/>
  <c r="M87" i="1"/>
  <c r="P87" i="1" s="1"/>
  <c r="T88" i="1" s="1"/>
  <c r="M88" i="1"/>
  <c r="P88" i="1" s="1"/>
  <c r="T89" i="1" s="1"/>
  <c r="M89" i="1"/>
  <c r="P89" i="1" s="1"/>
  <c r="T90" i="1" s="1"/>
  <c r="M90" i="1"/>
  <c r="P90" i="1" s="1"/>
  <c r="T91" i="1" s="1"/>
  <c r="M91" i="1"/>
  <c r="P91" i="1" s="1"/>
  <c r="T92" i="1" s="1"/>
  <c r="M92" i="1"/>
  <c r="P92" i="1" s="1"/>
  <c r="T93" i="1" s="1"/>
  <c r="M93" i="1"/>
  <c r="P93" i="1" s="1"/>
  <c r="T94" i="1" s="1"/>
  <c r="M94" i="1"/>
  <c r="P94" i="1" s="1"/>
  <c r="T95" i="1" s="1"/>
  <c r="M95" i="1"/>
  <c r="P95" i="1" s="1"/>
  <c r="T96" i="1" s="1"/>
  <c r="M96" i="1"/>
  <c r="P96" i="1" s="1"/>
  <c r="T97" i="1" s="1"/>
  <c r="M97" i="1"/>
  <c r="P97" i="1" s="1"/>
  <c r="T98" i="1" s="1"/>
  <c r="M98" i="1"/>
  <c r="P98" i="1" s="1"/>
  <c r="T99" i="1" s="1"/>
  <c r="M99" i="1"/>
  <c r="P99" i="1" s="1"/>
  <c r="T100" i="1" s="1"/>
  <c r="M100" i="1"/>
  <c r="P100" i="1" s="1"/>
  <c r="T101" i="1" s="1"/>
  <c r="M101" i="1"/>
  <c r="P101" i="1" s="1"/>
  <c r="T102" i="1" s="1"/>
  <c r="M102" i="1"/>
  <c r="P102" i="1" s="1"/>
  <c r="T103" i="1" s="1"/>
  <c r="M103" i="1"/>
  <c r="P103" i="1" s="1"/>
  <c r="T104" i="1" s="1"/>
  <c r="M104" i="1"/>
  <c r="P104" i="1" s="1"/>
  <c r="T105" i="1" s="1"/>
  <c r="M105" i="1"/>
  <c r="P105" i="1" s="1"/>
  <c r="T106" i="1" s="1"/>
  <c r="M106" i="1"/>
  <c r="P106" i="1" s="1"/>
  <c r="T107" i="1" s="1"/>
  <c r="M107" i="1"/>
  <c r="P107" i="1" s="1"/>
  <c r="T108" i="1" s="1"/>
  <c r="M108" i="1"/>
  <c r="P108" i="1" s="1"/>
  <c r="T109" i="1" s="1"/>
  <c r="M109" i="1"/>
  <c r="P109" i="1" s="1"/>
  <c r="T110" i="1" s="1"/>
  <c r="M110" i="1"/>
  <c r="P110" i="1" s="1"/>
  <c r="T111" i="1" s="1"/>
  <c r="M111" i="1"/>
  <c r="P111" i="1" s="1"/>
  <c r="T112" i="1" s="1"/>
  <c r="M112" i="1"/>
  <c r="P112" i="1" s="1"/>
  <c r="T113" i="1" s="1"/>
  <c r="M113" i="1"/>
  <c r="P113" i="1" s="1"/>
  <c r="T114" i="1" s="1"/>
  <c r="M114" i="1"/>
  <c r="P114" i="1" s="1"/>
  <c r="T115" i="1" s="1"/>
  <c r="M115" i="1"/>
  <c r="P115" i="1" s="1"/>
  <c r="T116" i="1" s="1"/>
  <c r="M116" i="1"/>
  <c r="P116" i="1" s="1"/>
  <c r="T117" i="1" s="1"/>
  <c r="M117" i="1"/>
  <c r="P117" i="1" s="1"/>
  <c r="T118" i="1" s="1"/>
  <c r="M118" i="1"/>
  <c r="P118" i="1" s="1"/>
  <c r="T119" i="1" s="1"/>
  <c r="M119" i="1"/>
  <c r="P119" i="1" s="1"/>
  <c r="T120" i="1" s="1"/>
  <c r="M120" i="1"/>
  <c r="P120" i="1" s="1"/>
  <c r="T121" i="1" s="1"/>
  <c r="M121" i="1"/>
  <c r="P121" i="1" s="1"/>
  <c r="T122" i="1" s="1"/>
  <c r="M122" i="1"/>
  <c r="P122" i="1" s="1"/>
  <c r="T123" i="1" s="1"/>
  <c r="M123" i="1"/>
  <c r="P123" i="1" s="1"/>
  <c r="T124" i="1" s="1"/>
  <c r="M124" i="1"/>
  <c r="P124" i="1" s="1"/>
  <c r="T125" i="1" s="1"/>
  <c r="M125" i="1"/>
  <c r="P125" i="1" s="1"/>
  <c r="T126" i="1" s="1"/>
  <c r="M126" i="1"/>
  <c r="P126" i="1" s="1"/>
  <c r="T127" i="1" s="1"/>
  <c r="M127" i="1"/>
  <c r="P127" i="1" s="1"/>
  <c r="T128" i="1" s="1"/>
  <c r="M128" i="1"/>
  <c r="P128" i="1" s="1"/>
  <c r="T129" i="1" s="1"/>
  <c r="M129" i="1"/>
  <c r="P129" i="1" s="1"/>
  <c r="T130" i="1" s="1"/>
  <c r="M130" i="1"/>
  <c r="P130" i="1" s="1"/>
  <c r="T131" i="1" s="1"/>
  <c r="M131" i="1"/>
  <c r="P131" i="1" s="1"/>
  <c r="T132" i="1" s="1"/>
  <c r="M132" i="1"/>
  <c r="P132" i="1" s="1"/>
  <c r="T133" i="1" s="1"/>
  <c r="M133" i="1"/>
  <c r="P133" i="1" s="1"/>
  <c r="T134" i="1" s="1"/>
  <c r="M134" i="1"/>
  <c r="P134" i="1" s="1"/>
  <c r="T135" i="1" s="1"/>
  <c r="M135" i="1"/>
  <c r="P135" i="1" s="1"/>
  <c r="T136" i="1" s="1"/>
  <c r="M136" i="1"/>
  <c r="P136" i="1" s="1"/>
  <c r="T137" i="1" s="1"/>
  <c r="M137" i="1"/>
  <c r="P137" i="1" s="1"/>
  <c r="T138" i="1" s="1"/>
  <c r="M138" i="1"/>
  <c r="P138" i="1" s="1"/>
  <c r="T139" i="1" s="1"/>
  <c r="M139" i="1"/>
  <c r="P139" i="1" s="1"/>
  <c r="T140" i="1" s="1"/>
  <c r="M140" i="1"/>
  <c r="P140" i="1" s="1"/>
  <c r="T141" i="1" s="1"/>
  <c r="M141" i="1"/>
  <c r="P141" i="1" s="1"/>
  <c r="T142" i="1" s="1"/>
  <c r="M142" i="1"/>
  <c r="P142" i="1" s="1"/>
  <c r="T143" i="1" s="1"/>
  <c r="M143" i="1"/>
  <c r="P143" i="1" s="1"/>
  <c r="T144" i="1" s="1"/>
  <c r="M144" i="1"/>
  <c r="P144" i="1" s="1"/>
  <c r="T145" i="1" s="1"/>
  <c r="M145" i="1"/>
  <c r="P145" i="1" s="1"/>
  <c r="T146" i="1" s="1"/>
  <c r="M146" i="1"/>
  <c r="P146" i="1" s="1"/>
  <c r="T147" i="1" s="1"/>
  <c r="M147" i="1"/>
  <c r="P147" i="1" s="1"/>
  <c r="T148" i="1" s="1"/>
  <c r="M148" i="1"/>
  <c r="P148" i="1" s="1"/>
  <c r="T149" i="1" s="1"/>
  <c r="M149" i="1"/>
  <c r="P149" i="1" s="1"/>
  <c r="T150" i="1" s="1"/>
  <c r="M150" i="1"/>
  <c r="P150" i="1" s="1"/>
  <c r="T151" i="1" s="1"/>
  <c r="M151" i="1"/>
  <c r="P151" i="1" s="1"/>
  <c r="T152" i="1" s="1"/>
  <c r="M152" i="1"/>
  <c r="P152" i="1" s="1"/>
  <c r="T153" i="1" s="1"/>
  <c r="M153" i="1"/>
  <c r="P153" i="1" s="1"/>
  <c r="T154" i="1" s="1"/>
  <c r="M154" i="1"/>
  <c r="P154" i="1" s="1"/>
  <c r="T155" i="1" s="1"/>
  <c r="M155" i="1"/>
  <c r="P155" i="1" s="1"/>
  <c r="T156" i="1" s="1"/>
  <c r="M156" i="1"/>
  <c r="P156" i="1" s="1"/>
  <c r="T157" i="1" s="1"/>
  <c r="M157" i="1"/>
  <c r="P157" i="1" s="1"/>
  <c r="T158" i="1" s="1"/>
  <c r="M158" i="1"/>
  <c r="P158" i="1" s="1"/>
  <c r="T159" i="1" s="1"/>
  <c r="M159" i="1"/>
  <c r="P159" i="1" s="1"/>
  <c r="T160" i="1" s="1"/>
  <c r="M160" i="1"/>
  <c r="P160" i="1" s="1"/>
  <c r="T161" i="1" s="1"/>
  <c r="M161" i="1"/>
  <c r="P161" i="1" s="1"/>
  <c r="T162" i="1" s="1"/>
  <c r="M162" i="1"/>
  <c r="P162" i="1" s="1"/>
  <c r="T163" i="1" s="1"/>
  <c r="M163" i="1"/>
  <c r="P163" i="1" s="1"/>
  <c r="T164" i="1" s="1"/>
  <c r="M164" i="1"/>
  <c r="P164" i="1" s="1"/>
  <c r="T165" i="1" s="1"/>
  <c r="M165" i="1"/>
  <c r="P165" i="1" s="1"/>
  <c r="T166" i="1" s="1"/>
  <c r="M166" i="1"/>
  <c r="P166" i="1" s="1"/>
  <c r="T167" i="1" s="1"/>
  <c r="M167" i="1"/>
  <c r="P167" i="1" s="1"/>
  <c r="T168" i="1" s="1"/>
  <c r="M168" i="1"/>
  <c r="P168" i="1" s="1"/>
  <c r="T169" i="1" s="1"/>
  <c r="M169" i="1"/>
  <c r="P169" i="1" s="1"/>
  <c r="T170" i="1" s="1"/>
  <c r="M170" i="1"/>
  <c r="P170" i="1" s="1"/>
  <c r="T171" i="1" s="1"/>
  <c r="M171" i="1"/>
  <c r="P171" i="1" s="1"/>
  <c r="T172" i="1" s="1"/>
  <c r="M172" i="1"/>
  <c r="P172" i="1" s="1"/>
  <c r="T173" i="1" s="1"/>
  <c r="M173" i="1"/>
  <c r="P173" i="1" s="1"/>
  <c r="T174" i="1" s="1"/>
  <c r="M174" i="1"/>
  <c r="P174" i="1" s="1"/>
  <c r="T175" i="1" s="1"/>
  <c r="M175" i="1"/>
  <c r="P175" i="1" s="1"/>
  <c r="T176" i="1" s="1"/>
  <c r="M176" i="1"/>
  <c r="P176" i="1" s="1"/>
  <c r="T177" i="1" s="1"/>
  <c r="M177" i="1"/>
  <c r="P177" i="1" s="1"/>
  <c r="T178" i="1" s="1"/>
  <c r="M178" i="1"/>
  <c r="P178" i="1" s="1"/>
  <c r="T179" i="1" s="1"/>
  <c r="M179" i="1"/>
  <c r="P179" i="1" s="1"/>
  <c r="T180" i="1" s="1"/>
  <c r="M180" i="1"/>
  <c r="P180" i="1" s="1"/>
  <c r="T181" i="1" s="1"/>
  <c r="M181" i="1"/>
  <c r="P181" i="1" s="1"/>
  <c r="T182" i="1" s="1"/>
  <c r="M182" i="1"/>
  <c r="P182" i="1" s="1"/>
  <c r="T183" i="1" s="1"/>
  <c r="M183" i="1"/>
  <c r="P183" i="1" s="1"/>
  <c r="T184" i="1" s="1"/>
  <c r="M184" i="1"/>
  <c r="P184" i="1" s="1"/>
  <c r="T185" i="1" s="1"/>
  <c r="M185" i="1"/>
  <c r="P185" i="1" s="1"/>
  <c r="T186" i="1" s="1"/>
  <c r="M186" i="1"/>
  <c r="P186" i="1" s="1"/>
  <c r="T187" i="1" s="1"/>
  <c r="M187" i="1"/>
  <c r="P187" i="1" s="1"/>
  <c r="T188" i="1" s="1"/>
  <c r="M188" i="1"/>
  <c r="P188" i="1" s="1"/>
  <c r="T189" i="1" s="1"/>
  <c r="M189" i="1"/>
  <c r="P189" i="1" s="1"/>
  <c r="T190" i="1" s="1"/>
  <c r="M190" i="1"/>
  <c r="P190" i="1" s="1"/>
  <c r="T191" i="1" s="1"/>
  <c r="M191" i="1"/>
  <c r="P191" i="1" s="1"/>
  <c r="T192" i="1" s="1"/>
  <c r="M192" i="1"/>
  <c r="P192" i="1" s="1"/>
  <c r="T193" i="1" s="1"/>
  <c r="M193" i="1"/>
  <c r="P193" i="1" s="1"/>
  <c r="T194" i="1" s="1"/>
  <c r="M194" i="1"/>
  <c r="P194" i="1" s="1"/>
  <c r="T195" i="1" s="1"/>
  <c r="M195" i="1"/>
  <c r="P195" i="1" s="1"/>
  <c r="T196" i="1" s="1"/>
  <c r="M196" i="1"/>
  <c r="P196" i="1" s="1"/>
  <c r="T197" i="1" s="1"/>
  <c r="M197" i="1"/>
  <c r="P197" i="1" s="1"/>
  <c r="T198" i="1" s="1"/>
  <c r="M198" i="1"/>
  <c r="P198" i="1" s="1"/>
  <c r="T199" i="1" s="1"/>
  <c r="M199" i="1"/>
  <c r="P199" i="1" s="1"/>
  <c r="T200" i="1" s="1"/>
  <c r="M200" i="1"/>
  <c r="P200" i="1" s="1"/>
  <c r="T201" i="1" s="1"/>
  <c r="M201" i="1"/>
  <c r="P201" i="1" s="1"/>
  <c r="T202" i="1" s="1"/>
  <c r="M202" i="1"/>
  <c r="P202" i="1" s="1"/>
  <c r="T203" i="1" s="1"/>
  <c r="M203" i="1"/>
  <c r="P203" i="1" s="1"/>
  <c r="T204" i="1" s="1"/>
  <c r="M204" i="1"/>
  <c r="P204" i="1" s="1"/>
  <c r="T205" i="1" s="1"/>
  <c r="M205" i="1"/>
  <c r="P205" i="1" s="1"/>
  <c r="T206" i="1" s="1"/>
  <c r="M206" i="1"/>
  <c r="P206" i="1" s="1"/>
  <c r="T207" i="1" s="1"/>
  <c r="M207" i="1"/>
  <c r="P207" i="1" s="1"/>
  <c r="T208" i="1" s="1"/>
  <c r="M208" i="1"/>
  <c r="P208" i="1" s="1"/>
  <c r="T209" i="1" s="1"/>
  <c r="M209" i="1"/>
  <c r="P209" i="1" s="1"/>
  <c r="T210" i="1" s="1"/>
  <c r="M210" i="1"/>
  <c r="P210" i="1" s="1"/>
  <c r="T211" i="1" s="1"/>
  <c r="M211" i="1"/>
  <c r="P211" i="1" s="1"/>
  <c r="T212" i="1" s="1"/>
  <c r="M212" i="1"/>
  <c r="P212" i="1" s="1"/>
  <c r="T213" i="1" s="1"/>
  <c r="M213" i="1"/>
  <c r="P213" i="1" s="1"/>
  <c r="T214" i="1" s="1"/>
  <c r="M214" i="1"/>
  <c r="P214" i="1" s="1"/>
  <c r="T215" i="1" s="1"/>
  <c r="M215" i="1"/>
  <c r="P215" i="1" s="1"/>
  <c r="T216" i="1" s="1"/>
  <c r="M216" i="1"/>
  <c r="P216" i="1" s="1"/>
  <c r="T217" i="1" s="1"/>
  <c r="M217" i="1"/>
  <c r="P217" i="1" s="1"/>
  <c r="T218" i="1" s="1"/>
  <c r="M218" i="1"/>
  <c r="P218" i="1" s="1"/>
  <c r="T219" i="1" s="1"/>
  <c r="M219" i="1"/>
  <c r="P219" i="1" s="1"/>
  <c r="T220" i="1" s="1"/>
  <c r="M220" i="1"/>
  <c r="P220" i="1" s="1"/>
  <c r="T221" i="1" s="1"/>
  <c r="M221" i="1"/>
  <c r="P221" i="1" s="1"/>
  <c r="T222" i="1" s="1"/>
  <c r="M222" i="1"/>
  <c r="P222" i="1" s="1"/>
  <c r="T223" i="1" s="1"/>
  <c r="M223" i="1"/>
  <c r="P223" i="1" s="1"/>
  <c r="T224" i="1" s="1"/>
  <c r="M224" i="1"/>
  <c r="P224" i="1" s="1"/>
  <c r="T225" i="1" s="1"/>
  <c r="M225" i="1"/>
  <c r="P225" i="1" s="1"/>
  <c r="T226" i="1" s="1"/>
  <c r="M226" i="1"/>
  <c r="P226" i="1" s="1"/>
  <c r="T227" i="1" s="1"/>
  <c r="M227" i="1"/>
  <c r="P227" i="1" s="1"/>
  <c r="T228" i="1" s="1"/>
  <c r="M228" i="1"/>
  <c r="P228" i="1" s="1"/>
  <c r="T229" i="1" s="1"/>
  <c r="M229" i="1"/>
  <c r="P229" i="1" s="1"/>
  <c r="T230" i="1" s="1"/>
  <c r="M230" i="1"/>
  <c r="P230" i="1" s="1"/>
  <c r="T231" i="1" s="1"/>
  <c r="M231" i="1"/>
  <c r="P231" i="1" s="1"/>
  <c r="T232" i="1" s="1"/>
  <c r="M232" i="1"/>
  <c r="P232" i="1" s="1"/>
  <c r="T233" i="1" s="1"/>
  <c r="M233" i="1"/>
  <c r="P233" i="1" s="1"/>
  <c r="T234" i="1" s="1"/>
  <c r="M234" i="1"/>
  <c r="P234" i="1" s="1"/>
  <c r="T235" i="1" s="1"/>
  <c r="M235" i="1"/>
  <c r="P235" i="1" s="1"/>
  <c r="T236" i="1" s="1"/>
  <c r="M236" i="1"/>
  <c r="P236" i="1" s="1"/>
  <c r="T237" i="1" s="1"/>
  <c r="M237" i="1"/>
  <c r="P237" i="1" s="1"/>
  <c r="T238" i="1" s="1"/>
  <c r="M238" i="1"/>
  <c r="P238" i="1" s="1"/>
  <c r="T239" i="1" s="1"/>
  <c r="M239" i="1"/>
  <c r="P239" i="1" s="1"/>
  <c r="T240" i="1" s="1"/>
  <c r="M240" i="1"/>
  <c r="P240" i="1" s="1"/>
  <c r="T241" i="1" s="1"/>
  <c r="M241" i="1"/>
  <c r="P241" i="1" s="1"/>
  <c r="T242" i="1" s="1"/>
  <c r="M242" i="1"/>
  <c r="P242" i="1" s="1"/>
  <c r="T243" i="1" s="1"/>
  <c r="M243" i="1"/>
  <c r="P243" i="1" s="1"/>
  <c r="T244" i="1" s="1"/>
  <c r="M244" i="1"/>
  <c r="P244" i="1" s="1"/>
  <c r="T245" i="1" s="1"/>
  <c r="M245" i="1"/>
  <c r="P245" i="1" s="1"/>
  <c r="T246" i="1" s="1"/>
  <c r="M246" i="1"/>
  <c r="P246" i="1" s="1"/>
  <c r="T247" i="1" s="1"/>
  <c r="M247" i="1"/>
  <c r="P247" i="1" s="1"/>
  <c r="T248" i="1" s="1"/>
  <c r="M248" i="1"/>
  <c r="P248" i="1" s="1"/>
  <c r="T249" i="1" s="1"/>
  <c r="M249" i="1"/>
  <c r="P249" i="1" s="1"/>
  <c r="T250" i="1" s="1"/>
  <c r="M250" i="1"/>
  <c r="P250" i="1" s="1"/>
  <c r="T251" i="1" s="1"/>
  <c r="M251" i="1"/>
  <c r="P251" i="1" s="1"/>
  <c r="T252" i="1" s="1"/>
  <c r="M252" i="1"/>
  <c r="P252" i="1" s="1"/>
  <c r="T253" i="1" s="1"/>
  <c r="M253" i="1"/>
  <c r="P253" i="1" s="1"/>
  <c r="T254" i="1" s="1"/>
  <c r="M254" i="1"/>
  <c r="P254" i="1" s="1"/>
  <c r="T255" i="1" s="1"/>
  <c r="M255" i="1"/>
  <c r="P255" i="1" s="1"/>
  <c r="T256" i="1" s="1"/>
  <c r="M256" i="1"/>
  <c r="P256" i="1" s="1"/>
  <c r="T257" i="1" s="1"/>
  <c r="M257" i="1"/>
  <c r="P257" i="1" s="1"/>
  <c r="T258" i="1" s="1"/>
  <c r="M258" i="1"/>
  <c r="P258" i="1" s="1"/>
  <c r="T259" i="1" s="1"/>
  <c r="M259" i="1"/>
  <c r="P259" i="1" s="1"/>
  <c r="T260" i="1" s="1"/>
  <c r="M260" i="1"/>
  <c r="P260" i="1" s="1"/>
  <c r="T261" i="1" s="1"/>
  <c r="M261" i="1"/>
  <c r="P261" i="1" s="1"/>
  <c r="T262" i="1" s="1"/>
  <c r="M262" i="1"/>
  <c r="P262" i="1" s="1"/>
  <c r="T263" i="1" s="1"/>
  <c r="M263" i="1"/>
  <c r="P263" i="1" s="1"/>
  <c r="T264" i="1" s="1"/>
  <c r="M264" i="1"/>
  <c r="P264" i="1" s="1"/>
  <c r="T265" i="1" s="1"/>
  <c r="M265" i="1"/>
  <c r="P265" i="1" s="1"/>
  <c r="T266" i="1" s="1"/>
  <c r="M266" i="1"/>
  <c r="P266" i="1" s="1"/>
  <c r="T267" i="1" s="1"/>
  <c r="M267" i="1"/>
  <c r="P267" i="1" s="1"/>
  <c r="T268" i="1" s="1"/>
  <c r="M268" i="1"/>
  <c r="P268" i="1" s="1"/>
  <c r="T269" i="1" s="1"/>
  <c r="M269" i="1"/>
  <c r="P269" i="1" s="1"/>
  <c r="T270" i="1" s="1"/>
  <c r="M270" i="1"/>
  <c r="P270" i="1" s="1"/>
  <c r="T271" i="1" s="1"/>
  <c r="M271" i="1"/>
  <c r="P271" i="1" s="1"/>
  <c r="T272" i="1" s="1"/>
  <c r="M272" i="1"/>
  <c r="P272" i="1" s="1"/>
  <c r="T273" i="1" s="1"/>
  <c r="M273" i="1"/>
  <c r="P273" i="1" s="1"/>
  <c r="T274" i="1" s="1"/>
  <c r="M274" i="1"/>
  <c r="P274" i="1" s="1"/>
  <c r="T275" i="1" s="1"/>
  <c r="M275" i="1"/>
  <c r="P275" i="1" s="1"/>
  <c r="T276" i="1" s="1"/>
  <c r="M276" i="1"/>
  <c r="P276" i="1" s="1"/>
  <c r="T277" i="1" s="1"/>
  <c r="M277" i="1"/>
  <c r="P277" i="1" s="1"/>
  <c r="T278" i="1" s="1"/>
  <c r="M278" i="1"/>
  <c r="P278" i="1" s="1"/>
  <c r="T279" i="1" s="1"/>
  <c r="M279" i="1"/>
  <c r="P279" i="1" s="1"/>
  <c r="T280" i="1" s="1"/>
  <c r="M280" i="1"/>
  <c r="P280" i="1" s="1"/>
  <c r="T281" i="1" s="1"/>
  <c r="M281" i="1"/>
  <c r="P281" i="1" s="1"/>
  <c r="T282" i="1" s="1"/>
  <c r="M282" i="1"/>
  <c r="P282" i="1" s="1"/>
  <c r="T283" i="1" s="1"/>
  <c r="M283" i="1"/>
  <c r="P283" i="1" s="1"/>
  <c r="T284" i="1" s="1"/>
  <c r="M284" i="1"/>
  <c r="P284" i="1" s="1"/>
  <c r="T285" i="1" s="1"/>
  <c r="M285" i="1"/>
  <c r="P285" i="1" s="1"/>
  <c r="T286" i="1" s="1"/>
  <c r="M286" i="1"/>
  <c r="P286" i="1" s="1"/>
  <c r="T287" i="1" s="1"/>
  <c r="M287" i="1"/>
  <c r="P287" i="1" s="1"/>
  <c r="T288" i="1" s="1"/>
  <c r="M288" i="1"/>
  <c r="P288" i="1" s="1"/>
  <c r="T289" i="1" s="1"/>
  <c r="M289" i="1"/>
  <c r="P289" i="1" s="1"/>
  <c r="T290" i="1" s="1"/>
  <c r="M290" i="1"/>
  <c r="P290" i="1" s="1"/>
  <c r="T291" i="1" s="1"/>
  <c r="M291" i="1"/>
  <c r="P291" i="1" s="1"/>
  <c r="T292" i="1" s="1"/>
  <c r="M292" i="1"/>
  <c r="P292" i="1" s="1"/>
  <c r="T293" i="1" s="1"/>
  <c r="M293" i="1"/>
  <c r="P293" i="1" s="1"/>
  <c r="T294" i="1" s="1"/>
  <c r="M294" i="1"/>
  <c r="P294" i="1" s="1"/>
  <c r="T295" i="1" s="1"/>
  <c r="M295" i="1"/>
  <c r="P295" i="1" s="1"/>
  <c r="T296" i="1" s="1"/>
  <c r="M296" i="1"/>
  <c r="P296" i="1" s="1"/>
  <c r="T297" i="1" s="1"/>
  <c r="M297" i="1"/>
  <c r="P297" i="1" s="1"/>
  <c r="T298" i="1" s="1"/>
  <c r="M298" i="1"/>
  <c r="P298" i="1" s="1"/>
  <c r="T299" i="1" s="1"/>
  <c r="M299" i="1"/>
  <c r="P299" i="1" s="1"/>
  <c r="T300" i="1" s="1"/>
  <c r="M300" i="1"/>
  <c r="P300" i="1" s="1"/>
  <c r="T301" i="1" s="1"/>
  <c r="M301" i="1"/>
  <c r="P301" i="1" s="1"/>
  <c r="T302" i="1" s="1"/>
  <c r="M302" i="1"/>
  <c r="P302" i="1" s="1"/>
  <c r="T303" i="1" s="1"/>
  <c r="M303" i="1"/>
  <c r="P303" i="1" s="1"/>
  <c r="T304" i="1" s="1"/>
  <c r="M304" i="1"/>
  <c r="P304" i="1" s="1"/>
  <c r="T305" i="1" s="1"/>
  <c r="M305" i="1"/>
  <c r="P305" i="1" s="1"/>
  <c r="T306" i="1" s="1"/>
  <c r="M306" i="1"/>
  <c r="P306" i="1" s="1"/>
  <c r="T307" i="1" s="1"/>
  <c r="M307" i="1"/>
  <c r="P307" i="1" s="1"/>
  <c r="T308" i="1" s="1"/>
  <c r="M308" i="1"/>
  <c r="P308" i="1" s="1"/>
  <c r="T309" i="1" s="1"/>
  <c r="M309" i="1"/>
  <c r="P309" i="1" s="1"/>
  <c r="T310" i="1" s="1"/>
  <c r="M310" i="1"/>
  <c r="P310" i="1" s="1"/>
  <c r="T311" i="1" s="1"/>
  <c r="M311" i="1"/>
  <c r="P311" i="1" s="1"/>
  <c r="T312" i="1" s="1"/>
  <c r="M312" i="1"/>
  <c r="P312" i="1" s="1"/>
  <c r="T313" i="1" s="1"/>
  <c r="M313" i="1"/>
  <c r="P313" i="1" s="1"/>
  <c r="T314" i="1" s="1"/>
  <c r="M314" i="1"/>
  <c r="P314" i="1" s="1"/>
  <c r="T315" i="1" s="1"/>
  <c r="M315" i="1"/>
  <c r="P315" i="1" s="1"/>
  <c r="T316" i="1" s="1"/>
  <c r="M316" i="1"/>
  <c r="P316" i="1" s="1"/>
  <c r="T317" i="1" s="1"/>
  <c r="M317" i="1"/>
  <c r="P317" i="1" s="1"/>
  <c r="T318" i="1" s="1"/>
  <c r="M318" i="1"/>
  <c r="P318" i="1" s="1"/>
  <c r="T319" i="1" s="1"/>
  <c r="M319" i="1"/>
  <c r="P319" i="1" s="1"/>
  <c r="T320" i="1" s="1"/>
  <c r="M320" i="1"/>
  <c r="P320" i="1" s="1"/>
  <c r="T321" i="1" s="1"/>
  <c r="M321" i="1"/>
  <c r="P321" i="1" s="1"/>
  <c r="T322" i="1" s="1"/>
  <c r="M322" i="1"/>
  <c r="P322" i="1" s="1"/>
  <c r="T323" i="1" s="1"/>
  <c r="M323" i="1"/>
  <c r="P323" i="1" s="1"/>
  <c r="T324" i="1" s="1"/>
  <c r="M324" i="1"/>
  <c r="P324" i="1" s="1"/>
  <c r="T325" i="1" s="1"/>
  <c r="M325" i="1"/>
  <c r="P325" i="1" s="1"/>
  <c r="T326" i="1" s="1"/>
  <c r="M326" i="1"/>
  <c r="P326" i="1" s="1"/>
  <c r="T327" i="1" s="1"/>
  <c r="M327" i="1"/>
  <c r="P327" i="1" s="1"/>
  <c r="T328" i="1" s="1"/>
  <c r="M328" i="1"/>
  <c r="P328" i="1" s="1"/>
  <c r="T329" i="1" s="1"/>
  <c r="M329" i="1"/>
  <c r="P329" i="1" s="1"/>
  <c r="T330" i="1" s="1"/>
  <c r="M330" i="1"/>
  <c r="P330" i="1" s="1"/>
  <c r="T331" i="1" s="1"/>
  <c r="M331" i="1"/>
  <c r="P331" i="1" s="1"/>
  <c r="T332" i="1" s="1"/>
  <c r="M332" i="1"/>
  <c r="P332" i="1" s="1"/>
  <c r="T333" i="1" s="1"/>
  <c r="M333" i="1"/>
  <c r="P333" i="1" s="1"/>
  <c r="T334" i="1" s="1"/>
  <c r="M334" i="1"/>
  <c r="P334" i="1" s="1"/>
  <c r="T335" i="1" s="1"/>
  <c r="M335" i="1"/>
  <c r="P335" i="1" s="1"/>
  <c r="T336" i="1" s="1"/>
  <c r="M336" i="1"/>
  <c r="P336" i="1" s="1"/>
  <c r="T337" i="1" s="1"/>
  <c r="M337" i="1"/>
  <c r="P337" i="1" s="1"/>
  <c r="T338" i="1" s="1"/>
  <c r="M338" i="1"/>
  <c r="P338" i="1" s="1"/>
  <c r="T339" i="1" s="1"/>
  <c r="M339" i="1"/>
  <c r="P339" i="1" s="1"/>
  <c r="T340" i="1" s="1"/>
  <c r="M340" i="1"/>
  <c r="P340" i="1" s="1"/>
  <c r="T341" i="1" s="1"/>
  <c r="M341" i="1"/>
  <c r="P341" i="1" s="1"/>
  <c r="T342" i="1" s="1"/>
  <c r="M342" i="1"/>
  <c r="P342" i="1" s="1"/>
  <c r="T343" i="1" s="1"/>
  <c r="M343" i="1"/>
  <c r="P343" i="1" s="1"/>
  <c r="T344" i="1" s="1"/>
  <c r="M344" i="1"/>
  <c r="P344" i="1" s="1"/>
  <c r="T345" i="1" s="1"/>
  <c r="M345" i="1"/>
  <c r="P345" i="1" s="1"/>
  <c r="T346" i="1" s="1"/>
  <c r="M346" i="1"/>
  <c r="P346" i="1" s="1"/>
  <c r="T347" i="1" s="1"/>
  <c r="M347" i="1"/>
  <c r="P347" i="1" s="1"/>
  <c r="T348" i="1" s="1"/>
  <c r="M348" i="1"/>
  <c r="P348" i="1" s="1"/>
  <c r="T349" i="1" s="1"/>
  <c r="M349" i="1"/>
  <c r="P349" i="1" s="1"/>
  <c r="T350" i="1" s="1"/>
  <c r="M350" i="1"/>
  <c r="P350" i="1" s="1"/>
  <c r="T351" i="1" s="1"/>
  <c r="M351" i="1"/>
  <c r="P351" i="1" s="1"/>
  <c r="T352" i="1" s="1"/>
  <c r="M352" i="1"/>
  <c r="P352" i="1" s="1"/>
  <c r="T353" i="1" s="1"/>
  <c r="M353" i="1"/>
  <c r="P353" i="1" s="1"/>
  <c r="T354" i="1" s="1"/>
  <c r="M354" i="1"/>
  <c r="P354" i="1" s="1"/>
  <c r="T355" i="1" s="1"/>
  <c r="M355" i="1"/>
  <c r="P355" i="1" s="1"/>
  <c r="T356" i="1" s="1"/>
  <c r="M356" i="1"/>
  <c r="P356" i="1" s="1"/>
  <c r="T357" i="1" s="1"/>
  <c r="M357" i="1"/>
  <c r="P357" i="1" s="1"/>
  <c r="T358" i="1" s="1"/>
  <c r="M358" i="1"/>
  <c r="P358" i="1" s="1"/>
  <c r="T359" i="1" s="1"/>
  <c r="M359" i="1"/>
  <c r="P359" i="1" s="1"/>
  <c r="T360" i="1" s="1"/>
  <c r="M360" i="1"/>
  <c r="P360" i="1" s="1"/>
  <c r="T361" i="1" s="1"/>
  <c r="M361" i="1"/>
  <c r="P361" i="1" s="1"/>
  <c r="T362" i="1" s="1"/>
  <c r="M362" i="1"/>
  <c r="P362" i="1" s="1"/>
  <c r="T363" i="1" s="1"/>
  <c r="M363" i="1"/>
  <c r="P363" i="1" s="1"/>
  <c r="T364" i="1" s="1"/>
  <c r="M364" i="1"/>
  <c r="P364" i="1" s="1"/>
  <c r="T365" i="1" s="1"/>
  <c r="M365" i="1"/>
  <c r="P365" i="1" s="1"/>
  <c r="T366" i="1" s="1"/>
  <c r="M366" i="1"/>
  <c r="P366" i="1" s="1"/>
  <c r="T367" i="1" s="1"/>
  <c r="M367" i="1"/>
  <c r="P367" i="1" s="1"/>
  <c r="T368" i="1" s="1"/>
  <c r="M368" i="1"/>
  <c r="P368" i="1" s="1"/>
  <c r="T369" i="1" s="1"/>
  <c r="M369" i="1"/>
  <c r="P369" i="1" s="1"/>
  <c r="T370" i="1" s="1"/>
  <c r="M370" i="1"/>
  <c r="P370" i="1" s="1"/>
  <c r="T371" i="1" s="1"/>
  <c r="M371" i="1"/>
  <c r="P371" i="1" s="1"/>
  <c r="T372" i="1" s="1"/>
  <c r="M372" i="1"/>
  <c r="P372" i="1" s="1"/>
  <c r="T373" i="1" s="1"/>
  <c r="M373" i="1"/>
  <c r="P373" i="1" s="1"/>
  <c r="T374" i="1" s="1"/>
  <c r="M374" i="1"/>
  <c r="P374" i="1" s="1"/>
  <c r="T375" i="1" s="1"/>
  <c r="M375" i="1"/>
  <c r="P375" i="1" s="1"/>
  <c r="T376" i="1" s="1"/>
  <c r="M376" i="1"/>
  <c r="P376" i="1" s="1"/>
  <c r="T377" i="1" s="1"/>
  <c r="M377" i="1"/>
  <c r="P377" i="1" s="1"/>
  <c r="T378" i="1" s="1"/>
  <c r="M378" i="1"/>
  <c r="P378" i="1" s="1"/>
  <c r="T379" i="1" s="1"/>
  <c r="M379" i="1"/>
  <c r="P379" i="1" s="1"/>
  <c r="T380" i="1" s="1"/>
  <c r="M380" i="1"/>
  <c r="P380" i="1" s="1"/>
  <c r="T381" i="1" s="1"/>
  <c r="M381" i="1"/>
  <c r="P381" i="1" s="1"/>
  <c r="T382" i="1" s="1"/>
  <c r="M382" i="1"/>
  <c r="P382" i="1" s="1"/>
  <c r="T383" i="1" s="1"/>
  <c r="M383" i="1"/>
  <c r="P383" i="1" s="1"/>
  <c r="T384" i="1" s="1"/>
  <c r="M384" i="1"/>
  <c r="P384" i="1" s="1"/>
  <c r="T385" i="1" s="1"/>
  <c r="M385" i="1"/>
  <c r="P385" i="1" s="1"/>
  <c r="T386" i="1" s="1"/>
  <c r="M386" i="1"/>
  <c r="P386" i="1" s="1"/>
  <c r="T387" i="1" s="1"/>
  <c r="M387" i="1"/>
  <c r="P387" i="1" s="1"/>
  <c r="T388" i="1" s="1"/>
  <c r="M388" i="1"/>
  <c r="P388" i="1" s="1"/>
  <c r="T389" i="1" s="1"/>
  <c r="M389" i="1"/>
  <c r="P389" i="1" s="1"/>
  <c r="T390" i="1" s="1"/>
  <c r="M390" i="1"/>
  <c r="P390" i="1" s="1"/>
  <c r="T391" i="1" s="1"/>
  <c r="M391" i="1"/>
  <c r="P391" i="1" s="1"/>
  <c r="T392" i="1" s="1"/>
  <c r="M392" i="1"/>
  <c r="P392" i="1" s="1"/>
  <c r="T393" i="1" s="1"/>
  <c r="M393" i="1"/>
  <c r="P393" i="1" s="1"/>
  <c r="T394" i="1" s="1"/>
  <c r="M394" i="1"/>
  <c r="P394" i="1" s="1"/>
  <c r="T395" i="1" s="1"/>
  <c r="M395" i="1"/>
  <c r="P395" i="1" s="1"/>
  <c r="T396" i="1" s="1"/>
  <c r="M396" i="1"/>
  <c r="P396" i="1" s="1"/>
  <c r="T397" i="1" s="1"/>
  <c r="M397" i="1"/>
  <c r="P397" i="1" s="1"/>
  <c r="T398" i="1" s="1"/>
  <c r="M398" i="1"/>
  <c r="P398" i="1" s="1"/>
  <c r="T399" i="1" s="1"/>
  <c r="M399" i="1"/>
  <c r="P399" i="1" s="1"/>
  <c r="T400" i="1" s="1"/>
  <c r="M400" i="1"/>
  <c r="P400" i="1" s="1"/>
  <c r="T401" i="1" s="1"/>
  <c r="M401" i="1"/>
  <c r="P401" i="1" s="1"/>
  <c r="T402" i="1" s="1"/>
  <c r="M402" i="1"/>
  <c r="P402" i="1" s="1"/>
  <c r="T403" i="1" s="1"/>
  <c r="M403" i="1"/>
  <c r="P403" i="1" s="1"/>
  <c r="T404" i="1" s="1"/>
  <c r="M404" i="1"/>
  <c r="P404" i="1" s="1"/>
  <c r="T405" i="1" s="1"/>
  <c r="M405" i="1"/>
  <c r="P405" i="1" s="1"/>
  <c r="T406" i="1" s="1"/>
  <c r="M406" i="1"/>
  <c r="P406" i="1" s="1"/>
  <c r="T407" i="1" s="1"/>
  <c r="M407" i="1"/>
  <c r="P407" i="1" s="1"/>
  <c r="T408" i="1" s="1"/>
  <c r="M408" i="1"/>
  <c r="P408" i="1" s="1"/>
  <c r="T409" i="1" s="1"/>
  <c r="M409" i="1"/>
  <c r="P409" i="1" s="1"/>
  <c r="T410" i="1" s="1"/>
  <c r="M410" i="1"/>
  <c r="P410" i="1" s="1"/>
  <c r="T411" i="1" s="1"/>
  <c r="M411" i="1"/>
  <c r="P411" i="1" s="1"/>
  <c r="T412" i="1" s="1"/>
  <c r="M412" i="1"/>
  <c r="P412" i="1" s="1"/>
  <c r="T413" i="1" s="1"/>
  <c r="M413" i="1"/>
  <c r="P413" i="1" s="1"/>
  <c r="T414" i="1" s="1"/>
  <c r="M414" i="1"/>
  <c r="P414" i="1" s="1"/>
  <c r="T415" i="1" s="1"/>
  <c r="M415" i="1"/>
  <c r="P415" i="1" s="1"/>
  <c r="T416" i="1" s="1"/>
  <c r="M416" i="1"/>
  <c r="P416" i="1" s="1"/>
  <c r="T417" i="1" s="1"/>
  <c r="M417" i="1"/>
  <c r="P417" i="1" s="1"/>
  <c r="T418" i="1" s="1"/>
  <c r="M418" i="1"/>
  <c r="P418" i="1" s="1"/>
  <c r="T419" i="1" s="1"/>
  <c r="M419" i="1"/>
  <c r="P419" i="1" s="1"/>
  <c r="T420" i="1" s="1"/>
  <c r="M420" i="1"/>
  <c r="P420" i="1" s="1"/>
  <c r="T421" i="1" s="1"/>
  <c r="M421" i="1"/>
  <c r="P421" i="1" s="1"/>
  <c r="T422" i="1" s="1"/>
  <c r="M422" i="1"/>
  <c r="P422" i="1" s="1"/>
  <c r="T423" i="1" s="1"/>
  <c r="M423" i="1"/>
  <c r="P423" i="1" s="1"/>
  <c r="T424" i="1" s="1"/>
  <c r="M424" i="1"/>
  <c r="P424" i="1" s="1"/>
  <c r="T425" i="1" s="1"/>
  <c r="M425" i="1"/>
  <c r="P425" i="1" s="1"/>
  <c r="T426" i="1" s="1"/>
  <c r="M426" i="1"/>
  <c r="P426" i="1" s="1"/>
  <c r="T427" i="1" s="1"/>
  <c r="M427" i="1"/>
  <c r="P427" i="1" s="1"/>
  <c r="T428" i="1" s="1"/>
  <c r="M428" i="1"/>
  <c r="P428" i="1" s="1"/>
  <c r="T429" i="1" s="1"/>
  <c r="M429" i="1"/>
  <c r="P429" i="1" s="1"/>
  <c r="T430" i="1" s="1"/>
  <c r="M430" i="1"/>
  <c r="P430" i="1" s="1"/>
  <c r="T431" i="1" s="1"/>
  <c r="M431" i="1"/>
  <c r="P431" i="1" s="1"/>
  <c r="T432" i="1" s="1"/>
  <c r="M432" i="1"/>
  <c r="P432" i="1" s="1"/>
  <c r="T433" i="1" s="1"/>
  <c r="M433" i="1"/>
  <c r="P433" i="1" s="1"/>
  <c r="T434" i="1" s="1"/>
  <c r="M434" i="1"/>
  <c r="P434" i="1" s="1"/>
  <c r="T435" i="1" s="1"/>
  <c r="M435" i="1"/>
  <c r="P435" i="1" s="1"/>
  <c r="T436" i="1" s="1"/>
  <c r="M436" i="1"/>
  <c r="P436" i="1" s="1"/>
  <c r="T437" i="1" s="1"/>
  <c r="M437" i="1"/>
  <c r="P437" i="1" s="1"/>
  <c r="T438" i="1" s="1"/>
  <c r="M438" i="1"/>
  <c r="P438" i="1" s="1"/>
  <c r="T439" i="1" s="1"/>
  <c r="M439" i="1"/>
  <c r="P439" i="1" s="1"/>
  <c r="T440" i="1" s="1"/>
  <c r="M440" i="1"/>
  <c r="P440" i="1" s="1"/>
  <c r="T441" i="1" s="1"/>
  <c r="M441" i="1"/>
  <c r="P441" i="1" s="1"/>
  <c r="T442" i="1" s="1"/>
  <c r="M442" i="1"/>
  <c r="P442" i="1" s="1"/>
  <c r="T443" i="1" s="1"/>
  <c r="M443" i="1"/>
  <c r="P443" i="1" s="1"/>
  <c r="T444" i="1" s="1"/>
  <c r="M444" i="1"/>
  <c r="P444" i="1" s="1"/>
  <c r="T445" i="1" s="1"/>
  <c r="M445" i="1"/>
  <c r="P445" i="1" s="1"/>
  <c r="T446" i="1" s="1"/>
  <c r="M446" i="1"/>
  <c r="P446" i="1" s="1"/>
  <c r="T447" i="1" s="1"/>
  <c r="M447" i="1"/>
  <c r="P447" i="1" s="1"/>
  <c r="T448" i="1" s="1"/>
  <c r="M448" i="1"/>
  <c r="P448" i="1" s="1"/>
  <c r="T449" i="1" s="1"/>
  <c r="M449" i="1"/>
  <c r="P449" i="1" s="1"/>
  <c r="T450" i="1" s="1"/>
  <c r="M450" i="1"/>
  <c r="P450" i="1" s="1"/>
  <c r="T451" i="1" s="1"/>
  <c r="M451" i="1"/>
  <c r="P451" i="1" s="1"/>
  <c r="T452" i="1" s="1"/>
  <c r="M452" i="1"/>
  <c r="P452" i="1" s="1"/>
  <c r="T453" i="1" s="1"/>
  <c r="M453" i="1"/>
  <c r="P453" i="1" s="1"/>
  <c r="T454" i="1" s="1"/>
  <c r="M454" i="1"/>
  <c r="P454" i="1" s="1"/>
  <c r="T455" i="1" s="1"/>
  <c r="M455" i="1"/>
  <c r="P455" i="1" s="1"/>
  <c r="T456" i="1" s="1"/>
  <c r="M456" i="1"/>
  <c r="P456" i="1" s="1"/>
  <c r="T457" i="1" s="1"/>
  <c r="M457" i="1"/>
  <c r="P457" i="1" s="1"/>
  <c r="T458" i="1" s="1"/>
  <c r="M458" i="1"/>
  <c r="P458" i="1" s="1"/>
  <c r="T459" i="1" s="1"/>
  <c r="M459" i="1"/>
  <c r="P459" i="1" s="1"/>
  <c r="T460" i="1" s="1"/>
  <c r="M460" i="1"/>
  <c r="P460" i="1" s="1"/>
  <c r="T461" i="1" s="1"/>
  <c r="M461" i="1"/>
  <c r="P461" i="1" s="1"/>
  <c r="T462" i="1" s="1"/>
  <c r="M462" i="1"/>
  <c r="P462" i="1" s="1"/>
  <c r="T463" i="1" s="1"/>
  <c r="M463" i="1"/>
  <c r="P463" i="1" s="1"/>
  <c r="T464" i="1" s="1"/>
  <c r="M464" i="1"/>
  <c r="P464" i="1" s="1"/>
  <c r="T465" i="1" s="1"/>
  <c r="M465" i="1"/>
  <c r="P465" i="1" s="1"/>
  <c r="T466" i="1" s="1"/>
  <c r="M466" i="1"/>
  <c r="P466" i="1" s="1"/>
  <c r="T467" i="1" s="1"/>
  <c r="M467" i="1"/>
  <c r="P467" i="1" s="1"/>
  <c r="T468" i="1" s="1"/>
  <c r="M468" i="1"/>
  <c r="P468" i="1" s="1"/>
  <c r="T469" i="1" s="1"/>
  <c r="M469" i="1"/>
  <c r="P469" i="1" s="1"/>
  <c r="T470" i="1" s="1"/>
  <c r="M470" i="1"/>
  <c r="P470" i="1" s="1"/>
  <c r="T471" i="1" s="1"/>
  <c r="M471" i="1"/>
  <c r="P471" i="1" s="1"/>
  <c r="T472" i="1" s="1"/>
  <c r="M472" i="1"/>
  <c r="P472" i="1" s="1"/>
  <c r="T473" i="1" s="1"/>
  <c r="M473" i="1"/>
  <c r="P473" i="1" s="1"/>
  <c r="T474" i="1" s="1"/>
  <c r="M474" i="1"/>
  <c r="P474" i="1" s="1"/>
  <c r="T475" i="1" s="1"/>
  <c r="M475" i="1"/>
  <c r="P475" i="1" s="1"/>
  <c r="T476" i="1" s="1"/>
  <c r="M476" i="1"/>
  <c r="P476" i="1" s="1"/>
  <c r="T477" i="1" s="1"/>
  <c r="M477" i="1"/>
  <c r="P477" i="1" s="1"/>
  <c r="T478" i="1" s="1"/>
  <c r="M478" i="1"/>
  <c r="P478" i="1" s="1"/>
  <c r="T479" i="1" s="1"/>
  <c r="M479" i="1"/>
  <c r="P479" i="1" s="1"/>
  <c r="T480" i="1" s="1"/>
  <c r="M480" i="1"/>
  <c r="P480" i="1" s="1"/>
  <c r="T481" i="1" s="1"/>
  <c r="M481" i="1"/>
  <c r="P481" i="1" s="1"/>
  <c r="T482" i="1" s="1"/>
  <c r="M482" i="1"/>
  <c r="P482" i="1" s="1"/>
  <c r="T483" i="1" s="1"/>
  <c r="M483" i="1"/>
  <c r="P483" i="1" s="1"/>
  <c r="T484" i="1" s="1"/>
  <c r="M484" i="1"/>
  <c r="P484" i="1" s="1"/>
  <c r="T485" i="1" s="1"/>
  <c r="M485" i="1"/>
  <c r="P485" i="1" s="1"/>
  <c r="T486" i="1" s="1"/>
  <c r="M486" i="1"/>
  <c r="P486" i="1" s="1"/>
  <c r="T487" i="1" s="1"/>
  <c r="M487" i="1"/>
  <c r="P487" i="1" s="1"/>
  <c r="T488" i="1" s="1"/>
  <c r="M488" i="1"/>
  <c r="P488" i="1" s="1"/>
  <c r="T489" i="1" s="1"/>
  <c r="M489" i="1"/>
  <c r="P489" i="1" s="1"/>
  <c r="T490" i="1" s="1"/>
  <c r="M490" i="1"/>
  <c r="P490" i="1" s="1"/>
  <c r="T491" i="1" s="1"/>
  <c r="M491" i="1"/>
  <c r="P491" i="1" s="1"/>
  <c r="T492" i="1" s="1"/>
  <c r="M492" i="1"/>
  <c r="P492" i="1" s="1"/>
  <c r="T493" i="1" s="1"/>
  <c r="M493" i="1"/>
  <c r="P493" i="1" s="1"/>
  <c r="T494" i="1" s="1"/>
  <c r="M494" i="1"/>
  <c r="P494" i="1" s="1"/>
  <c r="T495" i="1" s="1"/>
  <c r="M495" i="1"/>
  <c r="P495" i="1" s="1"/>
  <c r="T496" i="1" s="1"/>
  <c r="M496" i="1"/>
  <c r="P496" i="1" s="1"/>
  <c r="T497" i="1" s="1"/>
  <c r="M497" i="1"/>
  <c r="P497" i="1" s="1"/>
  <c r="T498" i="1" s="1"/>
  <c r="M498" i="1"/>
  <c r="P498" i="1" s="1"/>
  <c r="T499" i="1" s="1"/>
  <c r="M499" i="1"/>
  <c r="P499" i="1" s="1"/>
  <c r="T500" i="1" s="1"/>
  <c r="M500" i="1"/>
  <c r="P500" i="1" s="1"/>
  <c r="T501" i="1" s="1"/>
  <c r="M501" i="1"/>
  <c r="P501" i="1" s="1"/>
  <c r="T502" i="1" s="1"/>
  <c r="M502" i="1"/>
  <c r="P502" i="1" s="1"/>
  <c r="T503" i="1" s="1"/>
  <c r="M503" i="1"/>
  <c r="P503" i="1" s="1"/>
  <c r="T504" i="1" s="1"/>
  <c r="M504" i="1"/>
  <c r="P504" i="1" s="1"/>
  <c r="T505" i="1" s="1"/>
  <c r="M505" i="1"/>
  <c r="P505" i="1" s="1"/>
  <c r="T506" i="1" s="1"/>
  <c r="M506" i="1"/>
  <c r="P506" i="1" s="1"/>
  <c r="T507" i="1" s="1"/>
  <c r="M507" i="1"/>
  <c r="P507" i="1" s="1"/>
  <c r="T508" i="1" s="1"/>
  <c r="M508" i="1"/>
  <c r="P508" i="1" s="1"/>
  <c r="T509" i="1" s="1"/>
  <c r="M509" i="1"/>
  <c r="P509" i="1" s="1"/>
  <c r="T510" i="1" s="1"/>
  <c r="M510" i="1"/>
  <c r="P510" i="1" s="1"/>
  <c r="T511" i="1" s="1"/>
  <c r="M511" i="1"/>
  <c r="P511" i="1" s="1"/>
  <c r="T512" i="1" s="1"/>
  <c r="M512" i="1"/>
  <c r="P512" i="1" s="1"/>
  <c r="T513" i="1" s="1"/>
  <c r="M513" i="1"/>
  <c r="P513" i="1" s="1"/>
  <c r="T514" i="1" s="1"/>
  <c r="M514" i="1"/>
  <c r="P514" i="1" s="1"/>
  <c r="T515" i="1" s="1"/>
  <c r="M515" i="1"/>
  <c r="P515" i="1" s="1"/>
  <c r="T516" i="1" s="1"/>
  <c r="M516" i="1"/>
  <c r="P516" i="1" s="1"/>
  <c r="T517" i="1" s="1"/>
  <c r="M517" i="1"/>
  <c r="P517" i="1" s="1"/>
  <c r="T518" i="1" s="1"/>
  <c r="M518" i="1"/>
  <c r="P518" i="1" s="1"/>
  <c r="T519" i="1" s="1"/>
  <c r="M519" i="1"/>
  <c r="P519" i="1" s="1"/>
  <c r="T520" i="1" s="1"/>
  <c r="M520" i="1"/>
  <c r="P520" i="1" s="1"/>
  <c r="T521" i="1" s="1"/>
  <c r="M521" i="1"/>
  <c r="P521" i="1" s="1"/>
  <c r="T522" i="1" s="1"/>
  <c r="M522" i="1"/>
  <c r="P522" i="1" s="1"/>
  <c r="T523" i="1" s="1"/>
  <c r="M523" i="1"/>
  <c r="P523" i="1" s="1"/>
  <c r="T524" i="1" s="1"/>
  <c r="M524" i="1"/>
  <c r="P524" i="1" s="1"/>
  <c r="T525" i="1" s="1"/>
  <c r="M525" i="1"/>
  <c r="P525" i="1" s="1"/>
  <c r="T526" i="1" s="1"/>
  <c r="M526" i="1"/>
  <c r="P526" i="1" s="1"/>
  <c r="T527" i="1" s="1"/>
  <c r="M527" i="1"/>
  <c r="P527" i="1" s="1"/>
  <c r="T528" i="1" s="1"/>
  <c r="M528" i="1"/>
  <c r="P528" i="1" s="1"/>
  <c r="T529" i="1" s="1"/>
  <c r="M529" i="1"/>
  <c r="P529" i="1" s="1"/>
  <c r="T530" i="1" s="1"/>
  <c r="M530" i="1"/>
  <c r="P530" i="1" s="1"/>
  <c r="T531" i="1" s="1"/>
  <c r="M531" i="1"/>
  <c r="P531" i="1" s="1"/>
  <c r="T532" i="1" s="1"/>
  <c r="M532" i="1"/>
  <c r="P532" i="1" s="1"/>
  <c r="T533" i="1" s="1"/>
  <c r="M533" i="1"/>
  <c r="P533" i="1" s="1"/>
  <c r="T534" i="1" s="1"/>
  <c r="M534" i="1"/>
  <c r="P534" i="1" s="1"/>
  <c r="T535" i="1" s="1"/>
  <c r="M535" i="1"/>
  <c r="P535" i="1" s="1"/>
  <c r="T536" i="1" s="1"/>
  <c r="M536" i="1"/>
  <c r="P536" i="1" s="1"/>
  <c r="T537" i="1" s="1"/>
  <c r="M537" i="1"/>
  <c r="P537" i="1" s="1"/>
  <c r="T538" i="1" s="1"/>
  <c r="M538" i="1"/>
  <c r="P538" i="1" s="1"/>
  <c r="T539" i="1" s="1"/>
  <c r="M539" i="1"/>
  <c r="P539" i="1" s="1"/>
  <c r="T540" i="1" s="1"/>
  <c r="M540" i="1"/>
  <c r="P540" i="1" s="1"/>
  <c r="T541" i="1" s="1"/>
  <c r="M541" i="1"/>
  <c r="P541" i="1" s="1"/>
  <c r="T542" i="1" s="1"/>
  <c r="M542" i="1"/>
  <c r="P542" i="1" s="1"/>
  <c r="T543" i="1" s="1"/>
  <c r="M543" i="1"/>
  <c r="P543" i="1" s="1"/>
  <c r="T544" i="1" s="1"/>
  <c r="M544" i="1"/>
  <c r="P544" i="1" s="1"/>
  <c r="T545" i="1" s="1"/>
  <c r="M545" i="1"/>
  <c r="P545" i="1" s="1"/>
  <c r="T546" i="1" s="1"/>
  <c r="M546" i="1"/>
  <c r="P546" i="1" s="1"/>
  <c r="T547" i="1" s="1"/>
  <c r="M547" i="1"/>
  <c r="P547" i="1" s="1"/>
  <c r="T548" i="1" s="1"/>
  <c r="M548" i="1"/>
  <c r="P548" i="1" s="1"/>
  <c r="T549" i="1" s="1"/>
  <c r="M549" i="1"/>
  <c r="P549" i="1" s="1"/>
  <c r="T550" i="1" s="1"/>
  <c r="M550" i="1"/>
  <c r="P550" i="1" s="1"/>
  <c r="T551" i="1" s="1"/>
  <c r="M551" i="1"/>
  <c r="P551" i="1" s="1"/>
  <c r="T552" i="1" s="1"/>
  <c r="M552" i="1"/>
  <c r="P552" i="1" s="1"/>
  <c r="T553" i="1" s="1"/>
  <c r="M553" i="1"/>
  <c r="P553" i="1" s="1"/>
  <c r="T554" i="1" s="1"/>
  <c r="M554" i="1"/>
  <c r="P554" i="1" s="1"/>
  <c r="T555" i="1" s="1"/>
  <c r="M555" i="1"/>
  <c r="P555" i="1" s="1"/>
  <c r="T556" i="1" s="1"/>
  <c r="M556" i="1"/>
  <c r="P556" i="1" s="1"/>
  <c r="T557" i="1" s="1"/>
  <c r="M557" i="1"/>
  <c r="P557" i="1" s="1"/>
  <c r="T558" i="1" s="1"/>
  <c r="M558" i="1"/>
  <c r="P558" i="1" s="1"/>
  <c r="T559" i="1" s="1"/>
  <c r="M559" i="1"/>
  <c r="P559" i="1" s="1"/>
  <c r="T560" i="1" s="1"/>
  <c r="M560" i="1"/>
  <c r="P560" i="1" s="1"/>
  <c r="T561" i="1" s="1"/>
  <c r="M561" i="1"/>
  <c r="P561" i="1" s="1"/>
  <c r="T562" i="1" s="1"/>
  <c r="M562" i="1"/>
  <c r="P562" i="1" s="1"/>
  <c r="T563" i="1" s="1"/>
  <c r="M563" i="1"/>
  <c r="P563" i="1" s="1"/>
  <c r="T564" i="1" s="1"/>
  <c r="M564" i="1"/>
  <c r="P564" i="1" s="1"/>
  <c r="T565" i="1" s="1"/>
  <c r="M565" i="1"/>
  <c r="P565" i="1" s="1"/>
  <c r="T566" i="1" s="1"/>
  <c r="M566" i="1"/>
  <c r="P566" i="1" s="1"/>
  <c r="T567" i="1" s="1"/>
  <c r="M567" i="1"/>
  <c r="P567" i="1" s="1"/>
  <c r="T568" i="1" s="1"/>
  <c r="M568" i="1"/>
  <c r="P568" i="1" s="1"/>
  <c r="T569" i="1" s="1"/>
  <c r="M569" i="1"/>
  <c r="P569" i="1" s="1"/>
  <c r="T570" i="1" s="1"/>
  <c r="M570" i="1"/>
  <c r="P570" i="1" s="1"/>
  <c r="T571" i="1" s="1"/>
  <c r="M571" i="1"/>
  <c r="P571" i="1" s="1"/>
  <c r="T572" i="1" s="1"/>
  <c r="M572" i="1"/>
  <c r="P572" i="1" s="1"/>
  <c r="T573" i="1" s="1"/>
  <c r="M573" i="1"/>
  <c r="P573" i="1" s="1"/>
  <c r="T574" i="1" s="1"/>
  <c r="M574" i="1"/>
  <c r="P574" i="1" s="1"/>
  <c r="T575" i="1" s="1"/>
  <c r="M575" i="1"/>
  <c r="P575" i="1" s="1"/>
  <c r="T576" i="1" s="1"/>
  <c r="M576" i="1"/>
  <c r="P576" i="1" s="1"/>
  <c r="T577" i="1" s="1"/>
  <c r="M577" i="1"/>
  <c r="P577" i="1" s="1"/>
  <c r="T578" i="1" s="1"/>
  <c r="M578" i="1"/>
  <c r="P578" i="1" s="1"/>
  <c r="T579" i="1" s="1"/>
  <c r="M579" i="1"/>
  <c r="P579" i="1" s="1"/>
  <c r="T580" i="1" s="1"/>
  <c r="M580" i="1"/>
  <c r="P580" i="1" s="1"/>
  <c r="T581" i="1" s="1"/>
  <c r="M581" i="1"/>
  <c r="P581" i="1" s="1"/>
  <c r="T582" i="1" s="1"/>
  <c r="M582" i="1"/>
  <c r="P582" i="1" s="1"/>
  <c r="T583" i="1" s="1"/>
  <c r="M583" i="1"/>
  <c r="P583" i="1" s="1"/>
  <c r="T584" i="1" s="1"/>
  <c r="M584" i="1"/>
  <c r="P584" i="1" s="1"/>
  <c r="T585" i="1" s="1"/>
  <c r="M585" i="1"/>
  <c r="P585" i="1" s="1"/>
  <c r="T586" i="1" s="1"/>
  <c r="M586" i="1"/>
  <c r="P586" i="1" s="1"/>
  <c r="T587" i="1" s="1"/>
  <c r="M587" i="1"/>
  <c r="P587" i="1" s="1"/>
  <c r="T588" i="1" s="1"/>
  <c r="M588" i="1"/>
  <c r="P588" i="1" s="1"/>
  <c r="T589" i="1" s="1"/>
  <c r="M589" i="1"/>
  <c r="P589" i="1" s="1"/>
  <c r="T590" i="1" s="1"/>
  <c r="M590" i="1"/>
  <c r="P590" i="1" s="1"/>
  <c r="T591" i="1" s="1"/>
  <c r="M591" i="1"/>
  <c r="P591" i="1" s="1"/>
  <c r="T592" i="1" s="1"/>
  <c r="M592" i="1"/>
  <c r="P592" i="1" s="1"/>
  <c r="T593" i="1" s="1"/>
  <c r="M593" i="1"/>
  <c r="P593" i="1" s="1"/>
  <c r="T594" i="1" s="1"/>
  <c r="M594" i="1"/>
  <c r="P594" i="1" s="1"/>
  <c r="T595" i="1" s="1"/>
  <c r="M595" i="1"/>
  <c r="P595" i="1" s="1"/>
  <c r="T596" i="1" s="1"/>
  <c r="M596" i="1"/>
  <c r="P596" i="1" s="1"/>
  <c r="T597" i="1" s="1"/>
  <c r="M597" i="1"/>
  <c r="P597" i="1" s="1"/>
  <c r="T598" i="1" s="1"/>
  <c r="M598" i="1"/>
  <c r="P598" i="1" s="1"/>
  <c r="T599" i="1" s="1"/>
  <c r="M599" i="1"/>
  <c r="P599" i="1" s="1"/>
  <c r="T600" i="1" s="1"/>
  <c r="M600" i="1"/>
  <c r="P600" i="1" s="1"/>
  <c r="T601" i="1" s="1"/>
  <c r="M601" i="1"/>
  <c r="P601" i="1" s="1"/>
  <c r="T602" i="1" s="1"/>
  <c r="M602" i="1"/>
  <c r="P602" i="1" s="1"/>
  <c r="T603" i="1" s="1"/>
  <c r="M603" i="1"/>
  <c r="P603" i="1" s="1"/>
  <c r="T604" i="1" s="1"/>
  <c r="M604" i="1"/>
  <c r="P604" i="1" s="1"/>
  <c r="T605" i="1" s="1"/>
  <c r="M605" i="1"/>
  <c r="P605" i="1" s="1"/>
  <c r="T606" i="1" s="1"/>
  <c r="M606" i="1"/>
  <c r="P606" i="1" s="1"/>
  <c r="T607" i="1" s="1"/>
  <c r="M607" i="1"/>
  <c r="P607" i="1" s="1"/>
  <c r="T608" i="1" s="1"/>
  <c r="M608" i="1"/>
  <c r="P608" i="1" s="1"/>
  <c r="T609" i="1" s="1"/>
  <c r="M609" i="1"/>
  <c r="P609" i="1" s="1"/>
  <c r="T610" i="1" s="1"/>
  <c r="M610" i="1"/>
  <c r="P610" i="1" s="1"/>
  <c r="T611" i="1" s="1"/>
  <c r="M611" i="1"/>
  <c r="P611" i="1" s="1"/>
  <c r="T612" i="1" s="1"/>
  <c r="M612" i="1"/>
  <c r="P612" i="1" s="1"/>
  <c r="T613" i="1" s="1"/>
  <c r="M613" i="1"/>
  <c r="P613" i="1" s="1"/>
  <c r="T614" i="1" s="1"/>
  <c r="M614" i="1"/>
  <c r="P614" i="1" s="1"/>
  <c r="T615" i="1" s="1"/>
  <c r="M615" i="1"/>
  <c r="P615" i="1" s="1"/>
  <c r="T616" i="1" s="1"/>
  <c r="M616" i="1"/>
  <c r="P616" i="1" s="1"/>
  <c r="T617" i="1" s="1"/>
  <c r="M617" i="1"/>
  <c r="P617" i="1" s="1"/>
  <c r="T618" i="1" s="1"/>
  <c r="M618" i="1"/>
  <c r="P618" i="1" s="1"/>
  <c r="T619" i="1" s="1"/>
  <c r="M619" i="1"/>
  <c r="P619" i="1" s="1"/>
  <c r="T620" i="1" s="1"/>
  <c r="M620" i="1"/>
  <c r="P620" i="1" s="1"/>
  <c r="T621" i="1" s="1"/>
  <c r="M621" i="1"/>
  <c r="P621" i="1" s="1"/>
  <c r="T622" i="1" s="1"/>
  <c r="M622" i="1"/>
  <c r="P622" i="1" s="1"/>
  <c r="T623" i="1" s="1"/>
  <c r="M623" i="1"/>
  <c r="P623" i="1" s="1"/>
  <c r="T624" i="1" s="1"/>
  <c r="M624" i="1"/>
  <c r="P624" i="1" s="1"/>
  <c r="T625" i="1" s="1"/>
  <c r="M625" i="1"/>
  <c r="P625" i="1" s="1"/>
  <c r="T626" i="1" s="1"/>
  <c r="M626" i="1"/>
  <c r="P626" i="1" s="1"/>
  <c r="T627" i="1" s="1"/>
  <c r="M627" i="1"/>
  <c r="P627" i="1" s="1"/>
  <c r="T628" i="1" s="1"/>
  <c r="M628" i="1"/>
  <c r="P628" i="1" s="1"/>
  <c r="T629" i="1" s="1"/>
  <c r="M629" i="1"/>
  <c r="P629" i="1" s="1"/>
  <c r="T630" i="1" s="1"/>
  <c r="M630" i="1"/>
  <c r="P630" i="1" s="1"/>
  <c r="T631" i="1" s="1"/>
  <c r="M631" i="1"/>
  <c r="P631" i="1" s="1"/>
  <c r="T632" i="1" s="1"/>
  <c r="M632" i="1"/>
  <c r="P632" i="1" s="1"/>
  <c r="T633" i="1" s="1"/>
  <c r="M633" i="1"/>
  <c r="P633" i="1" s="1"/>
  <c r="T634" i="1" s="1"/>
  <c r="M634" i="1"/>
  <c r="P634" i="1" s="1"/>
  <c r="T635" i="1" s="1"/>
  <c r="M635" i="1"/>
  <c r="P635" i="1" s="1"/>
  <c r="T636" i="1" s="1"/>
  <c r="M636" i="1"/>
  <c r="P636" i="1" s="1"/>
  <c r="T637" i="1" s="1"/>
  <c r="M637" i="1"/>
  <c r="P637" i="1" s="1"/>
  <c r="T638" i="1" s="1"/>
  <c r="M638" i="1"/>
  <c r="P638" i="1" s="1"/>
  <c r="T639" i="1" s="1"/>
  <c r="M639" i="1"/>
  <c r="P639" i="1" s="1"/>
  <c r="T640" i="1" s="1"/>
  <c r="M640" i="1"/>
  <c r="P640" i="1" s="1"/>
  <c r="T641" i="1" s="1"/>
  <c r="M641" i="1"/>
  <c r="P641" i="1" s="1"/>
  <c r="T642" i="1" s="1"/>
  <c r="M642" i="1"/>
  <c r="P642" i="1" s="1"/>
  <c r="T643" i="1" s="1"/>
  <c r="M643" i="1"/>
  <c r="P643" i="1" s="1"/>
  <c r="T644" i="1" s="1"/>
  <c r="M644" i="1"/>
  <c r="P644" i="1" s="1"/>
  <c r="T645" i="1" s="1"/>
  <c r="M645" i="1"/>
  <c r="P645" i="1" s="1"/>
  <c r="T646" i="1" s="1"/>
  <c r="M646" i="1"/>
  <c r="P646" i="1" s="1"/>
  <c r="T647" i="1" s="1"/>
  <c r="M647" i="1"/>
  <c r="P647" i="1" s="1"/>
  <c r="T648" i="1" s="1"/>
  <c r="M648" i="1"/>
  <c r="P648" i="1" s="1"/>
  <c r="T649" i="1" s="1"/>
  <c r="M649" i="1"/>
  <c r="P649" i="1" s="1"/>
  <c r="T650" i="1" s="1"/>
  <c r="M650" i="1"/>
  <c r="P650" i="1" s="1"/>
  <c r="T651" i="1" s="1"/>
  <c r="M651" i="1"/>
  <c r="P651" i="1" s="1"/>
  <c r="T652" i="1" s="1"/>
  <c r="M652" i="1"/>
  <c r="P652" i="1" s="1"/>
  <c r="T653" i="1" s="1"/>
  <c r="M653" i="1"/>
  <c r="P653" i="1" s="1"/>
  <c r="T654" i="1" s="1"/>
  <c r="M654" i="1"/>
  <c r="P654" i="1" s="1"/>
  <c r="T655" i="1" s="1"/>
  <c r="M655" i="1"/>
  <c r="P655" i="1" s="1"/>
  <c r="T656" i="1" s="1"/>
  <c r="M656" i="1"/>
  <c r="P656" i="1" s="1"/>
  <c r="T657" i="1" s="1"/>
  <c r="M657" i="1"/>
  <c r="P657" i="1" s="1"/>
  <c r="T658" i="1" s="1"/>
  <c r="M658" i="1"/>
  <c r="P658" i="1" s="1"/>
  <c r="T659" i="1" s="1"/>
  <c r="M659" i="1"/>
  <c r="P659" i="1" s="1"/>
  <c r="T660" i="1" s="1"/>
  <c r="M660" i="1"/>
  <c r="P660" i="1" s="1"/>
  <c r="T661" i="1" s="1"/>
  <c r="M661" i="1"/>
  <c r="P661" i="1" s="1"/>
  <c r="T662" i="1" s="1"/>
  <c r="M662" i="1"/>
  <c r="P662" i="1" s="1"/>
  <c r="T663" i="1" s="1"/>
  <c r="M663" i="1"/>
  <c r="P663" i="1" s="1"/>
  <c r="T664" i="1" s="1"/>
  <c r="M664" i="1"/>
  <c r="P664" i="1" s="1"/>
  <c r="T665" i="1" s="1"/>
  <c r="M665" i="1"/>
  <c r="P665" i="1" s="1"/>
  <c r="T666" i="1" s="1"/>
  <c r="M666" i="1"/>
  <c r="P666" i="1" s="1"/>
  <c r="T667" i="1" s="1"/>
  <c r="M667" i="1"/>
  <c r="P667" i="1" s="1"/>
  <c r="T668" i="1" s="1"/>
  <c r="M668" i="1"/>
  <c r="P668" i="1" s="1"/>
  <c r="T669" i="1" s="1"/>
  <c r="M669" i="1"/>
  <c r="P669" i="1" s="1"/>
  <c r="T670" i="1" s="1"/>
  <c r="M670" i="1"/>
  <c r="P670" i="1" s="1"/>
  <c r="T671" i="1" s="1"/>
  <c r="M671" i="1"/>
  <c r="P671" i="1" s="1"/>
  <c r="T672" i="1" s="1"/>
  <c r="M672" i="1"/>
  <c r="P672" i="1" s="1"/>
  <c r="T673" i="1" s="1"/>
  <c r="M673" i="1"/>
  <c r="P673" i="1" s="1"/>
  <c r="T674" i="1" s="1"/>
  <c r="M674" i="1"/>
  <c r="P674" i="1" s="1"/>
  <c r="T675" i="1" s="1"/>
  <c r="M675" i="1"/>
  <c r="P675" i="1" s="1"/>
  <c r="T676" i="1" s="1"/>
  <c r="M676" i="1"/>
  <c r="P676" i="1" s="1"/>
  <c r="T677" i="1" s="1"/>
  <c r="M677" i="1"/>
  <c r="P677" i="1" s="1"/>
  <c r="T678" i="1" s="1"/>
  <c r="M678" i="1"/>
  <c r="P678" i="1" s="1"/>
  <c r="T679" i="1" s="1"/>
  <c r="M679" i="1"/>
  <c r="P679" i="1" s="1"/>
  <c r="T680" i="1" s="1"/>
  <c r="M680" i="1"/>
  <c r="P680" i="1" s="1"/>
  <c r="T681" i="1" s="1"/>
  <c r="M681" i="1"/>
  <c r="P681" i="1" s="1"/>
  <c r="T682" i="1" s="1"/>
  <c r="M682" i="1"/>
  <c r="P682" i="1" s="1"/>
  <c r="T683" i="1" s="1"/>
  <c r="M683" i="1"/>
  <c r="P683" i="1" s="1"/>
  <c r="T684" i="1" s="1"/>
  <c r="M684" i="1"/>
  <c r="P684" i="1" s="1"/>
  <c r="T685" i="1" s="1"/>
  <c r="M685" i="1"/>
  <c r="P685" i="1" s="1"/>
  <c r="T686" i="1" s="1"/>
  <c r="M686" i="1"/>
  <c r="P686" i="1" s="1"/>
  <c r="T687" i="1" s="1"/>
  <c r="M687" i="1"/>
  <c r="P687" i="1" s="1"/>
  <c r="T688" i="1" s="1"/>
  <c r="M688" i="1"/>
  <c r="P688" i="1" s="1"/>
  <c r="T689" i="1" s="1"/>
  <c r="M689" i="1"/>
  <c r="P689" i="1" s="1"/>
  <c r="T690" i="1" s="1"/>
  <c r="M690" i="1"/>
  <c r="P690" i="1" s="1"/>
  <c r="T691" i="1" s="1"/>
  <c r="M691" i="1"/>
  <c r="P691" i="1" s="1"/>
  <c r="T692" i="1" s="1"/>
  <c r="M692" i="1"/>
  <c r="P692" i="1" s="1"/>
  <c r="T693" i="1" s="1"/>
  <c r="M693" i="1"/>
  <c r="P693" i="1" s="1"/>
  <c r="T694" i="1" s="1"/>
  <c r="M694" i="1"/>
  <c r="P694" i="1" s="1"/>
  <c r="T695" i="1" s="1"/>
  <c r="M695" i="1"/>
  <c r="P695" i="1" s="1"/>
  <c r="T696" i="1" s="1"/>
  <c r="M696" i="1"/>
  <c r="P696" i="1" s="1"/>
  <c r="T697" i="1" s="1"/>
  <c r="M697" i="1"/>
  <c r="P697" i="1" s="1"/>
  <c r="T698" i="1" s="1"/>
  <c r="M698" i="1"/>
  <c r="P698" i="1" s="1"/>
  <c r="T699" i="1" s="1"/>
  <c r="M699" i="1"/>
  <c r="P699" i="1" s="1"/>
  <c r="T700" i="1" s="1"/>
  <c r="M700" i="1"/>
  <c r="P700" i="1" s="1"/>
  <c r="T701" i="1" s="1"/>
  <c r="M701" i="1"/>
  <c r="P701" i="1" s="1"/>
  <c r="T702" i="1" s="1"/>
  <c r="M702" i="1"/>
  <c r="P702" i="1" s="1"/>
  <c r="T703" i="1" s="1"/>
  <c r="M703" i="1"/>
  <c r="P703" i="1" s="1"/>
  <c r="T704" i="1" s="1"/>
  <c r="M704" i="1"/>
  <c r="P704" i="1" s="1"/>
  <c r="T705" i="1" s="1"/>
  <c r="M705" i="1"/>
  <c r="P705" i="1" s="1"/>
  <c r="T706" i="1" s="1"/>
  <c r="M706" i="1"/>
  <c r="P706" i="1" s="1"/>
  <c r="T707" i="1" s="1"/>
  <c r="M707" i="1"/>
  <c r="P707" i="1" s="1"/>
  <c r="T708" i="1" s="1"/>
  <c r="M708" i="1"/>
  <c r="P708" i="1" s="1"/>
  <c r="T709" i="1" s="1"/>
  <c r="M709" i="1"/>
  <c r="P709" i="1" s="1"/>
  <c r="T710" i="1" s="1"/>
  <c r="M710" i="1"/>
  <c r="P710" i="1" s="1"/>
  <c r="T711" i="1" s="1"/>
  <c r="M711" i="1"/>
  <c r="P711" i="1" s="1"/>
  <c r="T712" i="1" s="1"/>
  <c r="M712" i="1"/>
  <c r="P712" i="1" s="1"/>
  <c r="T713" i="1" s="1"/>
  <c r="M713" i="1"/>
  <c r="P713" i="1" s="1"/>
  <c r="T714" i="1" s="1"/>
  <c r="M714" i="1"/>
  <c r="P714" i="1" s="1"/>
  <c r="T715" i="1" s="1"/>
  <c r="M715" i="1"/>
  <c r="P715" i="1" s="1"/>
  <c r="T716" i="1" s="1"/>
  <c r="M716" i="1"/>
  <c r="P716" i="1" s="1"/>
  <c r="T717" i="1" s="1"/>
  <c r="M717" i="1"/>
  <c r="P717" i="1" s="1"/>
  <c r="T718" i="1" s="1"/>
  <c r="M718" i="1"/>
  <c r="P718" i="1" s="1"/>
  <c r="T719" i="1" s="1"/>
  <c r="M719" i="1"/>
  <c r="P719" i="1" s="1"/>
  <c r="T720" i="1" s="1"/>
  <c r="M720" i="1"/>
  <c r="P720" i="1" s="1"/>
  <c r="T721" i="1" s="1"/>
  <c r="M721" i="1"/>
  <c r="P721" i="1" s="1"/>
  <c r="T722" i="1" s="1"/>
  <c r="M722" i="1"/>
  <c r="P722" i="1" s="1"/>
  <c r="T723" i="1" s="1"/>
  <c r="M723" i="1"/>
  <c r="P723" i="1" s="1"/>
  <c r="T724" i="1" s="1"/>
  <c r="M724" i="1"/>
  <c r="P724" i="1" s="1"/>
  <c r="T725" i="1" s="1"/>
  <c r="M725" i="1"/>
  <c r="P725" i="1" s="1"/>
  <c r="T726" i="1" s="1"/>
  <c r="M726" i="1"/>
  <c r="P726" i="1" s="1"/>
  <c r="T727" i="1" s="1"/>
  <c r="M727" i="1"/>
  <c r="P727" i="1" s="1"/>
  <c r="T728" i="1" s="1"/>
  <c r="M728" i="1"/>
  <c r="P728" i="1" s="1"/>
  <c r="T729" i="1" s="1"/>
  <c r="M729" i="1"/>
  <c r="P729" i="1" s="1"/>
  <c r="T730" i="1" s="1"/>
  <c r="M730" i="1"/>
  <c r="P730" i="1" s="1"/>
  <c r="T731" i="1" s="1"/>
  <c r="M731" i="1"/>
  <c r="P731" i="1" s="1"/>
  <c r="T732" i="1" s="1"/>
  <c r="M732" i="1"/>
  <c r="P732" i="1" s="1"/>
  <c r="T733" i="1" s="1"/>
  <c r="M733" i="1"/>
  <c r="P733" i="1" s="1"/>
  <c r="T734" i="1" s="1"/>
  <c r="M734" i="1"/>
  <c r="P734" i="1" s="1"/>
  <c r="T735" i="1" s="1"/>
  <c r="M735" i="1"/>
  <c r="P735" i="1" s="1"/>
  <c r="T736" i="1" s="1"/>
  <c r="M736" i="1"/>
  <c r="P736" i="1" s="1"/>
  <c r="T737" i="1" s="1"/>
  <c r="M737" i="1"/>
  <c r="P737" i="1" s="1"/>
  <c r="T738" i="1" s="1"/>
  <c r="M738" i="1"/>
  <c r="P738" i="1" s="1"/>
  <c r="T739" i="1" s="1"/>
  <c r="M739" i="1"/>
  <c r="P739" i="1" s="1"/>
  <c r="M2" i="1"/>
  <c r="P2" i="1" s="1"/>
  <c r="T3" i="1" s="1"/>
  <c r="L4"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W697" i="1" l="1"/>
  <c r="X697" i="1" s="1" a="1"/>
  <c r="X697" i="1" s="1"/>
  <c r="W649" i="1"/>
  <c r="X649" i="1" s="1" a="1"/>
  <c r="X649" i="1" s="1"/>
  <c r="W505" i="1"/>
  <c r="X505" i="1" s="1" a="1"/>
  <c r="X505" i="1" s="1"/>
  <c r="W349" i="1"/>
  <c r="X349" i="1" s="1" a="1"/>
  <c r="X349" i="1" s="1"/>
  <c r="W685" i="1"/>
  <c r="X685" i="1" s="1" a="1"/>
  <c r="X685" i="1" s="1"/>
  <c r="W625" i="1"/>
  <c r="X625" i="1" s="1" a="1"/>
  <c r="X625" i="1" s="1"/>
  <c r="W553" i="1"/>
  <c r="X553" i="1" s="1" a="1"/>
  <c r="X553" i="1" s="1"/>
  <c r="W409" i="1"/>
  <c r="X409" i="1" s="1" a="1"/>
  <c r="X409" i="1" s="1"/>
  <c r="W637" i="1"/>
  <c r="X637" i="1" s="1" a="1"/>
  <c r="X637" i="1" s="1"/>
  <c r="W601" i="1"/>
  <c r="X601" i="1" s="1" a="1"/>
  <c r="X601" i="1" s="1"/>
  <c r="W457" i="1"/>
  <c r="X457" i="1" s="1" a="1"/>
  <c r="X457" i="1" s="1"/>
  <c r="W433" i="1"/>
  <c r="X433" i="1" s="1" a="1"/>
  <c r="X433" i="1" s="1"/>
  <c r="W361" i="1"/>
  <c r="X361" i="1" s="1" a="1"/>
  <c r="X361" i="1" s="1"/>
  <c r="W529" i="1"/>
  <c r="X529" i="1" s="1" a="1"/>
  <c r="X529" i="1" s="1"/>
  <c r="W733" i="1"/>
  <c r="X733" i="1" s="1" a="1"/>
  <c r="X733" i="1" s="1"/>
  <c r="W732" i="1"/>
  <c r="X732" i="1" s="1" a="1"/>
  <c r="X732" i="1" s="1"/>
  <c r="W684" i="1"/>
  <c r="X684" i="1" s="1" a="1"/>
  <c r="X684" i="1" s="1"/>
  <c r="W648" i="1"/>
  <c r="X648" i="1" s="1" a="1"/>
  <c r="X648" i="1" s="1"/>
  <c r="W636" i="1"/>
  <c r="X636" i="1" s="1" a="1"/>
  <c r="X636" i="1" s="1"/>
  <c r="W600" i="1"/>
  <c r="X600" i="1" s="1" a="1"/>
  <c r="X600" i="1" s="1"/>
  <c r="W696" i="1"/>
  <c r="X696" i="1" s="1" a="1"/>
  <c r="X696" i="1" s="1"/>
  <c r="W731" i="1"/>
  <c r="X731" i="1" s="1" a="1"/>
  <c r="X731" i="1" s="1"/>
  <c r="W695" i="1"/>
  <c r="X695" i="1" s="1" a="1"/>
  <c r="X695" i="1" s="1"/>
  <c r="W721" i="1"/>
  <c r="X721" i="1" s="1" a="1"/>
  <c r="X721" i="1" s="1"/>
  <c r="W385" i="1"/>
  <c r="X385" i="1" s="1" a="1"/>
  <c r="X385" i="1" s="1"/>
  <c r="W683" i="1"/>
  <c r="X683" i="1" s="1" a="1"/>
  <c r="X683" i="1" s="1"/>
  <c r="W647" i="1"/>
  <c r="X647" i="1" s="1" a="1"/>
  <c r="X647" i="1" s="1"/>
  <c r="W635" i="1"/>
  <c r="X635" i="1" s="1" a="1"/>
  <c r="X635" i="1" s="1"/>
  <c r="W659" i="1"/>
  <c r="X659" i="1" s="1" a="1"/>
  <c r="X659" i="1" s="1"/>
  <c r="W493" i="1"/>
  <c r="X493" i="1" s="1" a="1"/>
  <c r="X493" i="1" s="1"/>
  <c r="W445" i="1"/>
  <c r="X445" i="1" s="1" a="1"/>
  <c r="X445" i="1" s="1"/>
  <c r="W577" i="1"/>
  <c r="X577" i="1" s="1" a="1"/>
  <c r="X577" i="1" s="1"/>
  <c r="W2" i="1"/>
  <c r="X2" i="1" s="1" a="1"/>
  <c r="X2" i="1" s="1"/>
  <c r="W565" i="1"/>
  <c r="X565" i="1" s="1" a="1"/>
  <c r="X565" i="1" s="1"/>
  <c r="W709" i="1"/>
  <c r="X709" i="1" s="1" a="1"/>
  <c r="X709" i="1" s="1"/>
  <c r="W613" i="1"/>
  <c r="X613" i="1" s="1" a="1"/>
  <c r="X613" i="1" s="1"/>
  <c r="W517" i="1"/>
  <c r="X517" i="1" s="1" a="1"/>
  <c r="X517" i="1" s="1"/>
  <c r="W421" i="1"/>
  <c r="X421" i="1" s="1" a="1"/>
  <c r="X421" i="1" s="1"/>
  <c r="W660" i="1"/>
  <c r="X660" i="1" s="1" a="1"/>
  <c r="X660" i="1" s="1"/>
  <c r="W589" i="1"/>
  <c r="X589" i="1" s="1" a="1"/>
  <c r="X589" i="1" s="1"/>
  <c r="W469" i="1"/>
  <c r="X469" i="1" s="1" a="1"/>
  <c r="X469" i="1" s="1"/>
  <c r="W373" i="1"/>
  <c r="X373" i="1" s="1" a="1"/>
  <c r="X373" i="1" s="1"/>
  <c r="W708" i="1"/>
  <c r="X708" i="1" s="1" a="1"/>
  <c r="X708" i="1" s="1"/>
  <c r="W624" i="1"/>
  <c r="X624" i="1" s="1" a="1"/>
  <c r="X624" i="1" s="1"/>
  <c r="W612" i="1"/>
  <c r="X612" i="1" s="1" a="1"/>
  <c r="X612" i="1" s="1"/>
  <c r="W661" i="1"/>
  <c r="X661" i="1" s="1" a="1"/>
  <c r="X661" i="1" s="1"/>
  <c r="W707" i="1"/>
  <c r="X707" i="1" s="1" a="1"/>
  <c r="X707" i="1" s="1"/>
  <c r="W646" i="1"/>
  <c r="X646" i="1" s="1" a="1"/>
  <c r="X646" i="1" s="1"/>
  <c r="W538" i="1"/>
  <c r="X538" i="1" s="1" a="1"/>
  <c r="X538" i="1" s="1"/>
  <c r="W442" i="1"/>
  <c r="X442" i="1" s="1" a="1"/>
  <c r="X442" i="1" s="1"/>
  <c r="W346" i="1"/>
  <c r="X346" i="1" s="1" a="1"/>
  <c r="X346" i="1" s="1"/>
  <c r="W238" i="1"/>
  <c r="X238" i="1" s="1" a="1"/>
  <c r="X238" i="1" s="1"/>
  <c r="W729" i="1"/>
  <c r="X729" i="1" s="1" a="1"/>
  <c r="X729" i="1" s="1"/>
  <c r="W621" i="1"/>
  <c r="X621" i="1" s="1" a="1"/>
  <c r="X621" i="1" s="1"/>
  <c r="W525" i="1"/>
  <c r="X525" i="1" s="1" a="1"/>
  <c r="X525" i="1" s="1"/>
  <c r="W417" i="1"/>
  <c r="X417" i="1" s="1" a="1"/>
  <c r="X417" i="1" s="1"/>
  <c r="W309" i="1"/>
  <c r="X309" i="1" s="1" a="1"/>
  <c r="X309" i="1" s="1"/>
  <c r="W644" i="1"/>
  <c r="X644" i="1" s="1" a="1"/>
  <c r="X644" i="1" s="1"/>
  <c r="W536" i="1"/>
  <c r="X536" i="1" s="1" a="1"/>
  <c r="X536" i="1" s="1"/>
  <c r="W440" i="1"/>
  <c r="X440" i="1" s="1" a="1"/>
  <c r="X440" i="1" s="1"/>
  <c r="W308" i="1"/>
  <c r="X308" i="1" s="1" a="1"/>
  <c r="X308" i="1" s="1"/>
  <c r="W739" i="1"/>
  <c r="X739" i="1" s="1" a="1"/>
  <c r="X739" i="1" s="1"/>
  <c r="W727" i="1"/>
  <c r="X727" i="1" s="1" a="1"/>
  <c r="X727" i="1" s="1"/>
  <c r="W703" i="1"/>
  <c r="X703" i="1" s="1" a="1"/>
  <c r="X703" i="1" s="1"/>
  <c r="W691" i="1"/>
  <c r="X691" i="1" s="1" a="1"/>
  <c r="X691" i="1" s="1"/>
  <c r="W679" i="1"/>
  <c r="X679" i="1" s="1" a="1"/>
  <c r="X679" i="1" s="1"/>
  <c r="W667" i="1"/>
  <c r="X667" i="1" s="1" a="1"/>
  <c r="X667" i="1" s="1"/>
  <c r="W655" i="1"/>
  <c r="X655" i="1" s="1" a="1"/>
  <c r="X655" i="1" s="1"/>
  <c r="W643" i="1"/>
  <c r="X643" i="1" s="1" a="1"/>
  <c r="X643" i="1" s="1"/>
  <c r="W631" i="1"/>
  <c r="X631" i="1" s="1" a="1"/>
  <c r="X631" i="1" s="1"/>
  <c r="W619" i="1"/>
  <c r="X619" i="1" s="1" a="1"/>
  <c r="X619" i="1" s="1"/>
  <c r="W607" i="1"/>
  <c r="X607" i="1" s="1" a="1"/>
  <c r="X607" i="1" s="1"/>
  <c r="W595" i="1"/>
  <c r="X595" i="1" s="1" a="1"/>
  <c r="X595" i="1" s="1"/>
  <c r="W583" i="1"/>
  <c r="X583" i="1" s="1" a="1"/>
  <c r="X583" i="1" s="1"/>
  <c r="W571" i="1"/>
  <c r="X571" i="1" s="1" a="1"/>
  <c r="X571" i="1" s="1"/>
  <c r="W559" i="1"/>
  <c r="X559" i="1" s="1" a="1"/>
  <c r="X559" i="1" s="1"/>
  <c r="W547" i="1"/>
  <c r="X547" i="1" s="1" a="1"/>
  <c r="X547" i="1" s="1"/>
  <c r="W535" i="1"/>
  <c r="X535" i="1" s="1" a="1"/>
  <c r="X535" i="1" s="1"/>
  <c r="W523" i="1"/>
  <c r="X523" i="1" s="1" a="1"/>
  <c r="X523" i="1" s="1"/>
  <c r="W511" i="1"/>
  <c r="X511" i="1" s="1" a="1"/>
  <c r="X511" i="1" s="1"/>
  <c r="W499" i="1"/>
  <c r="X499" i="1" s="1" a="1"/>
  <c r="X499" i="1" s="1"/>
  <c r="W487" i="1"/>
  <c r="X487" i="1" s="1" a="1"/>
  <c r="X487" i="1" s="1"/>
  <c r="W475" i="1"/>
  <c r="X475" i="1" s="1" a="1"/>
  <c r="X475" i="1" s="1"/>
  <c r="W463" i="1"/>
  <c r="X463" i="1" s="1" a="1"/>
  <c r="X463" i="1" s="1"/>
  <c r="W451" i="1"/>
  <c r="X451" i="1" s="1" a="1"/>
  <c r="X451" i="1" s="1"/>
  <c r="W439" i="1"/>
  <c r="X439" i="1" s="1" a="1"/>
  <c r="X439" i="1" s="1"/>
  <c r="W427" i="1"/>
  <c r="X427" i="1" s="1" a="1"/>
  <c r="X427" i="1" s="1"/>
  <c r="W415" i="1"/>
  <c r="X415" i="1" s="1" a="1"/>
  <c r="X415" i="1" s="1"/>
  <c r="W403" i="1"/>
  <c r="X403" i="1" s="1" a="1"/>
  <c r="X403" i="1" s="1"/>
  <c r="W391" i="1"/>
  <c r="X391" i="1" s="1" a="1"/>
  <c r="X391" i="1" s="1"/>
  <c r="W379" i="1"/>
  <c r="X379" i="1" s="1" a="1"/>
  <c r="X379" i="1" s="1"/>
  <c r="W367" i="1"/>
  <c r="X367" i="1" s="1" a="1"/>
  <c r="X367" i="1" s="1"/>
  <c r="W355" i="1"/>
  <c r="X355" i="1" s="1" a="1"/>
  <c r="X355" i="1" s="1"/>
  <c r="W343" i="1"/>
  <c r="X343" i="1" s="1" a="1"/>
  <c r="X343" i="1" s="1"/>
  <c r="W331" i="1"/>
  <c r="X331" i="1" s="1" a="1"/>
  <c r="X331" i="1" s="1"/>
  <c r="W319" i="1"/>
  <c r="X319" i="1" s="1" a="1"/>
  <c r="X319" i="1" s="1"/>
  <c r="W307" i="1"/>
  <c r="X307" i="1" s="1" a="1"/>
  <c r="X307" i="1" s="1"/>
  <c r="W295" i="1"/>
  <c r="X295" i="1" s="1" a="1"/>
  <c r="X295" i="1" s="1"/>
  <c r="W283" i="1"/>
  <c r="X283" i="1" s="1" a="1"/>
  <c r="X283" i="1" s="1"/>
  <c r="W271" i="1"/>
  <c r="X271" i="1" s="1" a="1"/>
  <c r="X271" i="1" s="1"/>
  <c r="W259" i="1"/>
  <c r="X259" i="1" s="1" a="1"/>
  <c r="X259" i="1" s="1"/>
  <c r="W481" i="1"/>
  <c r="X481" i="1" s="1" a="1"/>
  <c r="X481" i="1" s="1"/>
  <c r="W397" i="1"/>
  <c r="X397" i="1" s="1" a="1"/>
  <c r="X397" i="1" s="1"/>
  <c r="W672" i="1"/>
  <c r="X672" i="1" s="1" a="1"/>
  <c r="X672" i="1" s="1"/>
  <c r="W719" i="1"/>
  <c r="X719" i="1" s="1" a="1"/>
  <c r="X719" i="1" s="1"/>
  <c r="W730" i="1"/>
  <c r="X730" i="1" s="1" a="1"/>
  <c r="X730" i="1" s="1"/>
  <c r="W670" i="1"/>
  <c r="X670" i="1" s="1" a="1"/>
  <c r="X670" i="1" s="1"/>
  <c r="W634" i="1"/>
  <c r="X634" i="1" s="1" a="1"/>
  <c r="X634" i="1" s="1"/>
  <c r="W574" i="1"/>
  <c r="X574" i="1" s="1" a="1"/>
  <c r="X574" i="1" s="1"/>
  <c r="W514" i="1"/>
  <c r="X514" i="1" s="1" a="1"/>
  <c r="X514" i="1" s="1"/>
  <c r="W478" i="1"/>
  <c r="X478" i="1" s="1" a="1"/>
  <c r="X478" i="1" s="1"/>
  <c r="W466" i="1"/>
  <c r="X466" i="1" s="1" a="1"/>
  <c r="X466" i="1" s="1"/>
  <c r="W382" i="1"/>
  <c r="X382" i="1" s="1" a="1"/>
  <c r="X382" i="1" s="1"/>
  <c r="W358" i="1"/>
  <c r="X358" i="1" s="1" a="1"/>
  <c r="X358" i="1" s="1"/>
  <c r="W286" i="1"/>
  <c r="X286" i="1" s="1" a="1"/>
  <c r="X286" i="1" s="1"/>
  <c r="W274" i="1"/>
  <c r="X274" i="1" s="1" a="1"/>
  <c r="X274" i="1" s="1"/>
  <c r="W681" i="1"/>
  <c r="X681" i="1" s="1" a="1"/>
  <c r="X681" i="1" s="1"/>
  <c r="W645" i="1"/>
  <c r="X645" i="1" s="1" a="1"/>
  <c r="X645" i="1" s="1"/>
  <c r="W573" i="1"/>
  <c r="X573" i="1" s="1" a="1"/>
  <c r="X573" i="1" s="1"/>
  <c r="W549" i="1"/>
  <c r="X549" i="1" s="1" a="1"/>
  <c r="X549" i="1" s="1"/>
  <c r="W489" i="1"/>
  <c r="X489" i="1" s="1" a="1"/>
  <c r="X489" i="1" s="1"/>
  <c r="W453" i="1"/>
  <c r="X453" i="1" s="1" a="1"/>
  <c r="X453" i="1" s="1"/>
  <c r="W381" i="1"/>
  <c r="X381" i="1" s="1" a="1"/>
  <c r="X381" i="1" s="1"/>
  <c r="W357" i="1"/>
  <c r="X357" i="1" s="1" a="1"/>
  <c r="X357" i="1" s="1"/>
  <c r="W345" i="1"/>
  <c r="X345" i="1" s="1" a="1"/>
  <c r="X345" i="1" s="1"/>
  <c r="W704" i="1"/>
  <c r="X704" i="1" s="1" a="1"/>
  <c r="X704" i="1" s="1"/>
  <c r="W668" i="1"/>
  <c r="X668" i="1" s="1" a="1"/>
  <c r="X668" i="1" s="1"/>
  <c r="W632" i="1"/>
  <c r="X632" i="1" s="1" a="1"/>
  <c r="X632" i="1" s="1"/>
  <c r="W572" i="1"/>
  <c r="X572" i="1" s="1" a="1"/>
  <c r="X572" i="1" s="1"/>
  <c r="W548" i="1"/>
  <c r="X548" i="1" s="1" a="1"/>
  <c r="X548" i="1" s="1"/>
  <c r="W476" i="1"/>
  <c r="X476" i="1" s="1" a="1"/>
  <c r="X476" i="1" s="1"/>
  <c r="W452" i="1"/>
  <c r="X452" i="1" s="1" a="1"/>
  <c r="X452" i="1" s="1"/>
  <c r="W392" i="1"/>
  <c r="X392" i="1" s="1" a="1"/>
  <c r="X392" i="1" s="1"/>
  <c r="W356" i="1"/>
  <c r="X356" i="1" s="1" a="1"/>
  <c r="X356" i="1" s="1"/>
  <c r="W284" i="1"/>
  <c r="X284" i="1" s="1" a="1"/>
  <c r="X284" i="1" s="1"/>
  <c r="W715" i="1"/>
  <c r="X715" i="1" s="1" a="1"/>
  <c r="X715" i="1" s="1"/>
  <c r="W738" i="1"/>
  <c r="X738" i="1" s="1" a="1"/>
  <c r="X738" i="1" s="1"/>
  <c r="W726" i="1"/>
  <c r="X726" i="1" s="1" a="1"/>
  <c r="X726" i="1" s="1"/>
  <c r="W714" i="1"/>
  <c r="X714" i="1" s="1" a="1"/>
  <c r="X714" i="1" s="1"/>
  <c r="W702" i="1"/>
  <c r="X702" i="1" s="1" a="1"/>
  <c r="X702" i="1" s="1"/>
  <c r="W690" i="1"/>
  <c r="X690" i="1" s="1" a="1"/>
  <c r="X690" i="1" s="1"/>
  <c r="W678" i="1"/>
  <c r="X678" i="1" s="1" a="1"/>
  <c r="X678" i="1" s="1"/>
  <c r="W666" i="1"/>
  <c r="X666" i="1" s="1" a="1"/>
  <c r="X666" i="1" s="1"/>
  <c r="W654" i="1"/>
  <c r="X654" i="1" s="1" a="1"/>
  <c r="X654" i="1" s="1"/>
  <c r="W642" i="1"/>
  <c r="X642" i="1" s="1" a="1"/>
  <c r="X642" i="1" s="1"/>
  <c r="W630" i="1"/>
  <c r="X630" i="1" s="1" a="1"/>
  <c r="X630" i="1" s="1"/>
  <c r="W618" i="1"/>
  <c r="X618" i="1" s="1" a="1"/>
  <c r="X618" i="1" s="1"/>
  <c r="W606" i="1"/>
  <c r="X606" i="1" s="1" a="1"/>
  <c r="X606" i="1" s="1"/>
  <c r="W594" i="1"/>
  <c r="X594" i="1" s="1" a="1"/>
  <c r="X594" i="1" s="1"/>
  <c r="W582" i="1"/>
  <c r="X582" i="1" s="1" a="1"/>
  <c r="X582" i="1" s="1"/>
  <c r="W570" i="1"/>
  <c r="X570" i="1" s="1" a="1"/>
  <c r="X570" i="1" s="1"/>
  <c r="W558" i="1"/>
  <c r="X558" i="1" s="1" a="1"/>
  <c r="X558" i="1" s="1"/>
  <c r="W546" i="1"/>
  <c r="X546" i="1" s="1" a="1"/>
  <c r="X546" i="1" s="1"/>
  <c r="W534" i="1"/>
  <c r="X534" i="1" s="1" a="1"/>
  <c r="X534" i="1" s="1"/>
  <c r="W522" i="1"/>
  <c r="X522" i="1" s="1" a="1"/>
  <c r="X522" i="1" s="1"/>
  <c r="W510" i="1"/>
  <c r="X510" i="1" s="1" a="1"/>
  <c r="X510" i="1" s="1"/>
  <c r="W498" i="1"/>
  <c r="X498" i="1" s="1" a="1"/>
  <c r="X498" i="1" s="1"/>
  <c r="W486" i="1"/>
  <c r="X486" i="1" s="1" a="1"/>
  <c r="X486" i="1" s="1"/>
  <c r="W474" i="1"/>
  <c r="X474" i="1" s="1" a="1"/>
  <c r="X474" i="1" s="1"/>
  <c r="W462" i="1"/>
  <c r="X462" i="1" s="1" a="1"/>
  <c r="X462" i="1" s="1"/>
  <c r="W450" i="1"/>
  <c r="X450" i="1" s="1" a="1"/>
  <c r="X450" i="1" s="1"/>
  <c r="W438" i="1"/>
  <c r="X438" i="1" s="1" a="1"/>
  <c r="X438" i="1" s="1"/>
  <c r="W426" i="1"/>
  <c r="X426" i="1" s="1" a="1"/>
  <c r="X426" i="1" s="1"/>
  <c r="W414" i="1"/>
  <c r="X414" i="1" s="1" a="1"/>
  <c r="X414" i="1" s="1"/>
  <c r="W402" i="1"/>
  <c r="X402" i="1" s="1" a="1"/>
  <c r="X402" i="1" s="1"/>
  <c r="W390" i="1"/>
  <c r="X390" i="1" s="1" a="1"/>
  <c r="X390" i="1" s="1"/>
  <c r="W378" i="1"/>
  <c r="X378" i="1" s="1" a="1"/>
  <c r="X378" i="1" s="1"/>
  <c r="W366" i="1"/>
  <c r="X366" i="1" s="1" a="1"/>
  <c r="X366" i="1" s="1"/>
  <c r="W354" i="1"/>
  <c r="X354" i="1" s="1" a="1"/>
  <c r="X354" i="1" s="1"/>
  <c r="W342" i="1"/>
  <c r="X342" i="1" s="1" a="1"/>
  <c r="X342" i="1" s="1"/>
  <c r="W330" i="1"/>
  <c r="X330" i="1" s="1" a="1"/>
  <c r="X330" i="1" s="1"/>
  <c r="W318" i="1"/>
  <c r="X318" i="1" s="1" a="1"/>
  <c r="X318" i="1" s="1"/>
  <c r="W306" i="1"/>
  <c r="X306" i="1" s="1" a="1"/>
  <c r="X306" i="1" s="1"/>
  <c r="W294" i="1"/>
  <c r="X294" i="1" s="1" a="1"/>
  <c r="X294" i="1" s="1"/>
  <c r="W282" i="1"/>
  <c r="X282" i="1" s="1" a="1"/>
  <c r="X282" i="1" s="1"/>
  <c r="W270" i="1"/>
  <c r="X270" i="1" s="1" a="1"/>
  <c r="X270" i="1" s="1"/>
  <c r="W258" i="1"/>
  <c r="X258" i="1" s="1" a="1"/>
  <c r="X258" i="1" s="1"/>
  <c r="W246" i="1"/>
  <c r="X246" i="1" s="1" a="1"/>
  <c r="X246" i="1" s="1"/>
  <c r="W234" i="1"/>
  <c r="X234" i="1" s="1" a="1"/>
  <c r="X234" i="1" s="1"/>
  <c r="W222" i="1"/>
  <c r="X222" i="1" s="1" a="1"/>
  <c r="X222" i="1" s="1"/>
  <c r="W210" i="1"/>
  <c r="X210" i="1" s="1" a="1"/>
  <c r="X210" i="1" s="1"/>
  <c r="W198" i="1"/>
  <c r="X198" i="1" s="1" a="1"/>
  <c r="X198" i="1" s="1"/>
  <c r="W186" i="1"/>
  <c r="X186" i="1" s="1" a="1"/>
  <c r="X186" i="1" s="1"/>
  <c r="W174" i="1"/>
  <c r="X174" i="1" s="1" a="1"/>
  <c r="X174" i="1" s="1"/>
  <c r="W162" i="1"/>
  <c r="X162" i="1" s="1" a="1"/>
  <c r="X162" i="1" s="1"/>
  <c r="W150" i="1"/>
  <c r="X150" i="1" s="1" a="1"/>
  <c r="X150" i="1" s="1"/>
  <c r="W694" i="1"/>
  <c r="X694" i="1" s="1" a="1"/>
  <c r="X694" i="1" s="1"/>
  <c r="W610" i="1"/>
  <c r="X610" i="1" s="1" a="1"/>
  <c r="X610" i="1" s="1"/>
  <c r="W526" i="1"/>
  <c r="X526" i="1" s="1" a="1"/>
  <c r="X526" i="1" s="1"/>
  <c r="W418" i="1"/>
  <c r="X418" i="1" s="1" a="1"/>
  <c r="X418" i="1" s="1"/>
  <c r="W310" i="1"/>
  <c r="X310" i="1" s="1" a="1"/>
  <c r="X310" i="1" s="1"/>
  <c r="W214" i="1"/>
  <c r="X214" i="1" s="1" a="1"/>
  <c r="X214" i="1" s="1"/>
  <c r="W693" i="1"/>
  <c r="X693" i="1" s="1" a="1"/>
  <c r="X693" i="1" s="1"/>
  <c r="W597" i="1"/>
  <c r="X597" i="1" s="1" a="1"/>
  <c r="X597" i="1" s="1"/>
  <c r="W501" i="1"/>
  <c r="X501" i="1" s="1" a="1"/>
  <c r="X501" i="1" s="1"/>
  <c r="W405" i="1"/>
  <c r="X405" i="1" s="1" a="1"/>
  <c r="X405" i="1" s="1"/>
  <c r="W321" i="1"/>
  <c r="X321" i="1" s="1" a="1"/>
  <c r="X321" i="1" s="1"/>
  <c r="W273" i="1"/>
  <c r="X273" i="1" s="1" a="1"/>
  <c r="X273" i="1" s="1"/>
  <c r="W680" i="1"/>
  <c r="X680" i="1" s="1" a="1"/>
  <c r="X680" i="1" s="1"/>
  <c r="W584" i="1"/>
  <c r="X584" i="1" s="1" a="1"/>
  <c r="X584" i="1" s="1"/>
  <c r="W488" i="1"/>
  <c r="X488" i="1" s="1" a="1"/>
  <c r="X488" i="1" s="1"/>
  <c r="W380" i="1"/>
  <c r="X380" i="1" s="1" a="1"/>
  <c r="X380" i="1" s="1"/>
  <c r="W320" i="1"/>
  <c r="X320" i="1" s="1" a="1"/>
  <c r="X320" i="1" s="1"/>
  <c r="W737" i="1"/>
  <c r="X737" i="1" s="1" a="1"/>
  <c r="X737" i="1" s="1"/>
  <c r="W701" i="1"/>
  <c r="X701" i="1" s="1" a="1"/>
  <c r="X701" i="1" s="1"/>
  <c r="W665" i="1"/>
  <c r="X665" i="1" s="1" a="1"/>
  <c r="X665" i="1" s="1"/>
  <c r="W629" i="1"/>
  <c r="X629" i="1" s="1" a="1"/>
  <c r="X629" i="1" s="1"/>
  <c r="W593" i="1"/>
  <c r="X593" i="1" s="1" a="1"/>
  <c r="X593" i="1" s="1"/>
  <c r="W557" i="1"/>
  <c r="X557" i="1" s="1" a="1"/>
  <c r="X557" i="1" s="1"/>
  <c r="W521" i="1"/>
  <c r="X521" i="1" s="1" a="1"/>
  <c r="X521" i="1" s="1"/>
  <c r="W485" i="1"/>
  <c r="X485" i="1" s="1" a="1"/>
  <c r="X485" i="1" s="1"/>
  <c r="W449" i="1"/>
  <c r="X449" i="1" s="1" a="1"/>
  <c r="X449" i="1" s="1"/>
  <c r="W413" i="1"/>
  <c r="X413" i="1" s="1" a="1"/>
  <c r="X413" i="1" s="1"/>
  <c r="W401" i="1"/>
  <c r="X401" i="1" s="1" a="1"/>
  <c r="X401" i="1" s="1"/>
  <c r="W389" i="1"/>
  <c r="X389" i="1" s="1" a="1"/>
  <c r="X389" i="1" s="1"/>
  <c r="W353" i="1"/>
  <c r="X353" i="1" s="1" a="1"/>
  <c r="X353" i="1" s="1"/>
  <c r="W341" i="1"/>
  <c r="X341" i="1" s="1" a="1"/>
  <c r="X341" i="1" s="1"/>
  <c r="W329" i="1"/>
  <c r="X329" i="1" s="1" a="1"/>
  <c r="X329" i="1" s="1"/>
  <c r="W317" i="1"/>
  <c r="X317" i="1" s="1" a="1"/>
  <c r="X317" i="1" s="1"/>
  <c r="W305" i="1"/>
  <c r="X305" i="1" s="1" a="1"/>
  <c r="X305" i="1" s="1"/>
  <c r="W293" i="1"/>
  <c r="X293" i="1" s="1" a="1"/>
  <c r="X293" i="1" s="1"/>
  <c r="W281" i="1"/>
  <c r="X281" i="1" s="1" a="1"/>
  <c r="X281" i="1" s="1"/>
  <c r="W269" i="1"/>
  <c r="X269" i="1" s="1" a="1"/>
  <c r="X269" i="1" s="1"/>
  <c r="W257" i="1"/>
  <c r="X257" i="1" s="1" a="1"/>
  <c r="X257" i="1" s="1"/>
  <c r="W245" i="1"/>
  <c r="X245" i="1" s="1" a="1"/>
  <c r="X245" i="1" s="1"/>
  <c r="W233" i="1"/>
  <c r="X233" i="1" s="1" a="1"/>
  <c r="X233" i="1" s="1"/>
  <c r="W221" i="1"/>
  <c r="X221" i="1" s="1" a="1"/>
  <c r="X221" i="1" s="1"/>
  <c r="W209" i="1"/>
  <c r="X209" i="1" s="1" a="1"/>
  <c r="X209" i="1" s="1"/>
  <c r="W197" i="1"/>
  <c r="X197" i="1" s="1" a="1"/>
  <c r="X197" i="1" s="1"/>
  <c r="W185" i="1"/>
  <c r="X185" i="1" s="1" a="1"/>
  <c r="X185" i="1" s="1"/>
  <c r="W173" i="1"/>
  <c r="X173" i="1" s="1" a="1"/>
  <c r="X173" i="1" s="1"/>
  <c r="W161" i="1"/>
  <c r="X161" i="1" s="1" a="1"/>
  <c r="X161" i="1" s="1"/>
  <c r="W149" i="1"/>
  <c r="X149" i="1" s="1" a="1"/>
  <c r="X149" i="1" s="1"/>
  <c r="W137" i="1"/>
  <c r="X137" i="1" s="1" a="1"/>
  <c r="X137" i="1" s="1"/>
  <c r="W125" i="1"/>
  <c r="X125" i="1" s="1" a="1"/>
  <c r="X125" i="1" s="1"/>
  <c r="W113" i="1"/>
  <c r="X113" i="1" s="1" a="1"/>
  <c r="X113" i="1" s="1"/>
  <c r="W101" i="1"/>
  <c r="X101" i="1" s="1" a="1"/>
  <c r="X101" i="1" s="1"/>
  <c r="W89" i="1"/>
  <c r="X89" i="1" s="1" a="1"/>
  <c r="X89" i="1" s="1"/>
  <c r="W77" i="1"/>
  <c r="X77" i="1" s="1" a="1"/>
  <c r="X77" i="1" s="1"/>
  <c r="W65" i="1"/>
  <c r="X65" i="1" s="1" a="1"/>
  <c r="X65" i="1" s="1"/>
  <c r="W53" i="1"/>
  <c r="X53" i="1" s="1" a="1"/>
  <c r="X53" i="1" s="1"/>
  <c r="W41" i="1"/>
  <c r="X41" i="1" s="1" a="1"/>
  <c r="X41" i="1" s="1"/>
  <c r="W29" i="1"/>
  <c r="X29" i="1" s="1" a="1"/>
  <c r="X29" i="1" s="1"/>
  <c r="W673" i="1"/>
  <c r="X673" i="1" s="1" a="1"/>
  <c r="X673" i="1" s="1"/>
  <c r="W671" i="1"/>
  <c r="X671" i="1" s="1" a="1"/>
  <c r="X671" i="1" s="1"/>
  <c r="W706" i="1"/>
  <c r="X706" i="1" s="1" a="1"/>
  <c r="X706" i="1" s="1"/>
  <c r="W598" i="1"/>
  <c r="X598" i="1" s="1" a="1"/>
  <c r="X598" i="1" s="1"/>
  <c r="W502" i="1"/>
  <c r="X502" i="1" s="1" a="1"/>
  <c r="X502" i="1" s="1"/>
  <c r="W406" i="1"/>
  <c r="X406" i="1" s="1" a="1"/>
  <c r="X406" i="1" s="1"/>
  <c r="W322" i="1"/>
  <c r="X322" i="1" s="1" a="1"/>
  <c r="X322" i="1" s="1"/>
  <c r="W250" i="1"/>
  <c r="X250" i="1" s="1" a="1"/>
  <c r="X250" i="1" s="1"/>
  <c r="W202" i="1"/>
  <c r="X202" i="1" s="1" a="1"/>
  <c r="X202" i="1" s="1"/>
  <c r="W717" i="1"/>
  <c r="X717" i="1" s="1" a="1"/>
  <c r="X717" i="1" s="1"/>
  <c r="W609" i="1"/>
  <c r="X609" i="1" s="1" a="1"/>
  <c r="X609" i="1" s="1"/>
  <c r="W513" i="1"/>
  <c r="X513" i="1" s="1" a="1"/>
  <c r="X513" i="1" s="1"/>
  <c r="W429" i="1"/>
  <c r="X429" i="1" s="1" a="1"/>
  <c r="X429" i="1" s="1"/>
  <c r="W297" i="1"/>
  <c r="X297" i="1" s="1" a="1"/>
  <c r="X297" i="1" s="1"/>
  <c r="W716" i="1"/>
  <c r="X716" i="1" s="1" a="1"/>
  <c r="X716" i="1" s="1"/>
  <c r="W608" i="1"/>
  <c r="X608" i="1" s="1" a="1"/>
  <c r="X608" i="1" s="1"/>
  <c r="W512" i="1"/>
  <c r="X512" i="1" s="1" a="1"/>
  <c r="X512" i="1" s="1"/>
  <c r="W404" i="1"/>
  <c r="X404" i="1" s="1" a="1"/>
  <c r="X404" i="1" s="1"/>
  <c r="W296" i="1"/>
  <c r="X296" i="1" s="1" a="1"/>
  <c r="X296" i="1" s="1"/>
  <c r="W713" i="1"/>
  <c r="X713" i="1" s="1" a="1"/>
  <c r="X713" i="1" s="1"/>
  <c r="W677" i="1"/>
  <c r="X677" i="1" s="1" a="1"/>
  <c r="X677" i="1" s="1"/>
  <c r="W641" i="1"/>
  <c r="X641" i="1" s="1" a="1"/>
  <c r="X641" i="1" s="1"/>
  <c r="W605" i="1"/>
  <c r="X605" i="1" s="1" a="1"/>
  <c r="X605" i="1" s="1"/>
  <c r="W569" i="1"/>
  <c r="X569" i="1" s="1" a="1"/>
  <c r="X569" i="1" s="1"/>
  <c r="W533" i="1"/>
  <c r="X533" i="1" s="1" a="1"/>
  <c r="X533" i="1" s="1"/>
  <c r="W497" i="1"/>
  <c r="X497" i="1" s="1" a="1"/>
  <c r="X497" i="1" s="1"/>
  <c r="W473" i="1"/>
  <c r="X473" i="1" s="1" a="1"/>
  <c r="X473" i="1" s="1"/>
  <c r="W437" i="1"/>
  <c r="X437" i="1" s="1" a="1"/>
  <c r="X437" i="1" s="1"/>
  <c r="W377" i="1"/>
  <c r="X377" i="1" s="1" a="1"/>
  <c r="X377" i="1" s="1"/>
  <c r="W720" i="1"/>
  <c r="X720" i="1" s="1" a="1"/>
  <c r="X720" i="1" s="1"/>
  <c r="W718" i="1"/>
  <c r="X718" i="1" s="1" a="1"/>
  <c r="X718" i="1" s="1"/>
  <c r="W622" i="1"/>
  <c r="X622" i="1" s="1" a="1"/>
  <c r="X622" i="1" s="1"/>
  <c r="W550" i="1"/>
  <c r="X550" i="1" s="1" a="1"/>
  <c r="X550" i="1" s="1"/>
  <c r="W430" i="1"/>
  <c r="X430" i="1" s="1" a="1"/>
  <c r="X430" i="1" s="1"/>
  <c r="W334" i="1"/>
  <c r="X334" i="1" s="1" a="1"/>
  <c r="X334" i="1" s="1"/>
  <c r="W226" i="1"/>
  <c r="X226" i="1" s="1" a="1"/>
  <c r="X226" i="1" s="1"/>
  <c r="W657" i="1"/>
  <c r="X657" i="1" s="1" a="1"/>
  <c r="X657" i="1" s="1"/>
  <c r="W561" i="1"/>
  <c r="X561" i="1" s="1" a="1"/>
  <c r="X561" i="1" s="1"/>
  <c r="W465" i="1"/>
  <c r="X465" i="1" s="1" a="1"/>
  <c r="X465" i="1" s="1"/>
  <c r="W393" i="1"/>
  <c r="X393" i="1" s="1" a="1"/>
  <c r="X393" i="1" s="1"/>
  <c r="W285" i="1"/>
  <c r="X285" i="1" s="1" a="1"/>
  <c r="X285" i="1" s="1"/>
  <c r="W728" i="1"/>
  <c r="X728" i="1" s="1" a="1"/>
  <c r="X728" i="1" s="1"/>
  <c r="W620" i="1"/>
  <c r="X620" i="1" s="1" a="1"/>
  <c r="X620" i="1" s="1"/>
  <c r="W524" i="1"/>
  <c r="X524" i="1" s="1" a="1"/>
  <c r="X524" i="1" s="1"/>
  <c r="W416" i="1"/>
  <c r="X416" i="1" s="1" a="1"/>
  <c r="X416" i="1" s="1"/>
  <c r="W332" i="1"/>
  <c r="X332" i="1" s="1" a="1"/>
  <c r="X332" i="1" s="1"/>
  <c r="W272" i="1"/>
  <c r="X272" i="1" s="1" a="1"/>
  <c r="X272" i="1" s="1"/>
  <c r="W725" i="1"/>
  <c r="X725" i="1" s="1" a="1"/>
  <c r="X725" i="1" s="1"/>
  <c r="W689" i="1"/>
  <c r="X689" i="1" s="1" a="1"/>
  <c r="X689" i="1" s="1"/>
  <c r="W653" i="1"/>
  <c r="X653" i="1" s="1" a="1"/>
  <c r="X653" i="1" s="1"/>
  <c r="W617" i="1"/>
  <c r="X617" i="1" s="1" a="1"/>
  <c r="X617" i="1" s="1"/>
  <c r="W581" i="1"/>
  <c r="X581" i="1" s="1" a="1"/>
  <c r="X581" i="1" s="1"/>
  <c r="W545" i="1"/>
  <c r="X545" i="1" s="1" a="1"/>
  <c r="X545" i="1" s="1"/>
  <c r="W509" i="1"/>
  <c r="X509" i="1" s="1" a="1"/>
  <c r="X509" i="1" s="1"/>
  <c r="W461" i="1"/>
  <c r="X461" i="1" s="1" a="1"/>
  <c r="X461" i="1" s="1"/>
  <c r="W425" i="1"/>
  <c r="X425" i="1" s="1" a="1"/>
  <c r="X425" i="1" s="1"/>
  <c r="W365" i="1"/>
  <c r="X365" i="1" s="1" a="1"/>
  <c r="X365" i="1" s="1"/>
  <c r="W541" i="1"/>
  <c r="X541" i="1" s="1" a="1"/>
  <c r="X541" i="1" s="1"/>
  <c r="W682" i="1"/>
  <c r="X682" i="1" s="1" a="1"/>
  <c r="X682" i="1" s="1"/>
  <c r="W658" i="1"/>
  <c r="X658" i="1" s="1" a="1"/>
  <c r="X658" i="1" s="1"/>
  <c r="W586" i="1"/>
  <c r="X586" i="1" s="1" a="1"/>
  <c r="X586" i="1" s="1"/>
  <c r="W562" i="1"/>
  <c r="X562" i="1" s="1" a="1"/>
  <c r="X562" i="1" s="1"/>
  <c r="W490" i="1"/>
  <c r="X490" i="1" s="1" a="1"/>
  <c r="X490" i="1" s="1"/>
  <c r="W454" i="1"/>
  <c r="X454" i="1" s="1" a="1"/>
  <c r="X454" i="1" s="1"/>
  <c r="W394" i="1"/>
  <c r="X394" i="1" s="1" a="1"/>
  <c r="X394" i="1" s="1"/>
  <c r="W370" i="1"/>
  <c r="X370" i="1" s="1" a="1"/>
  <c r="X370" i="1" s="1"/>
  <c r="W298" i="1"/>
  <c r="X298" i="1" s="1" a="1"/>
  <c r="X298" i="1" s="1"/>
  <c r="W262" i="1"/>
  <c r="X262" i="1" s="1" a="1"/>
  <c r="X262" i="1" s="1"/>
  <c r="W705" i="1"/>
  <c r="X705" i="1" s="1" a="1"/>
  <c r="X705" i="1" s="1"/>
  <c r="W669" i="1"/>
  <c r="X669" i="1" s="1" a="1"/>
  <c r="X669" i="1" s="1"/>
  <c r="W633" i="1"/>
  <c r="X633" i="1" s="1" a="1"/>
  <c r="X633" i="1" s="1"/>
  <c r="W585" i="1"/>
  <c r="X585" i="1" s="1" a="1"/>
  <c r="X585" i="1" s="1"/>
  <c r="W537" i="1"/>
  <c r="X537" i="1" s="1" a="1"/>
  <c r="X537" i="1" s="1"/>
  <c r="W477" i="1"/>
  <c r="X477" i="1" s="1" a="1"/>
  <c r="X477" i="1" s="1"/>
  <c r="W441" i="1"/>
  <c r="X441" i="1" s="1" a="1"/>
  <c r="X441" i="1" s="1"/>
  <c r="W369" i="1"/>
  <c r="X369" i="1" s="1" a="1"/>
  <c r="X369" i="1" s="1"/>
  <c r="W333" i="1"/>
  <c r="X333" i="1" s="1" a="1"/>
  <c r="X333" i="1" s="1"/>
  <c r="W692" i="1"/>
  <c r="X692" i="1" s="1" a="1"/>
  <c r="X692" i="1" s="1"/>
  <c r="W656" i="1"/>
  <c r="X656" i="1" s="1" a="1"/>
  <c r="X656" i="1" s="1"/>
  <c r="W596" i="1"/>
  <c r="X596" i="1" s="1" a="1"/>
  <c r="X596" i="1" s="1"/>
  <c r="W560" i="1"/>
  <c r="X560" i="1" s="1" a="1"/>
  <c r="X560" i="1" s="1"/>
  <c r="W500" i="1"/>
  <c r="X500" i="1" s="1" a="1"/>
  <c r="X500" i="1" s="1"/>
  <c r="W464" i="1"/>
  <c r="X464" i="1" s="1" a="1"/>
  <c r="X464" i="1" s="1"/>
  <c r="W428" i="1"/>
  <c r="X428" i="1" s="1" a="1"/>
  <c r="X428" i="1" s="1"/>
  <c r="W368" i="1"/>
  <c r="X368" i="1" s="1" a="1"/>
  <c r="X368" i="1" s="1"/>
  <c r="W344" i="1"/>
  <c r="X344" i="1" s="1" a="1"/>
  <c r="X344" i="1" s="1"/>
  <c r="W734" i="1"/>
  <c r="X734" i="1" s="1" a="1"/>
  <c r="X734" i="1" s="1"/>
  <c r="W722" i="1"/>
  <c r="X722" i="1" s="1" a="1"/>
  <c r="X722" i="1" s="1"/>
  <c r="W710" i="1"/>
  <c r="X710" i="1" s="1" a="1"/>
  <c r="X710" i="1" s="1"/>
  <c r="W698" i="1"/>
  <c r="X698" i="1" s="1" a="1"/>
  <c r="X698" i="1" s="1"/>
  <c r="W686" i="1"/>
  <c r="X686" i="1" s="1" a="1"/>
  <c r="X686" i="1" s="1"/>
  <c r="W674" i="1"/>
  <c r="X674" i="1" s="1" a="1"/>
  <c r="X674" i="1" s="1"/>
  <c r="W662" i="1"/>
  <c r="X662" i="1" s="1" a="1"/>
  <c r="X662" i="1" s="1"/>
  <c r="W650" i="1"/>
  <c r="X650" i="1" s="1" a="1"/>
  <c r="X650" i="1" s="1"/>
  <c r="W638" i="1"/>
  <c r="X638" i="1" s="1" a="1"/>
  <c r="X638" i="1" s="1"/>
  <c r="W626" i="1"/>
  <c r="X626" i="1" s="1" a="1"/>
  <c r="X626" i="1" s="1"/>
  <c r="W614" i="1"/>
  <c r="X614" i="1" s="1" a="1"/>
  <c r="X614" i="1" s="1"/>
  <c r="W602" i="1"/>
  <c r="X602" i="1" s="1" a="1"/>
  <c r="X602" i="1" s="1"/>
  <c r="W590" i="1"/>
  <c r="X590" i="1" s="1" a="1"/>
  <c r="X590" i="1" s="1"/>
  <c r="W578" i="1"/>
  <c r="X578" i="1" s="1" a="1"/>
  <c r="X578" i="1" s="1"/>
  <c r="W566" i="1"/>
  <c r="X566" i="1" s="1" a="1"/>
  <c r="X566" i="1" s="1"/>
  <c r="W554" i="1"/>
  <c r="X554" i="1" s="1" a="1"/>
  <c r="X554" i="1" s="1"/>
  <c r="W542" i="1"/>
  <c r="X542" i="1" s="1" a="1"/>
  <c r="X542" i="1" s="1"/>
  <c r="W530" i="1"/>
  <c r="X530" i="1" s="1" a="1"/>
  <c r="X530" i="1" s="1"/>
  <c r="W518" i="1"/>
  <c r="X518" i="1" s="1" a="1"/>
  <c r="X518" i="1" s="1"/>
  <c r="W506" i="1"/>
  <c r="X506" i="1" s="1" a="1"/>
  <c r="X506" i="1" s="1"/>
  <c r="W494" i="1"/>
  <c r="X494" i="1" s="1" a="1"/>
  <c r="X494" i="1" s="1"/>
  <c r="W482" i="1"/>
  <c r="X482" i="1" s="1" a="1"/>
  <c r="X482" i="1" s="1"/>
  <c r="W470" i="1"/>
  <c r="X470" i="1" s="1" a="1"/>
  <c r="X470" i="1" s="1"/>
  <c r="W458" i="1"/>
  <c r="X458" i="1" s="1" a="1"/>
  <c r="X458" i="1" s="1"/>
  <c r="W446" i="1"/>
  <c r="X446" i="1" s="1" a="1"/>
  <c r="X446" i="1" s="1"/>
  <c r="W434" i="1"/>
  <c r="X434" i="1" s="1" a="1"/>
  <c r="X434" i="1" s="1"/>
  <c r="W422" i="1"/>
  <c r="X422" i="1" s="1" a="1"/>
  <c r="X422" i="1" s="1"/>
  <c r="W410" i="1"/>
  <c r="X410" i="1" s="1" a="1"/>
  <c r="X410" i="1" s="1"/>
  <c r="W398" i="1"/>
  <c r="X398" i="1" s="1" a="1"/>
  <c r="X398" i="1" s="1"/>
  <c r="W386" i="1"/>
  <c r="X386" i="1" s="1" a="1"/>
  <c r="X386" i="1" s="1"/>
  <c r="W374" i="1"/>
  <c r="X374" i="1" s="1" a="1"/>
  <c r="X374" i="1" s="1"/>
  <c r="W362" i="1"/>
  <c r="X362" i="1" s="1" a="1"/>
  <c r="X362" i="1" s="1"/>
  <c r="W350" i="1"/>
  <c r="X350" i="1" s="1" a="1"/>
  <c r="X350" i="1" s="1"/>
  <c r="W338" i="1"/>
  <c r="X338" i="1" s="1" a="1"/>
  <c r="X338" i="1" s="1"/>
  <c r="W326" i="1"/>
  <c r="X326" i="1" s="1" a="1"/>
  <c r="X326" i="1" s="1"/>
  <c r="W314" i="1"/>
  <c r="X314" i="1" s="1" a="1"/>
  <c r="X314" i="1" s="1"/>
  <c r="W302" i="1"/>
  <c r="X302" i="1" s="1" a="1"/>
  <c r="X302" i="1" s="1"/>
  <c r="W290" i="1"/>
  <c r="X290" i="1" s="1" a="1"/>
  <c r="X290" i="1" s="1"/>
  <c r="W278" i="1"/>
  <c r="X278" i="1" s="1" a="1"/>
  <c r="X278" i="1" s="1"/>
  <c r="W266" i="1"/>
  <c r="X266" i="1" s="1" a="1"/>
  <c r="X266" i="1" s="1"/>
  <c r="W254" i="1"/>
  <c r="X254" i="1" s="1" a="1"/>
  <c r="X254" i="1" s="1"/>
  <c r="W242" i="1"/>
  <c r="X242" i="1" s="1" a="1"/>
  <c r="X242" i="1" s="1"/>
  <c r="W230" i="1"/>
  <c r="X230" i="1" s="1" a="1"/>
  <c r="X230" i="1" s="1"/>
  <c r="W218" i="1"/>
  <c r="X218" i="1" s="1" a="1"/>
  <c r="X218" i="1" s="1"/>
  <c r="W206" i="1"/>
  <c r="X206" i="1" s="1" a="1"/>
  <c r="X206" i="1" s="1"/>
  <c r="W194" i="1"/>
  <c r="X194" i="1" s="1" a="1"/>
  <c r="X194" i="1" s="1"/>
  <c r="W182" i="1"/>
  <c r="X182" i="1" s="1" a="1"/>
  <c r="X182" i="1" s="1"/>
  <c r="W170" i="1"/>
  <c r="X170" i="1" s="1" a="1"/>
  <c r="X170" i="1" s="1"/>
  <c r="W158" i="1"/>
  <c r="X158" i="1" s="1" a="1"/>
  <c r="X158" i="1" s="1"/>
  <c r="W146" i="1"/>
  <c r="X146" i="1" s="1" a="1"/>
  <c r="X146" i="1" s="1"/>
  <c r="W134" i="1"/>
  <c r="X134" i="1" s="1" a="1"/>
  <c r="X134" i="1" s="1"/>
  <c r="W122" i="1"/>
  <c r="X122" i="1" s="1" a="1"/>
  <c r="X122" i="1" s="1"/>
  <c r="W110" i="1"/>
  <c r="X110" i="1" s="1" a="1"/>
  <c r="X110" i="1" s="1"/>
  <c r="W98" i="1"/>
  <c r="X98" i="1" s="1" a="1"/>
  <c r="X98" i="1" s="1"/>
  <c r="W337" i="1"/>
  <c r="X337" i="1" s="1" a="1"/>
  <c r="X337" i="1" s="1"/>
  <c r="W325" i="1"/>
  <c r="X325" i="1" s="1" a="1"/>
  <c r="X325" i="1" s="1"/>
  <c r="W313" i="1"/>
  <c r="X313" i="1" s="1" a="1"/>
  <c r="X313" i="1" s="1"/>
  <c r="W301" i="1"/>
  <c r="X301" i="1" s="1" a="1"/>
  <c r="X301" i="1" s="1"/>
  <c r="W289" i="1"/>
  <c r="X289" i="1" s="1" a="1"/>
  <c r="X289" i="1" s="1"/>
  <c r="W277" i="1"/>
  <c r="X277" i="1" s="1" a="1"/>
  <c r="X277" i="1" s="1"/>
  <c r="W265" i="1"/>
  <c r="X265" i="1" s="1" a="1"/>
  <c r="X265" i="1" s="1"/>
  <c r="W253" i="1"/>
  <c r="X253" i="1" s="1" a="1"/>
  <c r="X253" i="1" s="1"/>
  <c r="W241" i="1"/>
  <c r="X241" i="1" s="1" a="1"/>
  <c r="X241" i="1" s="1"/>
  <c r="W229" i="1"/>
  <c r="X229" i="1" s="1" a="1"/>
  <c r="X229" i="1" s="1"/>
  <c r="W588" i="1"/>
  <c r="X588" i="1" s="1" a="1"/>
  <c r="X588" i="1" s="1"/>
  <c r="W576" i="1"/>
  <c r="X576" i="1" s="1" a="1"/>
  <c r="X576" i="1" s="1"/>
  <c r="W564" i="1"/>
  <c r="X564" i="1" s="1" a="1"/>
  <c r="X564" i="1" s="1"/>
  <c r="W552" i="1"/>
  <c r="X552" i="1" s="1" a="1"/>
  <c r="X552" i="1" s="1"/>
  <c r="W540" i="1"/>
  <c r="X540" i="1" s="1" a="1"/>
  <c r="X540" i="1" s="1"/>
  <c r="W528" i="1"/>
  <c r="X528" i="1" s="1" a="1"/>
  <c r="X528" i="1" s="1"/>
  <c r="W516" i="1"/>
  <c r="X516" i="1" s="1" a="1"/>
  <c r="X516" i="1" s="1"/>
  <c r="W504" i="1"/>
  <c r="X504" i="1" s="1" a="1"/>
  <c r="X504" i="1" s="1"/>
  <c r="W492" i="1"/>
  <c r="X492" i="1" s="1" a="1"/>
  <c r="X492" i="1" s="1"/>
  <c r="W480" i="1"/>
  <c r="X480" i="1" s="1" a="1"/>
  <c r="X480" i="1" s="1"/>
  <c r="W468" i="1"/>
  <c r="X468" i="1" s="1" a="1"/>
  <c r="X468" i="1" s="1"/>
  <c r="W456" i="1"/>
  <c r="X456" i="1" s="1" a="1"/>
  <c r="X456" i="1" s="1"/>
  <c r="W444" i="1"/>
  <c r="X444" i="1" s="1" a="1"/>
  <c r="X444" i="1" s="1"/>
  <c r="W432" i="1"/>
  <c r="X432" i="1" s="1" a="1"/>
  <c r="X432" i="1" s="1"/>
  <c r="W420" i="1"/>
  <c r="X420" i="1" s="1" a="1"/>
  <c r="X420" i="1" s="1"/>
  <c r="W408" i="1"/>
  <c r="X408" i="1" s="1" a="1"/>
  <c r="X408" i="1" s="1"/>
  <c r="W396" i="1"/>
  <c r="X396" i="1" s="1" a="1"/>
  <c r="X396" i="1" s="1"/>
  <c r="W384" i="1"/>
  <c r="X384" i="1" s="1" a="1"/>
  <c r="X384" i="1" s="1"/>
  <c r="W372" i="1"/>
  <c r="X372" i="1" s="1" a="1"/>
  <c r="X372" i="1" s="1"/>
  <c r="W360" i="1"/>
  <c r="X360" i="1" s="1" a="1"/>
  <c r="X360" i="1" s="1"/>
  <c r="W348" i="1"/>
  <c r="X348" i="1" s="1" a="1"/>
  <c r="X348" i="1" s="1"/>
  <c r="W623" i="1"/>
  <c r="X623" i="1" s="1" a="1"/>
  <c r="X623" i="1" s="1"/>
  <c r="W611" i="1"/>
  <c r="X611" i="1" s="1" a="1"/>
  <c r="X611" i="1" s="1"/>
  <c r="W599" i="1"/>
  <c r="X599" i="1" s="1" a="1"/>
  <c r="X599" i="1" s="1"/>
  <c r="W587" i="1"/>
  <c r="X587" i="1" s="1" a="1"/>
  <c r="X587" i="1" s="1"/>
  <c r="W575" i="1"/>
  <c r="X575" i="1" s="1" a="1"/>
  <c r="X575" i="1" s="1"/>
  <c r="W563" i="1"/>
  <c r="X563" i="1" s="1" a="1"/>
  <c r="X563" i="1" s="1"/>
  <c r="W551" i="1"/>
  <c r="X551" i="1" s="1" a="1"/>
  <c r="X551" i="1" s="1"/>
  <c r="W539" i="1"/>
  <c r="X539" i="1" s="1" a="1"/>
  <c r="X539" i="1" s="1"/>
  <c r="W527" i="1"/>
  <c r="X527" i="1" s="1" a="1"/>
  <c r="X527" i="1" s="1"/>
  <c r="W515" i="1"/>
  <c r="X515" i="1" s="1" a="1"/>
  <c r="X515" i="1" s="1"/>
  <c r="W503" i="1"/>
  <c r="X503" i="1" s="1" a="1"/>
  <c r="X503" i="1" s="1"/>
  <c r="W491" i="1"/>
  <c r="X491" i="1" s="1" a="1"/>
  <c r="X491" i="1" s="1"/>
  <c r="W479" i="1"/>
  <c r="X479" i="1" s="1" a="1"/>
  <c r="X479" i="1" s="1"/>
  <c r="W467" i="1"/>
  <c r="X467" i="1" s="1" a="1"/>
  <c r="X467" i="1" s="1"/>
  <c r="W455" i="1"/>
  <c r="X455" i="1" s="1" a="1"/>
  <c r="X455" i="1" s="1"/>
  <c r="W443" i="1"/>
  <c r="X443" i="1" s="1" a="1"/>
  <c r="X443" i="1" s="1"/>
  <c r="W431" i="1"/>
  <c r="X431" i="1" s="1" a="1"/>
  <c r="X431" i="1" s="1"/>
  <c r="W419" i="1"/>
  <c r="X419" i="1" s="1" a="1"/>
  <c r="X419" i="1" s="1"/>
  <c r="W407" i="1"/>
  <c r="X407" i="1" s="1" a="1"/>
  <c r="X407" i="1" s="1"/>
  <c r="W395" i="1"/>
  <c r="X395" i="1" s="1" a="1"/>
  <c r="X395" i="1" s="1"/>
  <c r="W383" i="1"/>
  <c r="X383" i="1" s="1" a="1"/>
  <c r="X383" i="1" s="1"/>
  <c r="W371" i="1"/>
  <c r="X371" i="1" s="1" a="1"/>
  <c r="X371" i="1" s="1"/>
  <c r="W359" i="1"/>
  <c r="X359" i="1" s="1" a="1"/>
  <c r="X359" i="1" s="1"/>
  <c r="W347" i="1"/>
  <c r="X347" i="1" s="1" a="1"/>
  <c r="X347" i="1" s="1"/>
  <c r="W335" i="1"/>
  <c r="X335" i="1" s="1" a="1"/>
  <c r="X335" i="1" s="1"/>
  <c r="W323" i="1"/>
  <c r="X323" i="1" s="1" a="1"/>
  <c r="X323" i="1" s="1"/>
  <c r="W311" i="1"/>
  <c r="X311" i="1" s="1" a="1"/>
  <c r="X311" i="1" s="1"/>
  <c r="W299" i="1"/>
  <c r="X299" i="1" s="1" a="1"/>
  <c r="X299" i="1" s="1"/>
  <c r="W287" i="1"/>
  <c r="X287" i="1" s="1" a="1"/>
  <c r="X287" i="1" s="1"/>
  <c r="W190" i="1"/>
  <c r="X190" i="1" s="1" a="1"/>
  <c r="X190" i="1" s="1"/>
  <c r="W178" i="1"/>
  <c r="X178" i="1" s="1" a="1"/>
  <c r="X178" i="1" s="1"/>
  <c r="W166" i="1"/>
  <c r="X166" i="1" s="1" a="1"/>
  <c r="X166" i="1" s="1"/>
  <c r="W154" i="1"/>
  <c r="X154" i="1" s="1" a="1"/>
  <c r="X154" i="1" s="1"/>
  <c r="W142" i="1"/>
  <c r="X142" i="1" s="1" a="1"/>
  <c r="X142" i="1" s="1"/>
  <c r="W130" i="1"/>
  <c r="X130" i="1" s="1" a="1"/>
  <c r="X130" i="1" s="1"/>
  <c r="W118" i="1"/>
  <c r="X118" i="1" s="1" a="1"/>
  <c r="X118" i="1" s="1"/>
  <c r="W106" i="1"/>
  <c r="X106" i="1" s="1" a="1"/>
  <c r="X106" i="1" s="1"/>
  <c r="W94" i="1"/>
  <c r="X94" i="1" s="1" a="1"/>
  <c r="X94" i="1" s="1"/>
  <c r="W82" i="1"/>
  <c r="X82" i="1" s="1" a="1"/>
  <c r="X82" i="1" s="1"/>
  <c r="W70" i="1"/>
  <c r="X70" i="1" s="1" a="1"/>
  <c r="X70" i="1" s="1"/>
  <c r="W58" i="1"/>
  <c r="X58" i="1" s="1" a="1"/>
  <c r="X58" i="1" s="1"/>
  <c r="W46" i="1"/>
  <c r="X46" i="1" s="1" a="1"/>
  <c r="X46" i="1" s="1"/>
  <c r="W34" i="1"/>
  <c r="X34" i="1" s="1" a="1"/>
  <c r="X34" i="1" s="1"/>
  <c r="W22" i="1"/>
  <c r="X22" i="1" s="1" a="1"/>
  <c r="X22" i="1" s="1"/>
  <c r="W10" i="1"/>
  <c r="X10" i="1" s="1" a="1"/>
  <c r="X10" i="1" s="1"/>
  <c r="W247" i="1"/>
  <c r="X247" i="1" s="1" a="1"/>
  <c r="X247" i="1" s="1"/>
  <c r="W235" i="1"/>
  <c r="X235" i="1" s="1" a="1"/>
  <c r="X235" i="1" s="1"/>
  <c r="W223" i="1"/>
  <c r="X223" i="1" s="1" a="1"/>
  <c r="X223" i="1" s="1"/>
  <c r="W211" i="1"/>
  <c r="X211" i="1" s="1" a="1"/>
  <c r="X211" i="1" s="1"/>
  <c r="W199" i="1"/>
  <c r="X199" i="1" s="1" a="1"/>
  <c r="X199" i="1" s="1"/>
  <c r="W187" i="1"/>
  <c r="X187" i="1" s="1" a="1"/>
  <c r="X187" i="1" s="1"/>
  <c r="W175" i="1"/>
  <c r="X175" i="1" s="1" a="1"/>
  <c r="X175" i="1" s="1"/>
  <c r="W163" i="1"/>
  <c r="X163" i="1" s="1" a="1"/>
  <c r="X163" i="1" s="1"/>
  <c r="W151" i="1"/>
  <c r="X151" i="1" s="1" a="1"/>
  <c r="X151" i="1" s="1"/>
  <c r="W139" i="1"/>
  <c r="X139" i="1" s="1" a="1"/>
  <c r="X139" i="1" s="1"/>
  <c r="W127" i="1"/>
  <c r="X127" i="1" s="1" a="1"/>
  <c r="X127" i="1" s="1"/>
  <c r="W115" i="1"/>
  <c r="X115" i="1" s="1" a="1"/>
  <c r="X115" i="1" s="1"/>
  <c r="W103" i="1"/>
  <c r="X103" i="1" s="1" a="1"/>
  <c r="X103" i="1" s="1"/>
  <c r="W91" i="1"/>
  <c r="X91" i="1" s="1" a="1"/>
  <c r="X91" i="1" s="1"/>
  <c r="W79" i="1"/>
  <c r="X79" i="1" s="1" a="1"/>
  <c r="X79" i="1" s="1"/>
  <c r="W67" i="1"/>
  <c r="X67" i="1" s="1" a="1"/>
  <c r="X67" i="1" s="1"/>
  <c r="W55" i="1"/>
  <c r="X55" i="1" s="1" a="1"/>
  <c r="X55" i="1" s="1"/>
  <c r="W43" i="1"/>
  <c r="X43" i="1" s="1" a="1"/>
  <c r="X43" i="1" s="1"/>
  <c r="W31" i="1"/>
  <c r="X31" i="1" s="1" a="1"/>
  <c r="X31" i="1" s="1"/>
  <c r="W19" i="1"/>
  <c r="X19" i="1" s="1" a="1"/>
  <c r="X19" i="1" s="1"/>
  <c r="W7" i="1"/>
  <c r="X7" i="1" s="1" a="1"/>
  <c r="X7" i="1" s="1"/>
  <c r="W138" i="1"/>
  <c r="X138" i="1" s="1" a="1"/>
  <c r="X138" i="1" s="1"/>
  <c r="W126" i="1"/>
  <c r="X126" i="1" s="1" a="1"/>
  <c r="X126" i="1" s="1"/>
  <c r="W17" i="1"/>
  <c r="X17" i="1" s="1" a="1"/>
  <c r="X17" i="1" s="1"/>
  <c r="W5" i="1"/>
  <c r="X5" i="1" s="1" a="1"/>
  <c r="X5" i="1" s="1"/>
  <c r="W736" i="1"/>
  <c r="X736" i="1" s="1" a="1"/>
  <c r="X736" i="1" s="1"/>
  <c r="W724" i="1"/>
  <c r="X724" i="1" s="1" a="1"/>
  <c r="X724" i="1" s="1"/>
  <c r="W712" i="1"/>
  <c r="X712" i="1" s="1" a="1"/>
  <c r="X712" i="1" s="1"/>
  <c r="W700" i="1"/>
  <c r="X700" i="1" s="1" a="1"/>
  <c r="X700" i="1" s="1"/>
  <c r="W688" i="1"/>
  <c r="X688" i="1" s="1" a="1"/>
  <c r="X688" i="1" s="1"/>
  <c r="W676" i="1"/>
  <c r="X676" i="1" s="1" a="1"/>
  <c r="X676" i="1" s="1"/>
  <c r="W664" i="1"/>
  <c r="X664" i="1" s="1" a="1"/>
  <c r="X664" i="1" s="1"/>
  <c r="W652" i="1"/>
  <c r="X652" i="1" s="1" a="1"/>
  <c r="X652" i="1" s="1"/>
  <c r="W640" i="1"/>
  <c r="X640" i="1" s="1" a="1"/>
  <c r="X640" i="1" s="1"/>
  <c r="W628" i="1"/>
  <c r="X628" i="1" s="1" a="1"/>
  <c r="X628" i="1" s="1"/>
  <c r="W616" i="1"/>
  <c r="X616" i="1" s="1" a="1"/>
  <c r="X616" i="1" s="1"/>
  <c r="W604" i="1"/>
  <c r="X604" i="1" s="1" a="1"/>
  <c r="X604" i="1" s="1"/>
  <c r="W592" i="1"/>
  <c r="X592" i="1" s="1" a="1"/>
  <c r="X592" i="1" s="1"/>
  <c r="W580" i="1"/>
  <c r="X580" i="1" s="1" a="1"/>
  <c r="X580" i="1" s="1"/>
  <c r="W568" i="1"/>
  <c r="X568" i="1" s="1" a="1"/>
  <c r="X568" i="1" s="1"/>
  <c r="W556" i="1"/>
  <c r="X556" i="1" s="1" a="1"/>
  <c r="X556" i="1" s="1"/>
  <c r="W544" i="1"/>
  <c r="X544" i="1" s="1" a="1"/>
  <c r="X544" i="1" s="1"/>
  <c r="W532" i="1"/>
  <c r="X532" i="1" s="1" a="1"/>
  <c r="X532" i="1" s="1"/>
  <c r="W520" i="1"/>
  <c r="X520" i="1" s="1" a="1"/>
  <c r="X520" i="1" s="1"/>
  <c r="W508" i="1"/>
  <c r="X508" i="1" s="1" a="1"/>
  <c r="X508" i="1" s="1"/>
  <c r="W496" i="1"/>
  <c r="X496" i="1" s="1" a="1"/>
  <c r="X496" i="1" s="1"/>
  <c r="W484" i="1"/>
  <c r="X484" i="1" s="1" a="1"/>
  <c r="X484" i="1" s="1"/>
  <c r="W472" i="1"/>
  <c r="X472" i="1" s="1" a="1"/>
  <c r="X472" i="1" s="1"/>
  <c r="W460" i="1"/>
  <c r="X460" i="1" s="1" a="1"/>
  <c r="X460" i="1" s="1"/>
  <c r="W448" i="1"/>
  <c r="X448" i="1" s="1" a="1"/>
  <c r="X448" i="1" s="1"/>
  <c r="W436" i="1"/>
  <c r="X436" i="1" s="1" a="1"/>
  <c r="X436" i="1" s="1"/>
  <c r="W424" i="1"/>
  <c r="X424" i="1" s="1" a="1"/>
  <c r="X424" i="1" s="1"/>
  <c r="W412" i="1"/>
  <c r="X412" i="1" s="1" a="1"/>
  <c r="X412" i="1" s="1"/>
  <c r="W400" i="1"/>
  <c r="X400" i="1" s="1" a="1"/>
  <c r="X400" i="1" s="1"/>
  <c r="W388" i="1"/>
  <c r="X388" i="1" s="1" a="1"/>
  <c r="X388" i="1" s="1"/>
  <c r="W376" i="1"/>
  <c r="X376" i="1" s="1" a="1"/>
  <c r="X376" i="1" s="1"/>
  <c r="W364" i="1"/>
  <c r="X364" i="1" s="1" a="1"/>
  <c r="X364" i="1" s="1"/>
  <c r="W352" i="1"/>
  <c r="X352" i="1" s="1" a="1"/>
  <c r="X352" i="1" s="1"/>
  <c r="W340" i="1"/>
  <c r="X340" i="1" s="1" a="1"/>
  <c r="X340" i="1" s="1"/>
  <c r="W328" i="1"/>
  <c r="X328" i="1" s="1" a="1"/>
  <c r="X328" i="1" s="1"/>
  <c r="W316" i="1"/>
  <c r="X316" i="1" s="1" a="1"/>
  <c r="X316" i="1" s="1"/>
  <c r="W735" i="1"/>
  <c r="X735" i="1" s="1" a="1"/>
  <c r="X735" i="1" s="1"/>
  <c r="W723" i="1"/>
  <c r="X723" i="1" s="1" a="1"/>
  <c r="X723" i="1" s="1"/>
  <c r="W711" i="1"/>
  <c r="X711" i="1" s="1" a="1"/>
  <c r="X711" i="1" s="1"/>
  <c r="W699" i="1"/>
  <c r="X699" i="1" s="1" a="1"/>
  <c r="X699" i="1" s="1"/>
  <c r="W687" i="1"/>
  <c r="X687" i="1" s="1" a="1"/>
  <c r="X687" i="1" s="1"/>
  <c r="W675" i="1"/>
  <c r="X675" i="1" s="1" a="1"/>
  <c r="X675" i="1" s="1"/>
  <c r="W663" i="1"/>
  <c r="X663" i="1" s="1" a="1"/>
  <c r="X663" i="1" s="1"/>
  <c r="W651" i="1"/>
  <c r="X651" i="1" s="1" a="1"/>
  <c r="X651" i="1" s="1"/>
  <c r="W639" i="1"/>
  <c r="X639" i="1" s="1" a="1"/>
  <c r="X639" i="1" s="1"/>
  <c r="W627" i="1"/>
  <c r="X627" i="1" s="1" a="1"/>
  <c r="X627" i="1" s="1"/>
  <c r="W615" i="1"/>
  <c r="X615" i="1" s="1" a="1"/>
  <c r="X615" i="1" s="1"/>
  <c r="W603" i="1"/>
  <c r="X603" i="1" s="1" a="1"/>
  <c r="X603" i="1" s="1"/>
  <c r="W591" i="1"/>
  <c r="X591" i="1" s="1" a="1"/>
  <c r="X591" i="1" s="1"/>
  <c r="W579" i="1"/>
  <c r="X579" i="1" s="1" a="1"/>
  <c r="X579" i="1" s="1"/>
  <c r="W567" i="1"/>
  <c r="X567" i="1" s="1" a="1"/>
  <c r="X567" i="1" s="1"/>
  <c r="W555" i="1"/>
  <c r="X555" i="1" s="1" a="1"/>
  <c r="X555" i="1" s="1"/>
  <c r="W543" i="1"/>
  <c r="X543" i="1" s="1" a="1"/>
  <c r="X543" i="1" s="1"/>
  <c r="W531" i="1"/>
  <c r="X531" i="1" s="1" a="1"/>
  <c r="X531" i="1" s="1"/>
  <c r="W519" i="1"/>
  <c r="X519" i="1" s="1" a="1"/>
  <c r="X519" i="1" s="1"/>
  <c r="W507" i="1"/>
  <c r="X507" i="1" s="1" a="1"/>
  <c r="X507" i="1" s="1"/>
  <c r="W495" i="1"/>
  <c r="X495" i="1" s="1" a="1"/>
  <c r="X495" i="1" s="1"/>
  <c r="W483" i="1"/>
  <c r="X483" i="1" s="1" a="1"/>
  <c r="X483" i="1" s="1"/>
  <c r="W471" i="1"/>
  <c r="X471" i="1" s="1" a="1"/>
  <c r="X471" i="1" s="1"/>
  <c r="W459" i="1"/>
  <c r="X459" i="1" s="1" a="1"/>
  <c r="X459" i="1" s="1"/>
  <c r="W447" i="1"/>
  <c r="X447" i="1" s="1" a="1"/>
  <c r="X447" i="1" s="1"/>
  <c r="W435" i="1"/>
  <c r="X435" i="1" s="1" a="1"/>
  <c r="X435" i="1" s="1"/>
  <c r="W423" i="1"/>
  <c r="X423" i="1" s="1" a="1"/>
  <c r="X423" i="1" s="1"/>
  <c r="W411" i="1"/>
  <c r="X411" i="1" s="1" a="1"/>
  <c r="X411" i="1" s="1"/>
  <c r="W399" i="1"/>
  <c r="X399" i="1" s="1" a="1"/>
  <c r="X399" i="1" s="1"/>
  <c r="W387" i="1"/>
  <c r="X387" i="1" s="1" a="1"/>
  <c r="X387" i="1" s="1"/>
  <c r="W375" i="1"/>
  <c r="X375" i="1" s="1" a="1"/>
  <c r="X375" i="1" s="1"/>
  <c r="W363" i="1"/>
  <c r="X363" i="1" s="1" a="1"/>
  <c r="X363" i="1" s="1"/>
  <c r="W351" i="1"/>
  <c r="X351" i="1" s="1" a="1"/>
  <c r="X351" i="1" s="1"/>
  <c r="W339" i="1"/>
  <c r="X339" i="1" s="1" a="1"/>
  <c r="X339" i="1" s="1"/>
  <c r="W327" i="1"/>
  <c r="X327" i="1" s="1" a="1"/>
  <c r="X327" i="1" s="1"/>
  <c r="W315" i="1"/>
  <c r="X315" i="1" s="1" a="1"/>
  <c r="X315" i="1" s="1"/>
  <c r="W303" i="1"/>
  <c r="X303" i="1" s="1" a="1"/>
  <c r="X303" i="1" s="1"/>
  <c r="W291" i="1"/>
  <c r="X291" i="1" s="1" a="1"/>
  <c r="X291" i="1" s="1"/>
  <c r="W279" i="1"/>
  <c r="X279" i="1" s="1" a="1"/>
  <c r="X279" i="1" s="1"/>
  <c r="W267" i="1"/>
  <c r="X267" i="1" s="1" a="1"/>
  <c r="X267" i="1" s="1"/>
  <c r="W255" i="1"/>
  <c r="X255" i="1" s="1" a="1"/>
  <c r="X255" i="1" s="1"/>
  <c r="W243" i="1"/>
  <c r="X243" i="1" s="1" a="1"/>
  <c r="X243" i="1" s="1"/>
  <c r="W231" i="1"/>
  <c r="X231" i="1" s="1" a="1"/>
  <c r="X231" i="1" s="1"/>
  <c r="W219" i="1"/>
  <c r="X219" i="1" s="1" a="1"/>
  <c r="X219" i="1" s="1"/>
  <c r="W207" i="1"/>
  <c r="X207" i="1" s="1" a="1"/>
  <c r="X207" i="1" s="1"/>
  <c r="W195" i="1"/>
  <c r="X195" i="1" s="1" a="1"/>
  <c r="X195" i="1" s="1"/>
  <c r="W183" i="1"/>
  <c r="X183" i="1" s="1" a="1"/>
  <c r="X183" i="1" s="1"/>
  <c r="W171" i="1"/>
  <c r="X171" i="1" s="1" a="1"/>
  <c r="X171" i="1" s="1"/>
  <c r="W159" i="1"/>
  <c r="X159" i="1" s="1" a="1"/>
  <c r="X159" i="1" s="1"/>
  <c r="W147" i="1"/>
  <c r="X147" i="1" s="1" a="1"/>
  <c r="X147" i="1" s="1"/>
  <c r="W135" i="1"/>
  <c r="X135" i="1" s="1" a="1"/>
  <c r="X135" i="1" s="1"/>
  <c r="W123" i="1"/>
  <c r="X123" i="1" s="1" a="1"/>
  <c r="X123" i="1" s="1"/>
  <c r="W111" i="1"/>
  <c r="X111" i="1" s="1" a="1"/>
  <c r="X111" i="1" s="1"/>
  <c r="W99" i="1"/>
  <c r="X99" i="1" s="1" a="1"/>
  <c r="X99" i="1" s="1"/>
  <c r="W87" i="1"/>
  <c r="X87" i="1" s="1" a="1"/>
  <c r="X87" i="1" s="1"/>
  <c r="W75" i="1"/>
  <c r="X75" i="1" s="1" a="1"/>
  <c r="X75" i="1" s="1"/>
  <c r="W63" i="1"/>
  <c r="X63" i="1" s="1" a="1"/>
  <c r="X63" i="1" s="1"/>
  <c r="W51" i="1"/>
  <c r="X51" i="1" s="1" a="1"/>
  <c r="X51" i="1" s="1"/>
  <c r="W39" i="1"/>
  <c r="X39" i="1" s="1" a="1"/>
  <c r="X39" i="1" s="1"/>
  <c r="W27" i="1"/>
  <c r="X27" i="1" s="1" a="1"/>
  <c r="X27" i="1" s="1"/>
  <c r="W15" i="1"/>
  <c r="X15" i="1" s="1" a="1"/>
  <c r="X15" i="1" s="1"/>
  <c r="W3" i="1"/>
  <c r="X3" i="1" s="1" a="1"/>
  <c r="X3" i="1" s="1"/>
  <c r="W86" i="1"/>
  <c r="X86" i="1" s="1" a="1"/>
  <c r="X86" i="1" s="1"/>
  <c r="W74" i="1"/>
  <c r="X74" i="1" s="1" a="1"/>
  <c r="X74" i="1" s="1"/>
  <c r="W62" i="1"/>
  <c r="X62" i="1" s="1" a="1"/>
  <c r="X62" i="1" s="1"/>
  <c r="W50" i="1"/>
  <c r="X50" i="1" s="1" a="1"/>
  <c r="X50" i="1" s="1"/>
  <c r="W38" i="1"/>
  <c r="X38" i="1" s="1" a="1"/>
  <c r="X38" i="1" s="1"/>
  <c r="W26" i="1"/>
  <c r="X26" i="1" s="1" a="1"/>
  <c r="X26" i="1" s="1"/>
  <c r="W14" i="1"/>
  <c r="X14" i="1" s="1" a="1"/>
  <c r="X14" i="1" s="1"/>
  <c r="W275" i="1"/>
  <c r="X275" i="1" s="1" a="1"/>
  <c r="X275" i="1" s="1"/>
  <c r="W263" i="1"/>
  <c r="X263" i="1" s="1" a="1"/>
  <c r="X263" i="1" s="1"/>
  <c r="W251" i="1"/>
  <c r="X251" i="1" s="1" a="1"/>
  <c r="X251" i="1" s="1"/>
  <c r="W239" i="1"/>
  <c r="X239" i="1" s="1" a="1"/>
  <c r="X239" i="1" s="1"/>
  <c r="W227" i="1"/>
  <c r="X227" i="1" s="1" a="1"/>
  <c r="X227" i="1" s="1"/>
  <c r="W215" i="1"/>
  <c r="X215" i="1" s="1" a="1"/>
  <c r="X215" i="1" s="1"/>
  <c r="W203" i="1"/>
  <c r="X203" i="1" s="1" a="1"/>
  <c r="X203" i="1" s="1"/>
  <c r="W191" i="1"/>
  <c r="X191" i="1" s="1" a="1"/>
  <c r="X191" i="1" s="1"/>
  <c r="W179" i="1"/>
  <c r="X179" i="1" s="1" a="1"/>
  <c r="X179" i="1" s="1"/>
  <c r="W167" i="1"/>
  <c r="X167" i="1" s="1" a="1"/>
  <c r="X167" i="1" s="1"/>
  <c r="W155" i="1"/>
  <c r="X155" i="1" s="1" a="1"/>
  <c r="X155" i="1" s="1"/>
  <c r="W143" i="1"/>
  <c r="X143" i="1" s="1" a="1"/>
  <c r="X143" i="1" s="1"/>
  <c r="W131" i="1"/>
  <c r="X131" i="1" s="1" a="1"/>
  <c r="X131" i="1" s="1"/>
  <c r="W119" i="1"/>
  <c r="X119" i="1" s="1" a="1"/>
  <c r="X119" i="1" s="1"/>
  <c r="W107" i="1"/>
  <c r="X107" i="1" s="1" a="1"/>
  <c r="X107" i="1" s="1"/>
  <c r="W95" i="1"/>
  <c r="X95" i="1" s="1" a="1"/>
  <c r="X95" i="1" s="1"/>
  <c r="W83" i="1"/>
  <c r="X83" i="1" s="1" a="1"/>
  <c r="X83" i="1" s="1"/>
  <c r="W71" i="1"/>
  <c r="X71" i="1" s="1" a="1"/>
  <c r="X71" i="1" s="1"/>
  <c r="W59" i="1"/>
  <c r="X59" i="1" s="1" a="1"/>
  <c r="X59" i="1" s="1"/>
  <c r="W47" i="1"/>
  <c r="X47" i="1" s="1" a="1"/>
  <c r="X47" i="1" s="1"/>
  <c r="W35" i="1"/>
  <c r="X35" i="1" s="1" a="1"/>
  <c r="X35" i="1" s="1"/>
  <c r="W23" i="1"/>
  <c r="X23" i="1" s="1" a="1"/>
  <c r="X23" i="1" s="1"/>
  <c r="W11" i="1"/>
  <c r="X11" i="1" s="1" a="1"/>
  <c r="X11" i="1" s="1"/>
  <c r="W261" i="1"/>
  <c r="X261" i="1" s="1" a="1"/>
  <c r="X261" i="1" s="1"/>
  <c r="W249" i="1"/>
  <c r="X249" i="1" s="1" a="1"/>
  <c r="X249" i="1" s="1"/>
  <c r="W237" i="1"/>
  <c r="X237" i="1" s="1" a="1"/>
  <c r="X237" i="1" s="1"/>
  <c r="W225" i="1"/>
  <c r="X225" i="1" s="1" a="1"/>
  <c r="X225" i="1" s="1"/>
  <c r="W213" i="1"/>
  <c r="X213" i="1" s="1" a="1"/>
  <c r="X213" i="1" s="1"/>
  <c r="W201" i="1"/>
  <c r="X201" i="1" s="1" a="1"/>
  <c r="X201" i="1" s="1"/>
  <c r="W189" i="1"/>
  <c r="X189" i="1" s="1" a="1"/>
  <c r="X189" i="1" s="1"/>
  <c r="W177" i="1"/>
  <c r="X177" i="1" s="1" a="1"/>
  <c r="X177" i="1" s="1"/>
  <c r="W165" i="1"/>
  <c r="X165" i="1" s="1" a="1"/>
  <c r="X165" i="1" s="1"/>
  <c r="W153" i="1"/>
  <c r="X153" i="1" s="1" a="1"/>
  <c r="X153" i="1" s="1"/>
  <c r="W141" i="1"/>
  <c r="X141" i="1" s="1" a="1"/>
  <c r="X141" i="1" s="1"/>
  <c r="W129" i="1"/>
  <c r="X129" i="1" s="1" a="1"/>
  <c r="X129" i="1" s="1"/>
  <c r="W117" i="1"/>
  <c r="X117" i="1" s="1" a="1"/>
  <c r="X117" i="1" s="1"/>
  <c r="W105" i="1"/>
  <c r="X105" i="1" s="1" a="1"/>
  <c r="X105" i="1" s="1"/>
  <c r="W93" i="1"/>
  <c r="X93" i="1" s="1" a="1"/>
  <c r="X93" i="1" s="1"/>
  <c r="W81" i="1"/>
  <c r="X81" i="1" s="1" a="1"/>
  <c r="X81" i="1" s="1"/>
  <c r="W69" i="1"/>
  <c r="X69" i="1" s="1" a="1"/>
  <c r="X69" i="1" s="1"/>
  <c r="W57" i="1"/>
  <c r="X57" i="1" s="1" a="1"/>
  <c r="X57" i="1" s="1"/>
  <c r="W45" i="1"/>
  <c r="X45" i="1" s="1" a="1"/>
  <c r="X45" i="1" s="1"/>
  <c r="W33" i="1"/>
  <c r="X33" i="1" s="1" a="1"/>
  <c r="X33" i="1" s="1"/>
  <c r="W21" i="1"/>
  <c r="X21" i="1" s="1" a="1"/>
  <c r="X21" i="1" s="1"/>
  <c r="W9" i="1"/>
  <c r="X9" i="1" s="1" a="1"/>
  <c r="X9" i="1" s="1"/>
  <c r="W260" i="1"/>
  <c r="X260" i="1" s="1" a="1"/>
  <c r="X260" i="1" s="1"/>
  <c r="W248" i="1"/>
  <c r="X248" i="1" s="1" a="1"/>
  <c r="X248" i="1" s="1"/>
  <c r="W236" i="1"/>
  <c r="X236" i="1" s="1" a="1"/>
  <c r="X236" i="1" s="1"/>
  <c r="W224" i="1"/>
  <c r="X224" i="1" s="1" a="1"/>
  <c r="X224" i="1" s="1"/>
  <c r="W212" i="1"/>
  <c r="X212" i="1" s="1" a="1"/>
  <c r="X212" i="1" s="1"/>
  <c r="W200" i="1"/>
  <c r="X200" i="1" s="1" a="1"/>
  <c r="X200" i="1" s="1"/>
  <c r="W188" i="1"/>
  <c r="X188" i="1" s="1" a="1"/>
  <c r="X188" i="1" s="1"/>
  <c r="W176" i="1"/>
  <c r="X176" i="1" s="1" a="1"/>
  <c r="X176" i="1" s="1"/>
  <c r="W164" i="1"/>
  <c r="X164" i="1" s="1" a="1"/>
  <c r="X164" i="1" s="1"/>
  <c r="W152" i="1"/>
  <c r="X152" i="1" s="1" a="1"/>
  <c r="X152" i="1" s="1"/>
  <c r="W140" i="1"/>
  <c r="X140" i="1" s="1" a="1"/>
  <c r="X140" i="1" s="1"/>
  <c r="W128" i="1"/>
  <c r="X128" i="1" s="1" a="1"/>
  <c r="X128" i="1" s="1"/>
  <c r="W116" i="1"/>
  <c r="X116" i="1" s="1" a="1"/>
  <c r="X116" i="1" s="1"/>
  <c r="W104" i="1"/>
  <c r="X104" i="1" s="1" a="1"/>
  <c r="X104" i="1" s="1"/>
  <c r="W92" i="1"/>
  <c r="X92" i="1" s="1" a="1"/>
  <c r="X92" i="1" s="1"/>
  <c r="W80" i="1"/>
  <c r="X80" i="1" s="1" a="1"/>
  <c r="X80" i="1" s="1"/>
  <c r="W68" i="1"/>
  <c r="X68" i="1" s="1" a="1"/>
  <c r="X68" i="1" s="1"/>
  <c r="W56" i="1"/>
  <c r="X56" i="1" s="1" a="1"/>
  <c r="X56" i="1" s="1"/>
  <c r="W44" i="1"/>
  <c r="X44" i="1" s="1" a="1"/>
  <c r="X44" i="1" s="1"/>
  <c r="W32" i="1"/>
  <c r="X32" i="1" s="1" a="1"/>
  <c r="X32" i="1" s="1"/>
  <c r="W20" i="1"/>
  <c r="X20" i="1" s="1" a="1"/>
  <c r="X20" i="1" s="1"/>
  <c r="W8" i="1"/>
  <c r="X8" i="1" s="1" a="1"/>
  <c r="X8" i="1" s="1"/>
  <c r="W114" i="1"/>
  <c r="X114" i="1" s="1" a="1"/>
  <c r="X114" i="1" s="1"/>
  <c r="W102" i="1"/>
  <c r="X102" i="1" s="1" a="1"/>
  <c r="X102" i="1" s="1"/>
  <c r="W90" i="1"/>
  <c r="X90" i="1" s="1" a="1"/>
  <c r="X90" i="1" s="1"/>
  <c r="W78" i="1"/>
  <c r="X78" i="1" s="1" a="1"/>
  <c r="X78" i="1" s="1"/>
  <c r="W66" i="1"/>
  <c r="X66" i="1" s="1" a="1"/>
  <c r="X66" i="1" s="1"/>
  <c r="W54" i="1"/>
  <c r="X54" i="1" s="1" a="1"/>
  <c r="X54" i="1" s="1"/>
  <c r="W42" i="1"/>
  <c r="X42" i="1" s="1" a="1"/>
  <c r="X42" i="1" s="1"/>
  <c r="W30" i="1"/>
  <c r="X30" i="1" s="1" a="1"/>
  <c r="X30" i="1" s="1"/>
  <c r="W18" i="1"/>
  <c r="X18" i="1" s="1" a="1"/>
  <c r="X18" i="1" s="1"/>
  <c r="W6" i="1"/>
  <c r="X6" i="1" s="1" a="1"/>
  <c r="X6" i="1" s="1"/>
  <c r="W304" i="1"/>
  <c r="X304" i="1" s="1" a="1"/>
  <c r="X304" i="1" s="1"/>
  <c r="W292" i="1"/>
  <c r="X292" i="1" s="1" a="1"/>
  <c r="X292" i="1" s="1"/>
  <c r="W280" i="1"/>
  <c r="X280" i="1" s="1" a="1"/>
  <c r="X280" i="1" s="1"/>
  <c r="W268" i="1"/>
  <c r="X268" i="1" s="1" a="1"/>
  <c r="X268" i="1" s="1"/>
  <c r="W256" i="1"/>
  <c r="X256" i="1" s="1" a="1"/>
  <c r="X256" i="1" s="1"/>
  <c r="W244" i="1"/>
  <c r="X244" i="1" s="1" a="1"/>
  <c r="X244" i="1" s="1"/>
  <c r="W232" i="1"/>
  <c r="X232" i="1" s="1" a="1"/>
  <c r="X232" i="1" s="1"/>
  <c r="W220" i="1"/>
  <c r="X220" i="1" s="1" a="1"/>
  <c r="X220" i="1" s="1"/>
  <c r="W208" i="1"/>
  <c r="X208" i="1" s="1" a="1"/>
  <c r="X208" i="1" s="1"/>
  <c r="W196" i="1"/>
  <c r="X196" i="1" s="1" a="1"/>
  <c r="X196" i="1" s="1"/>
  <c r="W184" i="1"/>
  <c r="X184" i="1" s="1" a="1"/>
  <c r="X184" i="1" s="1"/>
  <c r="W172" i="1"/>
  <c r="X172" i="1" s="1" a="1"/>
  <c r="X172" i="1" s="1"/>
  <c r="W160" i="1"/>
  <c r="X160" i="1" s="1" a="1"/>
  <c r="X160" i="1" s="1"/>
  <c r="W148" i="1"/>
  <c r="X148" i="1" s="1" a="1"/>
  <c r="X148" i="1" s="1"/>
  <c r="W136" i="1"/>
  <c r="X136" i="1" s="1" a="1"/>
  <c r="X136" i="1" s="1"/>
  <c r="W124" i="1"/>
  <c r="X124" i="1" s="1" a="1"/>
  <c r="X124" i="1" s="1"/>
  <c r="W112" i="1"/>
  <c r="X112" i="1" s="1" a="1"/>
  <c r="X112" i="1" s="1"/>
  <c r="W100" i="1"/>
  <c r="X100" i="1" s="1" a="1"/>
  <c r="X100" i="1" s="1"/>
  <c r="W88" i="1"/>
  <c r="X88" i="1" s="1" a="1"/>
  <c r="X88" i="1" s="1"/>
  <c r="W76" i="1"/>
  <c r="X76" i="1" s="1" a="1"/>
  <c r="X76" i="1" s="1"/>
  <c r="W64" i="1"/>
  <c r="X64" i="1" s="1" a="1"/>
  <c r="X64" i="1" s="1"/>
  <c r="W52" i="1"/>
  <c r="X52" i="1" s="1" a="1"/>
  <c r="X52" i="1" s="1"/>
  <c r="W40" i="1"/>
  <c r="X40" i="1" s="1" a="1"/>
  <c r="X40" i="1" s="1"/>
  <c r="W28" i="1"/>
  <c r="X28" i="1" s="1" a="1"/>
  <c r="X28" i="1" s="1"/>
  <c r="W16" i="1"/>
  <c r="X16" i="1" s="1" a="1"/>
  <c r="X16" i="1" s="1"/>
  <c r="W4" i="1"/>
  <c r="X4" i="1" s="1" a="1"/>
  <c r="X4" i="1" s="1"/>
  <c r="W217" i="1"/>
  <c r="X217" i="1" s="1" a="1"/>
  <c r="X217" i="1" s="1"/>
  <c r="W205" i="1"/>
  <c r="X205" i="1" s="1" a="1"/>
  <c r="X205" i="1" s="1"/>
  <c r="W193" i="1"/>
  <c r="X193" i="1" s="1" a="1"/>
  <c r="X193" i="1" s="1"/>
  <c r="W181" i="1"/>
  <c r="X181" i="1" s="1" a="1"/>
  <c r="X181" i="1" s="1"/>
  <c r="W169" i="1"/>
  <c r="X169" i="1" s="1" a="1"/>
  <c r="X169" i="1" s="1"/>
  <c r="W157" i="1"/>
  <c r="X157" i="1" s="1" a="1"/>
  <c r="X157" i="1" s="1"/>
  <c r="W145" i="1"/>
  <c r="X145" i="1" s="1" a="1"/>
  <c r="X145" i="1" s="1"/>
  <c r="W133" i="1"/>
  <c r="X133" i="1" s="1" a="1"/>
  <c r="X133" i="1" s="1"/>
  <c r="W121" i="1"/>
  <c r="X121" i="1" s="1" a="1"/>
  <c r="X121" i="1" s="1"/>
  <c r="W109" i="1"/>
  <c r="X109" i="1" s="1" a="1"/>
  <c r="X109" i="1" s="1"/>
  <c r="W97" i="1"/>
  <c r="X97" i="1" s="1" a="1"/>
  <c r="X97" i="1" s="1"/>
  <c r="W85" i="1"/>
  <c r="X85" i="1" s="1" a="1"/>
  <c r="X85" i="1" s="1"/>
  <c r="W73" i="1"/>
  <c r="X73" i="1" s="1" a="1"/>
  <c r="X73" i="1" s="1"/>
  <c r="W61" i="1"/>
  <c r="X61" i="1" s="1" a="1"/>
  <c r="X61" i="1" s="1"/>
  <c r="W49" i="1"/>
  <c r="X49" i="1" s="1" a="1"/>
  <c r="X49" i="1" s="1"/>
  <c r="W37" i="1"/>
  <c r="X37" i="1" s="1" a="1"/>
  <c r="X37" i="1" s="1"/>
  <c r="W25" i="1"/>
  <c r="X25" i="1" s="1" a="1"/>
  <c r="X25" i="1" s="1"/>
  <c r="W13" i="1"/>
  <c r="X13" i="1" s="1" a="1"/>
  <c r="X13" i="1" s="1"/>
  <c r="W336" i="1"/>
  <c r="X336" i="1" s="1" a="1"/>
  <c r="X336" i="1" s="1"/>
  <c r="W324" i="1"/>
  <c r="X324" i="1" s="1" a="1"/>
  <c r="X324" i="1" s="1"/>
  <c r="W312" i="1"/>
  <c r="X312" i="1" s="1" a="1"/>
  <c r="X312" i="1" s="1"/>
  <c r="W300" i="1"/>
  <c r="X300" i="1" s="1" a="1"/>
  <c r="X300" i="1" s="1"/>
  <c r="W288" i="1"/>
  <c r="X288" i="1" s="1" a="1"/>
  <c r="X288" i="1" s="1"/>
  <c r="W276" i="1"/>
  <c r="X276" i="1" s="1" a="1"/>
  <c r="X276" i="1" s="1"/>
  <c r="W264" i="1"/>
  <c r="X264" i="1" s="1" a="1"/>
  <c r="X264" i="1" s="1"/>
  <c r="W252" i="1"/>
  <c r="X252" i="1" s="1" a="1"/>
  <c r="X252" i="1" s="1"/>
  <c r="W240" i="1"/>
  <c r="X240" i="1" s="1" a="1"/>
  <c r="X240" i="1" s="1"/>
  <c r="W228" i="1"/>
  <c r="X228" i="1" s="1" a="1"/>
  <c r="X228" i="1" s="1"/>
  <c r="W216" i="1"/>
  <c r="X216" i="1" s="1" a="1"/>
  <c r="X216" i="1" s="1"/>
  <c r="W204" i="1"/>
  <c r="X204" i="1" s="1" a="1"/>
  <c r="X204" i="1" s="1"/>
  <c r="W192" i="1"/>
  <c r="X192" i="1" s="1" a="1"/>
  <c r="X192" i="1" s="1"/>
  <c r="W180" i="1"/>
  <c r="X180" i="1" s="1" a="1"/>
  <c r="X180" i="1" s="1"/>
  <c r="W168" i="1"/>
  <c r="X168" i="1" s="1" a="1"/>
  <c r="X168" i="1" s="1"/>
  <c r="W156" i="1"/>
  <c r="X156" i="1" s="1" a="1"/>
  <c r="X156" i="1" s="1"/>
  <c r="W144" i="1"/>
  <c r="X144" i="1" s="1" a="1"/>
  <c r="X144" i="1" s="1"/>
  <c r="W132" i="1"/>
  <c r="X132" i="1" s="1" a="1"/>
  <c r="X132" i="1" s="1"/>
  <c r="W120" i="1"/>
  <c r="X120" i="1" s="1" a="1"/>
  <c r="X120" i="1" s="1"/>
  <c r="W108" i="1"/>
  <c r="X108" i="1" s="1" a="1"/>
  <c r="X108" i="1" s="1"/>
  <c r="W96" i="1"/>
  <c r="X96" i="1" s="1" a="1"/>
  <c r="X96" i="1" s="1"/>
  <c r="W84" i="1"/>
  <c r="X84" i="1" s="1" a="1"/>
  <c r="X84" i="1" s="1"/>
  <c r="W72" i="1"/>
  <c r="X72" i="1" s="1" a="1"/>
  <c r="X72" i="1" s="1"/>
  <c r="W60" i="1"/>
  <c r="X60" i="1" s="1" a="1"/>
  <c r="X60" i="1" s="1"/>
  <c r="W48" i="1"/>
  <c r="X48" i="1" s="1" a="1"/>
  <c r="X48" i="1" s="1"/>
  <c r="W36" i="1"/>
  <c r="X36" i="1" s="1" a="1"/>
  <c r="X36" i="1" s="1"/>
  <c r="W24" i="1"/>
  <c r="X24" i="1" s="1" a="1"/>
  <c r="X24" i="1" s="1"/>
  <c r="W12" i="1"/>
  <c r="X12" i="1" s="1" a="1"/>
  <c r="X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<sst xmlns="http://schemas.openxmlformats.org/spreadsheetml/2006/main" count="6409" uniqueCount="1505">
  <si>
    <t>Txn ID</t>
  </si>
  <si>
    <t>Card_ID</t>
  </si>
  <si>
    <t>Date</t>
  </si>
  <si>
    <t>Time</t>
  </si>
  <si>
    <t>Merchant</t>
  </si>
  <si>
    <t>Category</t>
  </si>
  <si>
    <t>City</t>
  </si>
  <si>
    <t>Amount (ZAR)</t>
  </si>
  <si>
    <t>Channel</t>
  </si>
  <si>
    <t>Status</t>
  </si>
  <si>
    <t>Notes</t>
  </si>
  <si>
    <t>TXN500001</t>
  </si>
  <si>
    <t>CC-10000</t>
  </si>
  <si>
    <t>18:47</t>
  </si>
  <si>
    <t>Amazon</t>
  </si>
  <si>
    <t>Online Retail</t>
  </si>
  <si>
    <t>Card Present</t>
  </si>
  <si>
    <t>Approved</t>
  </si>
  <si>
    <t>TXN500002</t>
  </si>
  <si>
    <t>13:32</t>
  </si>
  <si>
    <t>ABSA ATM</t>
  </si>
  <si>
    <t>ATM Withdrawal</t>
  </si>
  <si>
    <t>Gqeberha</t>
  </si>
  <si>
    <t>TXN500003</t>
  </si>
  <si>
    <t>Shell</t>
  </si>
  <si>
    <t>Fuel</t>
  </si>
  <si>
    <t>Card Not Present (Phone)</t>
  </si>
  <si>
    <t>TXN500004</t>
  </si>
  <si>
    <t>15:42</t>
  </si>
  <si>
    <t>TXN500005</t>
  </si>
  <si>
    <t>10:47</t>
  </si>
  <si>
    <t>BP</t>
  </si>
  <si>
    <t>Contactless</t>
  </si>
  <si>
    <t>TXN500006</t>
  </si>
  <si>
    <t>20:33</t>
  </si>
  <si>
    <t>Mugg &amp; Bean</t>
  </si>
  <si>
    <t>Restaurant</t>
  </si>
  <si>
    <t>TXN500007</t>
  </si>
  <si>
    <t>08:27</t>
  </si>
  <si>
    <t>Spotify</t>
  </si>
  <si>
    <t>Subscription Services</t>
  </si>
  <si>
    <t>Declined</t>
  </si>
  <si>
    <t>TXN500008</t>
  </si>
  <si>
    <t>07:49</t>
  </si>
  <si>
    <t>Engen</t>
  </si>
  <si>
    <t>TXN500009</t>
  </si>
  <si>
    <t>14:27</t>
  </si>
  <si>
    <t>MTN</t>
  </si>
  <si>
    <t>Utilities</t>
  </si>
  <si>
    <t>Cape Town</t>
  </si>
  <si>
    <t>TXN500010</t>
  </si>
  <si>
    <t>13:55</t>
  </si>
  <si>
    <t>Spar</t>
  </si>
  <si>
    <t>Grocery</t>
  </si>
  <si>
    <t>TXN500011</t>
  </si>
  <si>
    <t>CC-10001</t>
  </si>
  <si>
    <t>11:15</t>
  </si>
  <si>
    <t>Mr Delivery</t>
  </si>
  <si>
    <t>TXN500012</t>
  </si>
  <si>
    <t>13:56</t>
  </si>
  <si>
    <t>FlySafair</t>
  </si>
  <si>
    <t>Travel</t>
  </si>
  <si>
    <t>TXN500013</t>
  </si>
  <si>
    <t>14:40</t>
  </si>
  <si>
    <t>Hollywoodbets</t>
  </si>
  <si>
    <t>Gambling</t>
  </si>
  <si>
    <t>TXN500014</t>
  </si>
  <si>
    <t>20:47</t>
  </si>
  <si>
    <t>TXN500015</t>
  </si>
  <si>
    <t>09:27</t>
  </si>
  <si>
    <t>Uber Eats</t>
  </si>
  <si>
    <t>TXN500016</t>
  </si>
  <si>
    <t>17:18</t>
  </si>
  <si>
    <t>Clicks</t>
  </si>
  <si>
    <t>Pharmacy</t>
  </si>
  <si>
    <t>TXN500017</t>
  </si>
  <si>
    <t>16:29</t>
  </si>
  <si>
    <t>Superbalist</t>
  </si>
  <si>
    <t>TXN500018</t>
  </si>
  <si>
    <t>18:51</t>
  </si>
  <si>
    <t>Incredible Connection</t>
  </si>
  <si>
    <t>Electronics</t>
  </si>
  <si>
    <t>TXN500019</t>
  </si>
  <si>
    <t>16:01</t>
  </si>
  <si>
    <t>South African Airways</t>
  </si>
  <si>
    <t>TXN500020</t>
  </si>
  <si>
    <t>11:06</t>
  </si>
  <si>
    <t>Telkom</t>
  </si>
  <si>
    <t>TXN500021</t>
  </si>
  <si>
    <t>22:34</t>
  </si>
  <si>
    <t>Mr Price</t>
  </si>
  <si>
    <t>Clothing</t>
  </si>
  <si>
    <t>TXN500022</t>
  </si>
  <si>
    <t>18:45</t>
  </si>
  <si>
    <t>Checkers</t>
  </si>
  <si>
    <t>Online</t>
  </si>
  <si>
    <t>TXN500023</t>
  </si>
  <si>
    <t>Woolworths</t>
  </si>
  <si>
    <t>TXN500024</t>
  </si>
  <si>
    <t>13:11</t>
  </si>
  <si>
    <t>TXN500025</t>
  </si>
  <si>
    <t>22:54</t>
  </si>
  <si>
    <t>TXN500026</t>
  </si>
  <si>
    <t>15:50</t>
  </si>
  <si>
    <t>Sportingbet</t>
  </si>
  <si>
    <t>TXN500027</t>
  </si>
  <si>
    <t>CC-10002</t>
  </si>
  <si>
    <t>11:40</t>
  </si>
  <si>
    <t>Pretoria</t>
  </si>
  <si>
    <t>TXN500028</t>
  </si>
  <si>
    <t>15:39</t>
  </si>
  <si>
    <t>City Power</t>
  </si>
  <si>
    <t>TXN500029</t>
  </si>
  <si>
    <t>08:34</t>
  </si>
  <si>
    <t>Game</t>
  </si>
  <si>
    <t>TXN500030</t>
  </si>
  <si>
    <t>TXN500031</t>
  </si>
  <si>
    <t>13:57</t>
  </si>
  <si>
    <t xml:space="preserve">Pretoria </t>
  </si>
  <si>
    <t>TXN500032</t>
  </si>
  <si>
    <t>15:36</t>
  </si>
  <si>
    <t>KFC</t>
  </si>
  <si>
    <t>TXN500033</t>
  </si>
  <si>
    <t>08:53</t>
  </si>
  <si>
    <t>TXN500034</t>
  </si>
  <si>
    <t>13:49</t>
  </si>
  <si>
    <t>Shoprite</t>
  </si>
  <si>
    <t>TXN500035</t>
  </si>
  <si>
    <t>15:21</t>
  </si>
  <si>
    <t>Sasol</t>
  </si>
  <si>
    <t>TXN500036</t>
  </si>
  <si>
    <t>16:35</t>
  </si>
  <si>
    <t>Total</t>
  </si>
  <si>
    <t>TXN500037</t>
  </si>
  <si>
    <t>14:30</t>
  </si>
  <si>
    <t>TXN500038</t>
  </si>
  <si>
    <t>15:10</t>
  </si>
  <si>
    <t>Showmax</t>
  </si>
  <si>
    <t>TXN500039</t>
  </si>
  <si>
    <t>09:29</t>
  </si>
  <si>
    <t>Pick n Pay</t>
  </si>
  <si>
    <t>verified via OTP call</t>
  </si>
  <si>
    <t>TXN500040</t>
  </si>
  <si>
    <t>CC-10003</t>
  </si>
  <si>
    <t>19:11</t>
  </si>
  <si>
    <t xml:space="preserve">Cape Town </t>
  </si>
  <si>
    <t>TXN500041</t>
  </si>
  <si>
    <t>20:48</t>
  </si>
  <si>
    <t>TXN500042</t>
  </si>
  <si>
    <t>07:20</t>
  </si>
  <si>
    <t>TXN500043</t>
  </si>
  <si>
    <t>22:44</t>
  </si>
  <si>
    <t>TXN500044</t>
  </si>
  <si>
    <t>10:57</t>
  </si>
  <si>
    <t>TXN500045</t>
  </si>
  <si>
    <t>21:52</t>
  </si>
  <si>
    <t>Nandos</t>
  </si>
  <si>
    <t>TXN500046</t>
  </si>
  <si>
    <t>13:18</t>
  </si>
  <si>
    <t>TXN500047</t>
  </si>
  <si>
    <t>10:19</t>
  </si>
  <si>
    <t>TXN500048</t>
  </si>
  <si>
    <t>13:17</t>
  </si>
  <si>
    <t>TXN500049</t>
  </si>
  <si>
    <t>TXN500050</t>
  </si>
  <si>
    <t>09:10</t>
  </si>
  <si>
    <t>TXN500051</t>
  </si>
  <si>
    <t>22:03</t>
  </si>
  <si>
    <t>TXN500052</t>
  </si>
  <si>
    <t>12:38</t>
  </si>
  <si>
    <t>Edgars</t>
  </si>
  <si>
    <t>TXN500053</t>
  </si>
  <si>
    <t>14:54</t>
  </si>
  <si>
    <t>Capitec ATM</t>
  </si>
  <si>
    <t>TXN500054</t>
  </si>
  <si>
    <t>CC-10004</t>
  </si>
  <si>
    <t>20:32</t>
  </si>
  <si>
    <t>Johannesburg</t>
  </si>
  <si>
    <t>TXN500055</t>
  </si>
  <si>
    <t>15:48</t>
  </si>
  <si>
    <t>FNB ATM</t>
  </si>
  <si>
    <t>TXN500056</t>
  </si>
  <si>
    <t>20:29</t>
  </si>
  <si>
    <t>chargeback initiated</t>
  </si>
  <si>
    <t>TXN500057</t>
  </si>
  <si>
    <t>09:25</t>
  </si>
  <si>
    <t>TXN500058</t>
  </si>
  <si>
    <t>18:19</t>
  </si>
  <si>
    <t>TXN500059</t>
  </si>
  <si>
    <t>08:13</t>
  </si>
  <si>
    <t>TXN500060</t>
  </si>
  <si>
    <t>22:13</t>
  </si>
  <si>
    <t xml:space="preserve">Johannesburg </t>
  </si>
  <si>
    <t>TXN500061</t>
  </si>
  <si>
    <t>10:23</t>
  </si>
  <si>
    <t>TXN500062</t>
  </si>
  <si>
    <t>CC-10005</t>
  </si>
  <si>
    <t>08:19</t>
  </si>
  <si>
    <t>TXN500063</t>
  </si>
  <si>
    <t>15:20</t>
  </si>
  <si>
    <t>TXN500064</t>
  </si>
  <si>
    <t>18:39</t>
  </si>
  <si>
    <t>TXN500065</t>
  </si>
  <si>
    <t>15:05</t>
  </si>
  <si>
    <t>TXN500066</t>
  </si>
  <si>
    <t>12:22</t>
  </si>
  <si>
    <t>Avis</t>
  </si>
  <si>
    <t>TXN500067</t>
  </si>
  <si>
    <t>TXN500068</t>
  </si>
  <si>
    <t>16:16</t>
  </si>
  <si>
    <t>TXN500069</t>
  </si>
  <si>
    <t>20:04</t>
  </si>
  <si>
    <t>TXN500070</t>
  </si>
  <si>
    <t>TXN500071</t>
  </si>
  <si>
    <t>17:16</t>
  </si>
  <si>
    <t>Takealot</t>
  </si>
  <si>
    <t>TXN500072</t>
  </si>
  <si>
    <t>20:18</t>
  </si>
  <si>
    <t>TXN500073</t>
  </si>
  <si>
    <t>21:32</t>
  </si>
  <si>
    <t>Zara</t>
  </si>
  <si>
    <t>TXN500074</t>
  </si>
  <si>
    <t>15:23</t>
  </si>
  <si>
    <t>TXN500075</t>
  </si>
  <si>
    <t>12:08</t>
  </si>
  <si>
    <t>TXN500076</t>
  </si>
  <si>
    <t>CC-10006</t>
  </si>
  <si>
    <t>11:03</t>
  </si>
  <si>
    <t>TXN500077</t>
  </si>
  <si>
    <t>09:19</t>
  </si>
  <si>
    <t>Makro</t>
  </si>
  <si>
    <t>TXN500078</t>
  </si>
  <si>
    <t>12:53</t>
  </si>
  <si>
    <t>TXN500079</t>
  </si>
  <si>
    <t>13:23</t>
  </si>
  <si>
    <t>TXN500080</t>
  </si>
  <si>
    <t>20:30</t>
  </si>
  <si>
    <t>TXN500081</t>
  </si>
  <si>
    <t>08:11</t>
  </si>
  <si>
    <t>TXN500082</t>
  </si>
  <si>
    <t>TXN500083</t>
  </si>
  <si>
    <t>11:14</t>
  </si>
  <si>
    <t>AliExpress</t>
  </si>
  <si>
    <t>TXN500084</t>
  </si>
  <si>
    <t>17:13</t>
  </si>
  <si>
    <t>Vodacom</t>
  </si>
  <si>
    <t>TXN500085</t>
  </si>
  <si>
    <t>07:25</t>
  </si>
  <si>
    <t>TXN500086</t>
  </si>
  <si>
    <t>14:31</t>
  </si>
  <si>
    <t>Durban</t>
  </si>
  <si>
    <t>TXN500087</t>
  </si>
  <si>
    <t>TXN500088</t>
  </si>
  <si>
    <t>19:38</t>
  </si>
  <si>
    <t>TXN500089</t>
  </si>
  <si>
    <t>21:21</t>
  </si>
  <si>
    <t>TXN500090</t>
  </si>
  <si>
    <t>CC-10007</t>
  </si>
  <si>
    <t>10:51</t>
  </si>
  <si>
    <t>TXN500091</t>
  </si>
  <si>
    <t>15:41</t>
  </si>
  <si>
    <t>TXN500092</t>
  </si>
  <si>
    <t>TXN500093</t>
  </si>
  <si>
    <t>09:41</t>
  </si>
  <si>
    <t>Bloemfontein</t>
  </si>
  <si>
    <t>TXN500094</t>
  </si>
  <si>
    <t>13:44</t>
  </si>
  <si>
    <t>TXN500095</t>
  </si>
  <si>
    <t>09:44</t>
  </si>
  <si>
    <t>TXN500096</t>
  </si>
  <si>
    <t>10:22</t>
  </si>
  <si>
    <t>TXN500097</t>
  </si>
  <si>
    <t>14:28</t>
  </si>
  <si>
    <t>TXN500098</t>
  </si>
  <si>
    <t>15:24</t>
  </si>
  <si>
    <t>TXN500099</t>
  </si>
  <si>
    <t>07:42</t>
  </si>
  <si>
    <t>TXN500100</t>
  </si>
  <si>
    <t>CC-10008</t>
  </si>
  <si>
    <t>14:41</t>
  </si>
  <si>
    <t>TXN500101</t>
  </si>
  <si>
    <t>09:00</t>
  </si>
  <si>
    <t>TXN500102</t>
  </si>
  <si>
    <t>18:26</t>
  </si>
  <si>
    <t>TXN500103</t>
  </si>
  <si>
    <t>14:15</t>
  </si>
  <si>
    <t>TXN500104</t>
  </si>
  <si>
    <t>11:36</t>
  </si>
  <si>
    <t>TXN500105</t>
  </si>
  <si>
    <t>16:33</t>
  </si>
  <si>
    <t>TXN500106</t>
  </si>
  <si>
    <t>TXN500107</t>
  </si>
  <si>
    <t>20:21</t>
  </si>
  <si>
    <t>TXN500108</t>
  </si>
  <si>
    <t>TXN500109</t>
  </si>
  <si>
    <t>18:53</t>
  </si>
  <si>
    <t>TXN500110</t>
  </si>
  <si>
    <t>TXN500111</t>
  </si>
  <si>
    <t>16:03</t>
  </si>
  <si>
    <t>TXN500112</t>
  </si>
  <si>
    <t>09:11</t>
  </si>
  <si>
    <t>TXN500113</t>
  </si>
  <si>
    <t>18:42</t>
  </si>
  <si>
    <t>TXN500114</t>
  </si>
  <si>
    <t>CC-10009</t>
  </si>
  <si>
    <t>15:30</t>
  </si>
  <si>
    <t>TXN500115</t>
  </si>
  <si>
    <t>07:22</t>
  </si>
  <si>
    <t>Truworths</t>
  </si>
  <si>
    <t>TXN500116</t>
  </si>
  <si>
    <t>TXN500117</t>
  </si>
  <si>
    <t>TXN500118</t>
  </si>
  <si>
    <t>17:31</t>
  </si>
  <si>
    <t>TXN500119</t>
  </si>
  <si>
    <t>13:37</t>
  </si>
  <si>
    <t>TXN500120</t>
  </si>
  <si>
    <t>16:18</t>
  </si>
  <si>
    <t>TXN500121</t>
  </si>
  <si>
    <t>09:34</t>
  </si>
  <si>
    <t>TXN500122</t>
  </si>
  <si>
    <t>22:28</t>
  </si>
  <si>
    <t>Booking.com</t>
  </si>
  <si>
    <t>TXN500123</t>
  </si>
  <si>
    <t>CC-10010</t>
  </si>
  <si>
    <t>10:59</t>
  </si>
  <si>
    <t>TXN500124</t>
  </si>
  <si>
    <t>TXN500125</t>
  </si>
  <si>
    <t>09:08</t>
  </si>
  <si>
    <t>TXN500126</t>
  </si>
  <si>
    <t>09:49</t>
  </si>
  <si>
    <t>TXN500127</t>
  </si>
  <si>
    <t>DSTV</t>
  </si>
  <si>
    <t>TXN500128</t>
  </si>
  <si>
    <t>17:33</t>
  </si>
  <si>
    <t>TXN500129</t>
  </si>
  <si>
    <t>15:38</t>
  </si>
  <si>
    <t>TXN500130</t>
  </si>
  <si>
    <t>14:34</t>
  </si>
  <si>
    <t>TXN500131</t>
  </si>
  <si>
    <t>14:21</t>
  </si>
  <si>
    <t>Betway</t>
  </si>
  <si>
    <t>TXN500132</t>
  </si>
  <si>
    <t>CC-10011</t>
  </si>
  <si>
    <t>09:13</t>
  </si>
  <si>
    <t>TXN500133</t>
  </si>
  <si>
    <t>21:23</t>
  </si>
  <si>
    <t>TXN500134</t>
  </si>
  <si>
    <t>21:48</t>
  </si>
  <si>
    <t>TXN500135</t>
  </si>
  <si>
    <t>21:22</t>
  </si>
  <si>
    <t>TXN500136</t>
  </si>
  <si>
    <t>12:25</t>
  </si>
  <si>
    <t>TXN500137</t>
  </si>
  <si>
    <t>15:54</t>
  </si>
  <si>
    <t>TXN500138</t>
  </si>
  <si>
    <t>21:16</t>
  </si>
  <si>
    <t>TXN500139</t>
  </si>
  <si>
    <t>10:40</t>
  </si>
  <si>
    <t>TXN500140</t>
  </si>
  <si>
    <t>09:20</t>
  </si>
  <si>
    <t>TXN500141</t>
  </si>
  <si>
    <t>08:16</t>
  </si>
  <si>
    <t>TXN500142</t>
  </si>
  <si>
    <t>13:41</t>
  </si>
  <si>
    <t>TXN500143</t>
  </si>
  <si>
    <t>07:32</t>
  </si>
  <si>
    <t>TXN500144</t>
  </si>
  <si>
    <t>15:45</t>
  </si>
  <si>
    <t>Standard Bank ATM</t>
  </si>
  <si>
    <t>TXN500145</t>
  </si>
  <si>
    <t>19:45</t>
  </si>
  <si>
    <t>TXN500146</t>
  </si>
  <si>
    <t>CC-10012</t>
  </si>
  <si>
    <t>17:59</t>
  </si>
  <si>
    <t>TXN500147</t>
  </si>
  <si>
    <t>10:55</t>
  </si>
  <si>
    <t>TXN500148</t>
  </si>
  <si>
    <t>Dis-Chem</t>
  </si>
  <si>
    <t>TXN500149</t>
  </si>
  <si>
    <t>15:37</t>
  </si>
  <si>
    <t>TXN500150</t>
  </si>
  <si>
    <t>08:45</t>
  </si>
  <si>
    <t>TXN500151</t>
  </si>
  <si>
    <t>11:27</t>
  </si>
  <si>
    <t>TXN500152</t>
  </si>
  <si>
    <t>07:24</t>
  </si>
  <si>
    <t>TXN500153</t>
  </si>
  <si>
    <t>TXN500154</t>
  </si>
  <si>
    <t>07:26</t>
  </si>
  <si>
    <t>TXN500155</t>
  </si>
  <si>
    <t>TXN500156</t>
  </si>
  <si>
    <t>19:14</t>
  </si>
  <si>
    <t>TXN500157</t>
  </si>
  <si>
    <t>18:37</t>
  </si>
  <si>
    <t>TXN500158</t>
  </si>
  <si>
    <t>CC-10013</t>
  </si>
  <si>
    <t>TXN500159</t>
  </si>
  <si>
    <t>08:29</t>
  </si>
  <si>
    <t>TXN500160</t>
  </si>
  <si>
    <t>13:24</t>
  </si>
  <si>
    <t>TXN500161</t>
  </si>
  <si>
    <t>12:01</t>
  </si>
  <si>
    <t>TXN500162</t>
  </si>
  <si>
    <t>TXN500163</t>
  </si>
  <si>
    <t>18:14</t>
  </si>
  <si>
    <t>TXN500164</t>
  </si>
  <si>
    <t>18:38</t>
  </si>
  <si>
    <t>TXN500165</t>
  </si>
  <si>
    <t>07:06</t>
  </si>
  <si>
    <t>TXN500166</t>
  </si>
  <si>
    <t>08:42</t>
  </si>
  <si>
    <t>TXN500167</t>
  </si>
  <si>
    <t>07:23</t>
  </si>
  <si>
    <t>TXN500168</t>
  </si>
  <si>
    <t>14:26</t>
  </si>
  <si>
    <t>TXN500169</t>
  </si>
  <si>
    <t>21:18</t>
  </si>
  <si>
    <t>TXN500170</t>
  </si>
  <si>
    <t>10:15</t>
  </si>
  <si>
    <t>TXN500171</t>
  </si>
  <si>
    <t>11:51</t>
  </si>
  <si>
    <t>TXN500172</t>
  </si>
  <si>
    <t>21:41</t>
  </si>
  <si>
    <t>TXN500173</t>
  </si>
  <si>
    <t>TXN500174</t>
  </si>
  <si>
    <t>CC-10014</t>
  </si>
  <si>
    <t>12:56</t>
  </si>
  <si>
    <t>TXN500175</t>
  </si>
  <si>
    <t>TXN500176</t>
  </si>
  <si>
    <t>TXN500177</t>
  </si>
  <si>
    <t>15:03</t>
  </si>
  <si>
    <t>TXN500178</t>
  </si>
  <si>
    <t>13:31</t>
  </si>
  <si>
    <t>TXN500179</t>
  </si>
  <si>
    <t>08:22</t>
  </si>
  <si>
    <t>TXN500180</t>
  </si>
  <si>
    <t>10:14</t>
  </si>
  <si>
    <t>TXN500181</t>
  </si>
  <si>
    <t>10:24</t>
  </si>
  <si>
    <t>TXN500182</t>
  </si>
  <si>
    <t>11:10</t>
  </si>
  <si>
    <t>TXN500183</t>
  </si>
  <si>
    <t>19:55</t>
  </si>
  <si>
    <t>TXN500184</t>
  </si>
  <si>
    <t>19:31</t>
  </si>
  <si>
    <t>TXN500185</t>
  </si>
  <si>
    <t>CC-10015</t>
  </si>
  <si>
    <t>TXN500186</t>
  </si>
  <si>
    <t>07:04</t>
  </si>
  <si>
    <t>TXN500187</t>
  </si>
  <si>
    <t>11:58</t>
  </si>
  <si>
    <t>TXN500188</t>
  </si>
  <si>
    <t>08:23</t>
  </si>
  <si>
    <t>TXN500189</t>
  </si>
  <si>
    <t>14:06</t>
  </si>
  <si>
    <t>TXN500190</t>
  </si>
  <si>
    <t>TXN500191</t>
  </si>
  <si>
    <t>TXN500192</t>
  </si>
  <si>
    <t>TXN500193</t>
  </si>
  <si>
    <t>CC-10016</t>
  </si>
  <si>
    <t>16:19</t>
  </si>
  <si>
    <t>TXN500194</t>
  </si>
  <si>
    <t>11:13</t>
  </si>
  <si>
    <t>TXN500195</t>
  </si>
  <si>
    <t>19:57</t>
  </si>
  <si>
    <t>TXN500196</t>
  </si>
  <si>
    <t>12:29</t>
  </si>
  <si>
    <t>TXN500197</t>
  </si>
  <si>
    <t>12:35</t>
  </si>
  <si>
    <t>TXN500198</t>
  </si>
  <si>
    <t>20:31</t>
  </si>
  <si>
    <t>TXN500199</t>
  </si>
  <si>
    <t>TXN500200</t>
  </si>
  <si>
    <t>16:24</t>
  </si>
  <si>
    <t>TXN500201</t>
  </si>
  <si>
    <t>TXN500202</t>
  </si>
  <si>
    <t>13:40</t>
  </si>
  <si>
    <t>TXN500203</t>
  </si>
  <si>
    <t>CC-10017</t>
  </si>
  <si>
    <t>20:28</t>
  </si>
  <si>
    <t>TXN500204</t>
  </si>
  <si>
    <t>12:19</t>
  </si>
  <si>
    <t>TXN500205</t>
  </si>
  <si>
    <t>20:51</t>
  </si>
  <si>
    <t>TXN500206</t>
  </si>
  <si>
    <t>12:36</t>
  </si>
  <si>
    <t>Nedbank ATM</t>
  </si>
  <si>
    <t>TXN500207</t>
  </si>
  <si>
    <t>12:26</t>
  </si>
  <si>
    <t>TXN500208</t>
  </si>
  <si>
    <t>13:53</t>
  </si>
  <si>
    <t>TXN500209</t>
  </si>
  <si>
    <t>TXN500210</t>
  </si>
  <si>
    <t>17:36</t>
  </si>
  <si>
    <t>TXN500211</t>
  </si>
  <si>
    <t>TXN500212</t>
  </si>
  <si>
    <t>09:12</t>
  </si>
  <si>
    <t>TXN500213</t>
  </si>
  <si>
    <t>09:58</t>
  </si>
  <si>
    <t>TXN500214</t>
  </si>
  <si>
    <t>09:57</t>
  </si>
  <si>
    <t>TXN500215</t>
  </si>
  <si>
    <t>14:25</t>
  </si>
  <si>
    <t>TXN500216</t>
  </si>
  <si>
    <t>CC-10018</t>
  </si>
  <si>
    <t>07:29</t>
  </si>
  <si>
    <t>TXN500217</t>
  </si>
  <si>
    <t>07:46</t>
  </si>
  <si>
    <t>TXN500218</t>
  </si>
  <si>
    <t>11:43</t>
  </si>
  <si>
    <t>TXN500219</t>
  </si>
  <si>
    <t>22:07</t>
  </si>
  <si>
    <t>TXN500220</t>
  </si>
  <si>
    <t>09:02</t>
  </si>
  <si>
    <t>TXN500221</t>
  </si>
  <si>
    <t>12:21</t>
  </si>
  <si>
    <t>TXN500222</t>
  </si>
  <si>
    <t>TXN500223</t>
  </si>
  <si>
    <t>10:28</t>
  </si>
  <si>
    <t>TXN500224</t>
  </si>
  <si>
    <t>14:47</t>
  </si>
  <si>
    <t>TXN500225</t>
  </si>
  <si>
    <t>21:54</t>
  </si>
  <si>
    <t>TXN500226</t>
  </si>
  <si>
    <t>10:10</t>
  </si>
  <si>
    <t>TXN500227</t>
  </si>
  <si>
    <t>16:39</t>
  </si>
  <si>
    <t>TXN500228</t>
  </si>
  <si>
    <t>07:38</t>
  </si>
  <si>
    <t>TXN500229</t>
  </si>
  <si>
    <t>TXN500230</t>
  </si>
  <si>
    <t>TXN500231</t>
  </si>
  <si>
    <t>15:44</t>
  </si>
  <si>
    <t>TXN500232</t>
  </si>
  <si>
    <t>CC-10019</t>
  </si>
  <si>
    <t>10:39</t>
  </si>
  <si>
    <t>TXN500233</t>
  </si>
  <si>
    <t>13:10</t>
  </si>
  <si>
    <t>TXN500234</t>
  </si>
  <si>
    <t>TXN500235</t>
  </si>
  <si>
    <t>10:21</t>
  </si>
  <si>
    <t>TXN500236</t>
  </si>
  <si>
    <t>10:05</t>
  </si>
  <si>
    <t>TXN500237</t>
  </si>
  <si>
    <t>11:54</t>
  </si>
  <si>
    <t>TXN500238</t>
  </si>
  <si>
    <t>14:44</t>
  </si>
  <si>
    <t>TXN500239</t>
  </si>
  <si>
    <t>Netflix</t>
  </si>
  <si>
    <t>TXN500240</t>
  </si>
  <si>
    <t>18:34</t>
  </si>
  <si>
    <t>TXN500241</t>
  </si>
  <si>
    <t>14:45</t>
  </si>
  <si>
    <t>TXN500242</t>
  </si>
  <si>
    <t>08:33</t>
  </si>
  <si>
    <t>TXN500243</t>
  </si>
  <si>
    <t>22:26</t>
  </si>
  <si>
    <t>TXN500244</t>
  </si>
  <si>
    <t>12:43</t>
  </si>
  <si>
    <t>TXN500245</t>
  </si>
  <si>
    <t>16:17</t>
  </si>
  <si>
    <t>TXN500246</t>
  </si>
  <si>
    <t>TXN500247</t>
  </si>
  <si>
    <t>TXN500248</t>
  </si>
  <si>
    <t>CC-10020</t>
  </si>
  <si>
    <t>13:22</t>
  </si>
  <si>
    <t>TXN500249</t>
  </si>
  <si>
    <t>TXN500250</t>
  </si>
  <si>
    <t>TXN500251</t>
  </si>
  <si>
    <t>08:37</t>
  </si>
  <si>
    <t>TXN500252</t>
  </si>
  <si>
    <t>14:39</t>
  </si>
  <si>
    <t>TXN500253</t>
  </si>
  <si>
    <t>18:07</t>
  </si>
  <si>
    <t>TXN500254</t>
  </si>
  <si>
    <t>19:33</t>
  </si>
  <si>
    <t>TXN500255</t>
  </si>
  <si>
    <t>22:30</t>
  </si>
  <si>
    <t>TXN500256</t>
  </si>
  <si>
    <t>18:48</t>
  </si>
  <si>
    <t>TXN500257</t>
  </si>
  <si>
    <t>10:01</t>
  </si>
  <si>
    <t>TXN500258</t>
  </si>
  <si>
    <t>TXN500259</t>
  </si>
  <si>
    <t>14:18</t>
  </si>
  <si>
    <t>TXN500260</t>
  </si>
  <si>
    <t>TXN500261</t>
  </si>
  <si>
    <t>08:58</t>
  </si>
  <si>
    <t>TXN500262</t>
  </si>
  <si>
    <t>22:40</t>
  </si>
  <si>
    <t>TXN500263</t>
  </si>
  <si>
    <t>21:25</t>
  </si>
  <si>
    <t>TXN500264</t>
  </si>
  <si>
    <t>CC-10021</t>
  </si>
  <si>
    <t>12:59</t>
  </si>
  <si>
    <t>TXN500265</t>
  </si>
  <si>
    <t>10:58</t>
  </si>
  <si>
    <t>TXN500266</t>
  </si>
  <si>
    <t>TXN500267</t>
  </si>
  <si>
    <t>TXN500268</t>
  </si>
  <si>
    <t>TXN500269</t>
  </si>
  <si>
    <t>14:11</t>
  </si>
  <si>
    <t>TXN500270</t>
  </si>
  <si>
    <t>20:20</t>
  </si>
  <si>
    <t>TXN500271</t>
  </si>
  <si>
    <t>07:15</t>
  </si>
  <si>
    <t>TXN500272</t>
  </si>
  <si>
    <t>22:05</t>
  </si>
  <si>
    <t>TXN500273</t>
  </si>
  <si>
    <t>22:42</t>
  </si>
  <si>
    <t>TXN500274</t>
  </si>
  <si>
    <t>12:14</t>
  </si>
  <si>
    <t>TXN500275</t>
  </si>
  <si>
    <t>14:37</t>
  </si>
  <si>
    <t>TXN500276</t>
  </si>
  <si>
    <t>CC-10022</t>
  </si>
  <si>
    <t>21:20</t>
  </si>
  <si>
    <t>TXN500277</t>
  </si>
  <si>
    <t>15:26</t>
  </si>
  <si>
    <t>TXN500278</t>
  </si>
  <si>
    <t>07:41</t>
  </si>
  <si>
    <t>TXN500279</t>
  </si>
  <si>
    <t>11:28</t>
  </si>
  <si>
    <t>TXN500280</t>
  </si>
  <si>
    <t>16:47</t>
  </si>
  <si>
    <t>TXN500281</t>
  </si>
  <si>
    <t>TXN500282</t>
  </si>
  <si>
    <t>11:38</t>
  </si>
  <si>
    <t>TXN500283</t>
  </si>
  <si>
    <t>19:23</t>
  </si>
  <si>
    <t>TXN500284</t>
  </si>
  <si>
    <t>CC-10023</t>
  </si>
  <si>
    <t>22:53</t>
  </si>
  <si>
    <t>TXN500285</t>
  </si>
  <si>
    <t>20:00</t>
  </si>
  <si>
    <t>TXN500286</t>
  </si>
  <si>
    <t>16:54</t>
  </si>
  <si>
    <t>TXN500287</t>
  </si>
  <si>
    <t>12:24</t>
  </si>
  <si>
    <t>TXN500288</t>
  </si>
  <si>
    <t>16:23</t>
  </si>
  <si>
    <t>TXN500289</t>
  </si>
  <si>
    <t>TXN500290</t>
  </si>
  <si>
    <t>14:50</t>
  </si>
  <si>
    <t>TXN500291</t>
  </si>
  <si>
    <t>10:36</t>
  </si>
  <si>
    <t>TXN500292</t>
  </si>
  <si>
    <t>TXN500293</t>
  </si>
  <si>
    <t>11:55</t>
  </si>
  <si>
    <t>TXN500294</t>
  </si>
  <si>
    <t>22:33</t>
  </si>
  <si>
    <t>TXN500295</t>
  </si>
  <si>
    <t>12:20</t>
  </si>
  <si>
    <t>TXN500296</t>
  </si>
  <si>
    <t>16:46</t>
  </si>
  <si>
    <t>TXN500297</t>
  </si>
  <si>
    <t>08:24</t>
  </si>
  <si>
    <t>TXN500298</t>
  </si>
  <si>
    <t>CC-10024</t>
  </si>
  <si>
    <t>TXN500299</t>
  </si>
  <si>
    <t>21:00</t>
  </si>
  <si>
    <t>TXN500300</t>
  </si>
  <si>
    <t>21:39</t>
  </si>
  <si>
    <t>TXN500301</t>
  </si>
  <si>
    <t>11:50</t>
  </si>
  <si>
    <t>TXN500302</t>
  </si>
  <si>
    <t>09:31</t>
  </si>
  <si>
    <t>TXN500303</t>
  </si>
  <si>
    <t>TXN500304</t>
  </si>
  <si>
    <t>19:48</t>
  </si>
  <si>
    <t>TXN500305</t>
  </si>
  <si>
    <t>13:28</t>
  </si>
  <si>
    <t>TXN500306</t>
  </si>
  <si>
    <t>12:40</t>
  </si>
  <si>
    <t>TXN500307</t>
  </si>
  <si>
    <t>08:25</t>
  </si>
  <si>
    <t>TXN500308</t>
  </si>
  <si>
    <t>22:52</t>
  </si>
  <si>
    <t>TXN500309</t>
  </si>
  <si>
    <t>11:25</t>
  </si>
  <si>
    <t>TXN500310</t>
  </si>
  <si>
    <t>08:06</t>
  </si>
  <si>
    <t>TXN500311</t>
  </si>
  <si>
    <t>CC-10025</t>
  </si>
  <si>
    <t>13:15</t>
  </si>
  <si>
    <t>TXN500312</t>
  </si>
  <si>
    <t>08:18</t>
  </si>
  <si>
    <t>TXN500313</t>
  </si>
  <si>
    <t>TXN500314</t>
  </si>
  <si>
    <t>TXN500315</t>
  </si>
  <si>
    <t>10:46</t>
  </si>
  <si>
    <t>TXN500316</t>
  </si>
  <si>
    <t>16:14</t>
  </si>
  <si>
    <t>TXN500317</t>
  </si>
  <si>
    <t>TXN500318</t>
  </si>
  <si>
    <t>14:24</t>
  </si>
  <si>
    <t>TXN500319</t>
  </si>
  <si>
    <t>TXN500320</t>
  </si>
  <si>
    <t>TXN500321</t>
  </si>
  <si>
    <t>CC-10026</t>
  </si>
  <si>
    <t>22:58</t>
  </si>
  <si>
    <t>TXN500322</t>
  </si>
  <si>
    <t>08:38</t>
  </si>
  <si>
    <t>TXN500323</t>
  </si>
  <si>
    <t>09:52</t>
  </si>
  <si>
    <t>TXN500324</t>
  </si>
  <si>
    <t>18:41</t>
  </si>
  <si>
    <t>TXN500325</t>
  </si>
  <si>
    <t>09:33</t>
  </si>
  <si>
    <t>TXN500326</t>
  </si>
  <si>
    <t>13:01</t>
  </si>
  <si>
    <t>TXN500327</t>
  </si>
  <si>
    <t>21:13</t>
  </si>
  <si>
    <t>TXN500328</t>
  </si>
  <si>
    <t>07:08</t>
  </si>
  <si>
    <t>TXN500329</t>
  </si>
  <si>
    <t>17:22</t>
  </si>
  <si>
    <t>TXN500330</t>
  </si>
  <si>
    <t>11:45</t>
  </si>
  <si>
    <t>TXN500331</t>
  </si>
  <si>
    <t>14:02</t>
  </si>
  <si>
    <t>TXN500332</t>
  </si>
  <si>
    <t>TXN500333</t>
  </si>
  <si>
    <t>TXN500334</t>
  </si>
  <si>
    <t>TXN500335</t>
  </si>
  <si>
    <t>21:46</t>
  </si>
  <si>
    <t>TXN500336</t>
  </si>
  <si>
    <t>TXN500337</t>
  </si>
  <si>
    <t>CC-10027</t>
  </si>
  <si>
    <t>13:54</t>
  </si>
  <si>
    <t>TXN500338</t>
  </si>
  <si>
    <t>TXN500339</t>
  </si>
  <si>
    <t>TXN500340</t>
  </si>
  <si>
    <t>TXN500341</t>
  </si>
  <si>
    <t>15:53</t>
  </si>
  <si>
    <t>TXN500342</t>
  </si>
  <si>
    <t>17:56</t>
  </si>
  <si>
    <t>TXN500343</t>
  </si>
  <si>
    <t>TXN500344</t>
  </si>
  <si>
    <t>10:30</t>
  </si>
  <si>
    <t>TXN500345</t>
  </si>
  <si>
    <t>TXN500346</t>
  </si>
  <si>
    <t>07:07</t>
  </si>
  <si>
    <t>TXN500347</t>
  </si>
  <si>
    <t>17:05</t>
  </si>
  <si>
    <t>TXN500348</t>
  </si>
  <si>
    <t>22:59</t>
  </si>
  <si>
    <t>TXN500349</t>
  </si>
  <si>
    <t>CC-10028</t>
  </si>
  <si>
    <t>TXN500350</t>
  </si>
  <si>
    <t>17:10</t>
  </si>
  <si>
    <t>TXN500351</t>
  </si>
  <si>
    <t>TXN500352</t>
  </si>
  <si>
    <t>TXN500353</t>
  </si>
  <si>
    <t>18:01</t>
  </si>
  <si>
    <t>TXN500354</t>
  </si>
  <si>
    <t>20:42</t>
  </si>
  <si>
    <t>TXN500355</t>
  </si>
  <si>
    <t>22:29</t>
  </si>
  <si>
    <t>TXN500356</t>
  </si>
  <si>
    <t>TXN500357</t>
  </si>
  <si>
    <t>21:49</t>
  </si>
  <si>
    <t>customer disputed - under review</t>
  </si>
  <si>
    <t>TXN500358</t>
  </si>
  <si>
    <t>TXN500359</t>
  </si>
  <si>
    <t>07:18</t>
  </si>
  <si>
    <t>TXN500360</t>
  </si>
  <si>
    <t>TXN500361</t>
  </si>
  <si>
    <t>CC-10029</t>
  </si>
  <si>
    <t>17:37</t>
  </si>
  <si>
    <t>TXN500362</t>
  </si>
  <si>
    <t>TXN500363</t>
  </si>
  <si>
    <t>TXN500364</t>
  </si>
  <si>
    <t>TXN500365</t>
  </si>
  <si>
    <t>16:40</t>
  </si>
  <si>
    <t>TXN500366</t>
  </si>
  <si>
    <t>18:16</t>
  </si>
  <si>
    <t>TXN500367</t>
  </si>
  <si>
    <t>14:20</t>
  </si>
  <si>
    <t>TXN500368</t>
  </si>
  <si>
    <t>19:13</t>
  </si>
  <si>
    <t>TXN500369</t>
  </si>
  <si>
    <t>16:52</t>
  </si>
  <si>
    <t>TXN500370</t>
  </si>
  <si>
    <t>TXN500371</t>
  </si>
  <si>
    <t>08:31</t>
  </si>
  <si>
    <t>TXN500372</t>
  </si>
  <si>
    <t>15:31</t>
  </si>
  <si>
    <t>TXN500373</t>
  </si>
  <si>
    <t>10:48</t>
  </si>
  <si>
    <t>TXN500374</t>
  </si>
  <si>
    <t>CC-10030</t>
  </si>
  <si>
    <t>TXN500375</t>
  </si>
  <si>
    <t>TXN500376</t>
  </si>
  <si>
    <t>15:49</t>
  </si>
  <si>
    <t>TXN500377</t>
  </si>
  <si>
    <t>20:16</t>
  </si>
  <si>
    <t>TXN500378</t>
  </si>
  <si>
    <t>TXN500379</t>
  </si>
  <si>
    <t>08:36</t>
  </si>
  <si>
    <t>TXN500380</t>
  </si>
  <si>
    <t>16:20</t>
  </si>
  <si>
    <t>TXN500381</t>
  </si>
  <si>
    <t>10:17</t>
  </si>
  <si>
    <t>TXN500382</t>
  </si>
  <si>
    <t>10:25</t>
  </si>
  <si>
    <t>TXN500383</t>
  </si>
  <si>
    <t>TXN500384</t>
  </si>
  <si>
    <t>07:47</t>
  </si>
  <si>
    <t>TXN500385</t>
  </si>
  <si>
    <t>TXN500386</t>
  </si>
  <si>
    <t>08:28</t>
  </si>
  <si>
    <t>TXN500387</t>
  </si>
  <si>
    <t>TXN500388</t>
  </si>
  <si>
    <t>19:17</t>
  </si>
  <si>
    <t>TXN500389</t>
  </si>
  <si>
    <t>CC-10031</t>
  </si>
  <si>
    <t>17:15</t>
  </si>
  <si>
    <t>TXN500390</t>
  </si>
  <si>
    <t>15:12</t>
  </si>
  <si>
    <t>TXN500391</t>
  </si>
  <si>
    <t>TXN500392</t>
  </si>
  <si>
    <t>12:58</t>
  </si>
  <si>
    <t>TXN500393</t>
  </si>
  <si>
    <t>10:43</t>
  </si>
  <si>
    <t>TXN500394</t>
  </si>
  <si>
    <t>TXN500395</t>
  </si>
  <si>
    <t>TXN500396</t>
  </si>
  <si>
    <t>15:11</t>
  </si>
  <si>
    <t>TXN500397</t>
  </si>
  <si>
    <t>TXN500398</t>
  </si>
  <si>
    <t>CC-10032</t>
  </si>
  <si>
    <t>TXN500399</t>
  </si>
  <si>
    <t>TXN500400</t>
  </si>
  <si>
    <t>TXN500401</t>
  </si>
  <si>
    <t>14:59</t>
  </si>
  <si>
    <t>TXN500402</t>
  </si>
  <si>
    <t>TXN500403</t>
  </si>
  <si>
    <t>10:11</t>
  </si>
  <si>
    <t>TXN500404</t>
  </si>
  <si>
    <t>19:19</t>
  </si>
  <si>
    <t>TXN500405</t>
  </si>
  <si>
    <t>12:12</t>
  </si>
  <si>
    <t>TXN500406</t>
  </si>
  <si>
    <t>17:24</t>
  </si>
  <si>
    <t>TXN500407</t>
  </si>
  <si>
    <t>19:37</t>
  </si>
  <si>
    <t>TXN500408</t>
  </si>
  <si>
    <t>08:09</t>
  </si>
  <si>
    <t>TXN500409</t>
  </si>
  <si>
    <t>TXN500410</t>
  </si>
  <si>
    <t>CC-10033</t>
  </si>
  <si>
    <t>TXN500411</t>
  </si>
  <si>
    <t>07:39</t>
  </si>
  <si>
    <t>TXN500412</t>
  </si>
  <si>
    <t>TXN500413</t>
  </si>
  <si>
    <t>TXN500414</t>
  </si>
  <si>
    <t>TXN500415</t>
  </si>
  <si>
    <t>07:44</t>
  </si>
  <si>
    <t>TXN500416</t>
  </si>
  <si>
    <t>14:17</t>
  </si>
  <si>
    <t>TXN500417</t>
  </si>
  <si>
    <t>TXN500418</t>
  </si>
  <si>
    <t>12:28</t>
  </si>
  <si>
    <t>TXN500419</t>
  </si>
  <si>
    <t>TXN500420</t>
  </si>
  <si>
    <t>TXN500421</t>
  </si>
  <si>
    <t>CC-10034</t>
  </si>
  <si>
    <t>08:39</t>
  </si>
  <si>
    <t>TXN500422</t>
  </si>
  <si>
    <t>TXN500423</t>
  </si>
  <si>
    <t>TXN500424</t>
  </si>
  <si>
    <t>07:51</t>
  </si>
  <si>
    <t>TXN500425</t>
  </si>
  <si>
    <t>TXN500426</t>
  </si>
  <si>
    <t>TXN500427</t>
  </si>
  <si>
    <t>17:00</t>
  </si>
  <si>
    <t>TXN500428</t>
  </si>
  <si>
    <t>TXN500429</t>
  </si>
  <si>
    <t>21:31</t>
  </si>
  <si>
    <t>TXN500430</t>
  </si>
  <si>
    <t>15:33</t>
  </si>
  <si>
    <t>TXN500431</t>
  </si>
  <si>
    <t>15:18</t>
  </si>
  <si>
    <t>TXN500432</t>
  </si>
  <si>
    <t>11:56</t>
  </si>
  <si>
    <t>TXN500433</t>
  </si>
  <si>
    <t>16:28</t>
  </si>
  <si>
    <t>TXN500434</t>
  </si>
  <si>
    <t>CC-10035</t>
  </si>
  <si>
    <t>07:48</t>
  </si>
  <si>
    <t>TXN500435</t>
  </si>
  <si>
    <t>TXN500436</t>
  </si>
  <si>
    <t>20:10</t>
  </si>
  <si>
    <t>TXN500437</t>
  </si>
  <si>
    <t>17:52</t>
  </si>
  <si>
    <t>TXN500438</t>
  </si>
  <si>
    <t>TXN500439</t>
  </si>
  <si>
    <t>TXN500440</t>
  </si>
  <si>
    <t>21:14</t>
  </si>
  <si>
    <t>TXN500441</t>
  </si>
  <si>
    <t>13:26</t>
  </si>
  <si>
    <t>TXN500442</t>
  </si>
  <si>
    <t>TXN500443</t>
  </si>
  <si>
    <t>TXN500444</t>
  </si>
  <si>
    <t>TXN500445</t>
  </si>
  <si>
    <t>TXN500446</t>
  </si>
  <si>
    <t>CC-10036</t>
  </si>
  <si>
    <t>09:05</t>
  </si>
  <si>
    <t>TXN500447</t>
  </si>
  <si>
    <t>08:17</t>
  </si>
  <si>
    <t>TXN500448</t>
  </si>
  <si>
    <t>15:04</t>
  </si>
  <si>
    <t>TXN500449</t>
  </si>
  <si>
    <t>13:27</t>
  </si>
  <si>
    <t>TXN500450</t>
  </si>
  <si>
    <t>TXN500451</t>
  </si>
  <si>
    <t>13:16</t>
  </si>
  <si>
    <t>TXN500452</t>
  </si>
  <si>
    <t>TXN500453</t>
  </si>
  <si>
    <t>10:32</t>
  </si>
  <si>
    <t>TXN500454</t>
  </si>
  <si>
    <t>TXN500455</t>
  </si>
  <si>
    <t>TXN500456</t>
  </si>
  <si>
    <t>TXN500457</t>
  </si>
  <si>
    <t>CC-10037</t>
  </si>
  <si>
    <t>TXN500458</t>
  </si>
  <si>
    <t>09:35</t>
  </si>
  <si>
    <t>TXN500459</t>
  </si>
  <si>
    <t>11:47</t>
  </si>
  <si>
    <t>TXN500460</t>
  </si>
  <si>
    <t>14:53</t>
  </si>
  <si>
    <t>TXN500461</t>
  </si>
  <si>
    <t>TXN500462</t>
  </si>
  <si>
    <t>09:53</t>
  </si>
  <si>
    <t>TXN500463</t>
  </si>
  <si>
    <t>16:26</t>
  </si>
  <si>
    <t>TXN500464</t>
  </si>
  <si>
    <t>08:32</t>
  </si>
  <si>
    <t>TXN500465</t>
  </si>
  <si>
    <t>12:00</t>
  </si>
  <si>
    <t>TXN500466</t>
  </si>
  <si>
    <t>16:48</t>
  </si>
  <si>
    <t>TXN500467</t>
  </si>
  <si>
    <t>CC-10038</t>
  </si>
  <si>
    <t>22:49</t>
  </si>
  <si>
    <t>TXN500468</t>
  </si>
  <si>
    <t>18:40</t>
  </si>
  <si>
    <t>TXN500469</t>
  </si>
  <si>
    <t>TXN500470</t>
  </si>
  <si>
    <t>TXN500471</t>
  </si>
  <si>
    <t>TXN500472</t>
  </si>
  <si>
    <t>TXN500473</t>
  </si>
  <si>
    <t>TXN500474</t>
  </si>
  <si>
    <t>10:29</t>
  </si>
  <si>
    <t>TXN500475</t>
  </si>
  <si>
    <t>TXN500476</t>
  </si>
  <si>
    <t>CC-10039</t>
  </si>
  <si>
    <t>15:59</t>
  </si>
  <si>
    <t>TXN500477</t>
  </si>
  <si>
    <t>08:12</t>
  </si>
  <si>
    <t>TXN500478</t>
  </si>
  <si>
    <t>TXN500479</t>
  </si>
  <si>
    <t>TXN500480</t>
  </si>
  <si>
    <t>TXN500481</t>
  </si>
  <si>
    <t>14:05</t>
  </si>
  <si>
    <t>TXN500482</t>
  </si>
  <si>
    <t>09:40</t>
  </si>
  <si>
    <t>TXN500483</t>
  </si>
  <si>
    <t>19:18</t>
  </si>
  <si>
    <t>TXN500484</t>
  </si>
  <si>
    <t>TXN500485</t>
  </si>
  <si>
    <t>TXN500486</t>
  </si>
  <si>
    <t>21:44</t>
  </si>
  <si>
    <t>TXN500487</t>
  </si>
  <si>
    <t>18:21</t>
  </si>
  <si>
    <t>TXN500488</t>
  </si>
  <si>
    <t>CC-10040</t>
  </si>
  <si>
    <t>09:01</t>
  </si>
  <si>
    <t>TXN500489</t>
  </si>
  <si>
    <t>18:54</t>
  </si>
  <si>
    <t>TXN500490</t>
  </si>
  <si>
    <t>16:05</t>
  </si>
  <si>
    <t>TXN500491</t>
  </si>
  <si>
    <t>TXN500492</t>
  </si>
  <si>
    <t>22:09</t>
  </si>
  <si>
    <t>TXN500493</t>
  </si>
  <si>
    <t>15:00</t>
  </si>
  <si>
    <t>TXN500494</t>
  </si>
  <si>
    <t>15:07</t>
  </si>
  <si>
    <t>TXN500495</t>
  </si>
  <si>
    <t>17:02</t>
  </si>
  <si>
    <t>TXN500496</t>
  </si>
  <si>
    <t>12:03</t>
  </si>
  <si>
    <t>TXN500497</t>
  </si>
  <si>
    <t>TXN500498</t>
  </si>
  <si>
    <t>11:17</t>
  </si>
  <si>
    <t>TXN500499</t>
  </si>
  <si>
    <t>TXN500500</t>
  </si>
  <si>
    <t>TXN500501</t>
  </si>
  <si>
    <t>11:26</t>
  </si>
  <si>
    <t>TXN500502</t>
  </si>
  <si>
    <t>CC-10041</t>
  </si>
  <si>
    <t>11:59</t>
  </si>
  <si>
    <t>TXN500503</t>
  </si>
  <si>
    <t>TXN500504</t>
  </si>
  <si>
    <t>19:16</t>
  </si>
  <si>
    <t>TXN500505</t>
  </si>
  <si>
    <t>17:35</t>
  </si>
  <si>
    <t>TXN500506</t>
  </si>
  <si>
    <t>TXN500507</t>
  </si>
  <si>
    <t>17:28</t>
  </si>
  <si>
    <t>TXN500508</t>
  </si>
  <si>
    <t>10:54</t>
  </si>
  <si>
    <t>TXN500509</t>
  </si>
  <si>
    <t>16:32</t>
  </si>
  <si>
    <t>TXN500510</t>
  </si>
  <si>
    <t>17:04</t>
  </si>
  <si>
    <t>TXN500511</t>
  </si>
  <si>
    <t>11:48</t>
  </si>
  <si>
    <t>TXN500512</t>
  </si>
  <si>
    <t>TXN500513</t>
  </si>
  <si>
    <t>CC-10042</t>
  </si>
  <si>
    <t>TXN500514</t>
  </si>
  <si>
    <t>TXN500515</t>
  </si>
  <si>
    <t>12:39</t>
  </si>
  <si>
    <t>TXN500516</t>
  </si>
  <si>
    <t>TXN500517</t>
  </si>
  <si>
    <t>TXN500518</t>
  </si>
  <si>
    <t>17:25</t>
  </si>
  <si>
    <t>TXN500519</t>
  </si>
  <si>
    <t>15:28</t>
  </si>
  <si>
    <t>TXN500520</t>
  </si>
  <si>
    <t>TXN500521</t>
  </si>
  <si>
    <t>TXN500522</t>
  </si>
  <si>
    <t>TXN500523</t>
  </si>
  <si>
    <t>TXN500524</t>
  </si>
  <si>
    <t>CC-10043</t>
  </si>
  <si>
    <t>11:49</t>
  </si>
  <si>
    <t>TXN500525</t>
  </si>
  <si>
    <t>TXN500526</t>
  </si>
  <si>
    <t>TXN500527</t>
  </si>
  <si>
    <t>17:27</t>
  </si>
  <si>
    <t>TXN500528</t>
  </si>
  <si>
    <t>11:09</t>
  </si>
  <si>
    <t>TXN500529</t>
  </si>
  <si>
    <t>20:40</t>
  </si>
  <si>
    <t>TXN500530</t>
  </si>
  <si>
    <t>15:46</t>
  </si>
  <si>
    <t>TXN500531</t>
  </si>
  <si>
    <t>18:08</t>
  </si>
  <si>
    <t>TXN500532</t>
  </si>
  <si>
    <t>18:36</t>
  </si>
  <si>
    <t>TXN500533</t>
  </si>
  <si>
    <t>TXN500534</t>
  </si>
  <si>
    <t>CC-10044</t>
  </si>
  <si>
    <t>19:47</t>
  </si>
  <si>
    <t>TXN500535</t>
  </si>
  <si>
    <t>TXN500536</t>
  </si>
  <si>
    <t>15:15</t>
  </si>
  <si>
    <t>TXN500537</t>
  </si>
  <si>
    <t>TXN500538</t>
  </si>
  <si>
    <t>15:02</t>
  </si>
  <si>
    <t>TXN500539</t>
  </si>
  <si>
    <t>21:29</t>
  </si>
  <si>
    <t>TXN500540</t>
  </si>
  <si>
    <t>07:12</t>
  </si>
  <si>
    <t>TXN500541</t>
  </si>
  <si>
    <t>22:08</t>
  </si>
  <si>
    <t>TXN500542</t>
  </si>
  <si>
    <t>TXN500543</t>
  </si>
  <si>
    <t>TXN500544</t>
  </si>
  <si>
    <t>13:35</t>
  </si>
  <si>
    <t>TXN500545</t>
  </si>
  <si>
    <t>CC-10045</t>
  </si>
  <si>
    <t>09:07</t>
  </si>
  <si>
    <t>TXN500546</t>
  </si>
  <si>
    <t>18:55</t>
  </si>
  <si>
    <t>TXN500547</t>
  </si>
  <si>
    <t>TXN500548</t>
  </si>
  <si>
    <t>TXN500549</t>
  </si>
  <si>
    <t>20:24</t>
  </si>
  <si>
    <t>TXN500550</t>
  </si>
  <si>
    <t>17:20</t>
  </si>
  <si>
    <t>TXN500551</t>
  </si>
  <si>
    <t>22:17</t>
  </si>
  <si>
    <t>TXN500552</t>
  </si>
  <si>
    <t>TXN500553</t>
  </si>
  <si>
    <t>TXN500554</t>
  </si>
  <si>
    <t>CC-10046</t>
  </si>
  <si>
    <t>TXN500555</t>
  </si>
  <si>
    <t>13:07</t>
  </si>
  <si>
    <t>TXN500556</t>
  </si>
  <si>
    <t>TXN500557</t>
  </si>
  <si>
    <t>20:55</t>
  </si>
  <si>
    <t>TXN500558</t>
  </si>
  <si>
    <t>TXN500559</t>
  </si>
  <si>
    <t>20:19</t>
  </si>
  <si>
    <t>TXN500560</t>
  </si>
  <si>
    <t>13:13</t>
  </si>
  <si>
    <t>TXN500561</t>
  </si>
  <si>
    <t>TXN500562</t>
  </si>
  <si>
    <t>TXN500563</t>
  </si>
  <si>
    <t>TXN500564</t>
  </si>
  <si>
    <t>15:13</t>
  </si>
  <si>
    <t>TXN500565</t>
  </si>
  <si>
    <t>11:37</t>
  </si>
  <si>
    <t>TXN500566</t>
  </si>
  <si>
    <t>10:52</t>
  </si>
  <si>
    <t>TXN500567</t>
  </si>
  <si>
    <t>CC-10047</t>
  </si>
  <si>
    <t>11:46</t>
  </si>
  <si>
    <t>TXN500568</t>
  </si>
  <si>
    <t>TXN500569</t>
  </si>
  <si>
    <t>13:14</t>
  </si>
  <si>
    <t>TXN500570</t>
  </si>
  <si>
    <t>13:42</t>
  </si>
  <si>
    <t>TXN500571</t>
  </si>
  <si>
    <t>20:38</t>
  </si>
  <si>
    <t>TXN500572</t>
  </si>
  <si>
    <t>07:05</t>
  </si>
  <si>
    <t>TXN500573</t>
  </si>
  <si>
    <t>21:15</t>
  </si>
  <si>
    <t>TXN500574</t>
  </si>
  <si>
    <t>TXN500575</t>
  </si>
  <si>
    <t>22:23</t>
  </si>
  <si>
    <t>TXN500576</t>
  </si>
  <si>
    <t>14:19</t>
  </si>
  <si>
    <t>TXN500577</t>
  </si>
  <si>
    <t>TXN500578</t>
  </si>
  <si>
    <t>CC-10048</t>
  </si>
  <si>
    <t>12:47</t>
  </si>
  <si>
    <t>TXN500579</t>
  </si>
  <si>
    <t>TXN500580</t>
  </si>
  <si>
    <t>18:18</t>
  </si>
  <si>
    <t>TXN500581</t>
  </si>
  <si>
    <t>20:46</t>
  </si>
  <si>
    <t>TXN500582</t>
  </si>
  <si>
    <t>13:03</t>
  </si>
  <si>
    <t>TXN500583</t>
  </si>
  <si>
    <t>12:16</t>
  </si>
  <si>
    <t>TXN500584</t>
  </si>
  <si>
    <t>TXN500585</t>
  </si>
  <si>
    <t>10:07</t>
  </si>
  <si>
    <t>TXN500586</t>
  </si>
  <si>
    <t>CC-10049</t>
  </si>
  <si>
    <t>14:46</t>
  </si>
  <si>
    <t>TXN500587</t>
  </si>
  <si>
    <t>22:21</t>
  </si>
  <si>
    <t>TXN500588</t>
  </si>
  <si>
    <t>TXN500589</t>
  </si>
  <si>
    <t>TXN500590</t>
  </si>
  <si>
    <t>18:13</t>
  </si>
  <si>
    <t>TXN500591</t>
  </si>
  <si>
    <t>16:44</t>
  </si>
  <si>
    <t>TXN500592</t>
  </si>
  <si>
    <t>22:04</t>
  </si>
  <si>
    <t>TXN500593</t>
  </si>
  <si>
    <t>15:51</t>
  </si>
  <si>
    <t>TXN500594</t>
  </si>
  <si>
    <t>TXN500595</t>
  </si>
  <si>
    <t>16:10</t>
  </si>
  <si>
    <t>TXN500596</t>
  </si>
  <si>
    <t>TXN500597</t>
  </si>
  <si>
    <t>CC-10050</t>
  </si>
  <si>
    <t>16:38</t>
  </si>
  <si>
    <t>TXN500598</t>
  </si>
  <si>
    <t>16:02</t>
  </si>
  <si>
    <t>TXN500599</t>
  </si>
  <si>
    <t>12:13</t>
  </si>
  <si>
    <t>TXN500600</t>
  </si>
  <si>
    <t>10:27</t>
  </si>
  <si>
    <t>TXN500601</t>
  </si>
  <si>
    <t>17:23</t>
  </si>
  <si>
    <t>TXN500602</t>
  </si>
  <si>
    <t>TXN500603</t>
  </si>
  <si>
    <t>22:38</t>
  </si>
  <si>
    <t>TXN500604</t>
  </si>
  <si>
    <t>TXN500605</t>
  </si>
  <si>
    <t>TXN500606</t>
  </si>
  <si>
    <t>TXN500607</t>
  </si>
  <si>
    <t>TXN500608</t>
  </si>
  <si>
    <t>CC-10051</t>
  </si>
  <si>
    <t>10:13</t>
  </si>
  <si>
    <t>TXN500609</t>
  </si>
  <si>
    <t>12:18</t>
  </si>
  <si>
    <t>TXN500610</t>
  </si>
  <si>
    <t>20:14</t>
  </si>
  <si>
    <t>TXN500611</t>
  </si>
  <si>
    <t>TXN500612</t>
  </si>
  <si>
    <t>20:13</t>
  </si>
  <si>
    <t>TXN500613</t>
  </si>
  <si>
    <t>12:54</t>
  </si>
  <si>
    <t>TXN500614</t>
  </si>
  <si>
    <t>TXN500615</t>
  </si>
  <si>
    <t>TXN500616</t>
  </si>
  <si>
    <t>TXN500617</t>
  </si>
  <si>
    <t>20:43</t>
  </si>
  <si>
    <t>TXN500618</t>
  </si>
  <si>
    <t>TXN500619</t>
  </si>
  <si>
    <t>TXN500620</t>
  </si>
  <si>
    <t>18:30</t>
  </si>
  <si>
    <t>TXN500621</t>
  </si>
  <si>
    <t>TXN500622</t>
  </si>
  <si>
    <t>CC-10052</t>
  </si>
  <si>
    <t>21:12</t>
  </si>
  <si>
    <t>TXN500623</t>
  </si>
  <si>
    <t>12:02</t>
  </si>
  <si>
    <t>TXN500624</t>
  </si>
  <si>
    <t>TXN500625</t>
  </si>
  <si>
    <t>TXN500626</t>
  </si>
  <si>
    <t>TXN500627</t>
  </si>
  <si>
    <t>17:55</t>
  </si>
  <si>
    <t>TXN500628</t>
  </si>
  <si>
    <t>TXN500629</t>
  </si>
  <si>
    <t>TXN500630</t>
  </si>
  <si>
    <t>15:57</t>
  </si>
  <si>
    <t>TXN500631</t>
  </si>
  <si>
    <t>14:32</t>
  </si>
  <si>
    <t>TXN500632</t>
  </si>
  <si>
    <t>CC-10053</t>
  </si>
  <si>
    <t>17:53</t>
  </si>
  <si>
    <t>TXN500633</t>
  </si>
  <si>
    <t>08:15</t>
  </si>
  <si>
    <t>TXN500634</t>
  </si>
  <si>
    <t>16:11</t>
  </si>
  <si>
    <t>TXN500635</t>
  </si>
  <si>
    <t>21:30</t>
  </si>
  <si>
    <t>TXN500636</t>
  </si>
  <si>
    <t>22:57</t>
  </si>
  <si>
    <t>TXN500637</t>
  </si>
  <si>
    <t>10:41</t>
  </si>
  <si>
    <t>TXN500638</t>
  </si>
  <si>
    <t>12:33</t>
  </si>
  <si>
    <t>TXN500639</t>
  </si>
  <si>
    <t>TXN500640</t>
  </si>
  <si>
    <t>10:49</t>
  </si>
  <si>
    <t>TXN500641</t>
  </si>
  <si>
    <t>TXN500642</t>
  </si>
  <si>
    <t>TXN500643</t>
  </si>
  <si>
    <t>TXN500644</t>
  </si>
  <si>
    <t>11:18</t>
  </si>
  <si>
    <t>TXN500645</t>
  </si>
  <si>
    <t>TXN500646</t>
  </si>
  <si>
    <t>10:35</t>
  </si>
  <si>
    <t>TXN500647</t>
  </si>
  <si>
    <t>TXN500648</t>
  </si>
  <si>
    <t>CC-10054</t>
  </si>
  <si>
    <t>13:52</t>
  </si>
  <si>
    <t>TXN500649</t>
  </si>
  <si>
    <t>11:12</t>
  </si>
  <si>
    <t>TXN500650</t>
  </si>
  <si>
    <t>13:33</t>
  </si>
  <si>
    <t>TXN500651</t>
  </si>
  <si>
    <t>TXN500652</t>
  </si>
  <si>
    <t>19:35</t>
  </si>
  <si>
    <t>TXN500653</t>
  </si>
  <si>
    <t>TXN500654</t>
  </si>
  <si>
    <t>10:00</t>
  </si>
  <si>
    <t>TXN500655</t>
  </si>
  <si>
    <t>11:34</t>
  </si>
  <si>
    <t>TXN500656</t>
  </si>
  <si>
    <t>TXN500657</t>
  </si>
  <si>
    <t>21:10</t>
  </si>
  <si>
    <t>TXN500658</t>
  </si>
  <si>
    <t>TXN500659</t>
  </si>
  <si>
    <t>TXN500660</t>
  </si>
  <si>
    <t>CC-10055</t>
  </si>
  <si>
    <t>14:23</t>
  </si>
  <si>
    <t>TXN500661</t>
  </si>
  <si>
    <t>17:46</t>
  </si>
  <si>
    <t>TXN500662</t>
  </si>
  <si>
    <t>17:54</t>
  </si>
  <si>
    <t>TXN500663</t>
  </si>
  <si>
    <t>TXN500664</t>
  </si>
  <si>
    <t>TXN500665</t>
  </si>
  <si>
    <t>TXN500666</t>
  </si>
  <si>
    <t>TXN500667</t>
  </si>
  <si>
    <t>TXN500668</t>
  </si>
  <si>
    <t>TXN500669</t>
  </si>
  <si>
    <t>14:01</t>
  </si>
  <si>
    <t>TXN500670</t>
  </si>
  <si>
    <t>CC-10056</t>
  </si>
  <si>
    <t>TXN500671</t>
  </si>
  <si>
    <t>TXN500672</t>
  </si>
  <si>
    <t>TXN500673</t>
  </si>
  <si>
    <t>21:24</t>
  </si>
  <si>
    <t>TXN500674</t>
  </si>
  <si>
    <t>12:30</t>
  </si>
  <si>
    <t>TXN500675</t>
  </si>
  <si>
    <t>09:46</t>
  </si>
  <si>
    <t>TXN500676</t>
  </si>
  <si>
    <t>08:10</t>
  </si>
  <si>
    <t>TXN500677</t>
  </si>
  <si>
    <t>14:12</t>
  </si>
  <si>
    <t>TXN500678</t>
  </si>
  <si>
    <t>TXN500679</t>
  </si>
  <si>
    <t>TXN500680</t>
  </si>
  <si>
    <t>TXN500681</t>
  </si>
  <si>
    <t>19:43</t>
  </si>
  <si>
    <t>TXN500682</t>
  </si>
  <si>
    <t>TXN500683</t>
  </si>
  <si>
    <t>CC-10057</t>
  </si>
  <si>
    <t>19:26</t>
  </si>
  <si>
    <t>TXN500684</t>
  </si>
  <si>
    <t>TXN500685</t>
  </si>
  <si>
    <t>TXN500686</t>
  </si>
  <si>
    <t>TXN500687</t>
  </si>
  <si>
    <t>11:52</t>
  </si>
  <si>
    <t>TXN500688</t>
  </si>
  <si>
    <t>16:55</t>
  </si>
  <si>
    <t>TXN500689</t>
  </si>
  <si>
    <t>TXN500690</t>
  </si>
  <si>
    <t>TXN500691</t>
  </si>
  <si>
    <t>08:20</t>
  </si>
  <si>
    <t>TXN500692</t>
  </si>
  <si>
    <t>TXN500693</t>
  </si>
  <si>
    <t>TXN500694</t>
  </si>
  <si>
    <t>CC-10058</t>
  </si>
  <si>
    <t>13:36</t>
  </si>
  <si>
    <t>TXN500695</t>
  </si>
  <si>
    <t>TXN500696</t>
  </si>
  <si>
    <t>TXN500697</t>
  </si>
  <si>
    <t>TXN500698</t>
  </si>
  <si>
    <t>13:38</t>
  </si>
  <si>
    <t>TXN500699</t>
  </si>
  <si>
    <t>TXN500700</t>
  </si>
  <si>
    <t>TXN500701</t>
  </si>
  <si>
    <t>TXN500702</t>
  </si>
  <si>
    <t>TXN500703</t>
  </si>
  <si>
    <t>TXN500704</t>
  </si>
  <si>
    <t>11:01</t>
  </si>
  <si>
    <t>TXN500705</t>
  </si>
  <si>
    <t>13:04</t>
  </si>
  <si>
    <t>TXN500706</t>
  </si>
  <si>
    <t>TXN500707</t>
  </si>
  <si>
    <t>08:05</t>
  </si>
  <si>
    <t>TXN500708</t>
  </si>
  <si>
    <t>TXN500709</t>
  </si>
  <si>
    <t>CC-10059</t>
  </si>
  <si>
    <t>21:55</t>
  </si>
  <si>
    <t>TXN500710</t>
  </si>
  <si>
    <t>TXN500711</t>
  </si>
  <si>
    <t>TXN500712</t>
  </si>
  <si>
    <t>TXN500713</t>
  </si>
  <si>
    <t>17:44</t>
  </si>
  <si>
    <t>TXN500714</t>
  </si>
  <si>
    <t>18:33</t>
  </si>
  <si>
    <t>TXN500715</t>
  </si>
  <si>
    <t>TXN500716</t>
  </si>
  <si>
    <t>TXN500717</t>
  </si>
  <si>
    <t>12:17</t>
  </si>
  <si>
    <t>TXN500718</t>
  </si>
  <si>
    <t>TXN500719</t>
  </si>
  <si>
    <t>05:00</t>
  </si>
  <si>
    <t>TXN500720</t>
  </si>
  <si>
    <t>05:02</t>
  </si>
  <si>
    <t>TXN500721</t>
  </si>
  <si>
    <t>05:04</t>
  </si>
  <si>
    <t>TXN500722</t>
  </si>
  <si>
    <t>05:06</t>
  </si>
  <si>
    <t>TXN500723</t>
  </si>
  <si>
    <t>05:08</t>
  </si>
  <si>
    <t>TXN500724</t>
  </si>
  <si>
    <t>02:07</t>
  </si>
  <si>
    <t>TXN500725</t>
  </si>
  <si>
    <t>TXN500726</t>
  </si>
  <si>
    <t>02:25</t>
  </si>
  <si>
    <t>TXN500727</t>
  </si>
  <si>
    <t>TXN500728</t>
  </si>
  <si>
    <t>20:17</t>
  </si>
  <si>
    <t>TXN500729</t>
  </si>
  <si>
    <t>TXN500730</t>
  </si>
  <si>
    <t>TXN500731</t>
  </si>
  <si>
    <t>20:01</t>
  </si>
  <si>
    <t>TXN500732</t>
  </si>
  <si>
    <t>02:23</t>
  </si>
  <si>
    <t>TXN500733</t>
  </si>
  <si>
    <t>TXN500734</t>
  </si>
  <si>
    <t>16:27</t>
  </si>
  <si>
    <t>TXN500735</t>
  </si>
  <si>
    <t>TXN500736</t>
  </si>
  <si>
    <t>TXN500737</t>
  </si>
  <si>
    <t>16:41</t>
  </si>
  <si>
    <t>TXN500738</t>
  </si>
  <si>
    <t>16:34</t>
  </si>
  <si>
    <t>Cardholder Reference - Account Master Extract</t>
  </si>
  <si>
    <t>Source: Core Banking System Export | For internal fraud review use only</t>
  </si>
  <si>
    <t>Cardholder Name</t>
  </si>
  <si>
    <t>Bank</t>
  </si>
  <si>
    <t>Carlos Maseko</t>
  </si>
  <si>
    <t>Capitec</t>
  </si>
  <si>
    <t>Mastercard</t>
  </si>
  <si>
    <t>Standard Bank</t>
  </si>
  <si>
    <t>Visa</t>
  </si>
  <si>
    <t>Lerato Dlamini</t>
  </si>
  <si>
    <t>Nedbank</t>
  </si>
  <si>
    <t>Rachel Sithole</t>
  </si>
  <si>
    <t>FNB</t>
  </si>
  <si>
    <t>Sanele Fourie</t>
  </si>
  <si>
    <t>Rachel Pretorius</t>
  </si>
  <si>
    <t>Bongani Pretorius</t>
  </si>
  <si>
    <t>Bongani Nkosi</t>
  </si>
  <si>
    <t>Thabo Dlamini</t>
  </si>
  <si>
    <t>Mariam Khumalo</t>
  </si>
  <si>
    <t>ABSA</t>
  </si>
  <si>
    <t>Nomvula Dlamini</t>
  </si>
  <si>
    <t>Lerato Naidoo</t>
  </si>
  <si>
    <t>Aisha Govender</t>
  </si>
  <si>
    <t>Pieter Zulu</t>
  </si>
  <si>
    <t>Rachel Khumalo</t>
  </si>
  <si>
    <t>Andries Mahlangu</t>
  </si>
  <si>
    <t>Thabo Mahlangu</t>
  </si>
  <si>
    <t>Sipho Nkosi</t>
  </si>
  <si>
    <t>Sanele Khumalo</t>
  </si>
  <si>
    <t>Precious Adams</t>
  </si>
  <si>
    <t>Kabelo Govender</t>
  </si>
  <si>
    <t>Sipho Naidoo</t>
  </si>
  <si>
    <t>Pieter Naidoo</t>
  </si>
  <si>
    <t>Johan Sithole</t>
  </si>
  <si>
    <t>Pieter Maseko</t>
  </si>
  <si>
    <t>Lerato Botha</t>
  </si>
  <si>
    <t>Naledi Sithole</t>
  </si>
  <si>
    <t>Sanele Sithole</t>
  </si>
  <si>
    <t>Rachel Naidoo</t>
  </si>
  <si>
    <t>Sanele Adams</t>
  </si>
  <si>
    <t>Johan Naidoo</t>
  </si>
  <si>
    <t>Precious Pretorius</t>
  </si>
  <si>
    <t>Aisha Nkosi</t>
  </si>
  <si>
    <t>Sanele Pretorius</t>
  </si>
  <si>
    <t>Mariam Dlamini</t>
  </si>
  <si>
    <t>Johan Dlamini</t>
  </si>
  <si>
    <t>Pieter Govender</t>
  </si>
  <si>
    <t>Lindiwe Maseko</t>
  </si>
  <si>
    <t>David Adams</t>
  </si>
  <si>
    <t>Pieter Fourie</t>
  </si>
  <si>
    <t>David Sithole</t>
  </si>
  <si>
    <t>Naledi Mahlangu</t>
  </si>
  <si>
    <t>Andries Khumalo</t>
  </si>
  <si>
    <t>Unknown</t>
  </si>
  <si>
    <t>Cardholder_name</t>
  </si>
  <si>
    <t>Credit_Limit</t>
  </si>
  <si>
    <t>City_Check</t>
  </si>
  <si>
    <t>Hour_Check</t>
  </si>
  <si>
    <t>Velocity_Check</t>
  </si>
  <si>
    <t>Limit_Check</t>
  </si>
  <si>
    <t>Category_Check</t>
  </si>
  <si>
    <t>Channel_Check</t>
  </si>
  <si>
    <t>Risk_Score</t>
  </si>
  <si>
    <t>Risk_Level</t>
  </si>
  <si>
    <t>Card_Network</t>
  </si>
  <si>
    <t>Account_Open_Date</t>
  </si>
  <si>
    <t>Fatima Adams</t>
  </si>
  <si>
    <t>Mahlangu Lerato</t>
  </si>
  <si>
    <t>Fourie Lindiwe</t>
  </si>
  <si>
    <t>Aisha Adams</t>
  </si>
  <si>
    <t>Precious Khumalo</t>
  </si>
  <si>
    <t>Adams Aisha</t>
  </si>
  <si>
    <t>Pieter Adams</t>
  </si>
  <si>
    <t>Bongani Sithole</t>
  </si>
  <si>
    <t>Kabelo Van Der Merwe</t>
  </si>
  <si>
    <t>Mariam Naidoo</t>
  </si>
  <si>
    <t>Bongani Van Der Merwe</t>
  </si>
  <si>
    <t>Nomvula Pretorius</t>
  </si>
  <si>
    <t>Fatima Mahlangu</t>
  </si>
  <si>
    <t>Nomvula Adams</t>
  </si>
  <si>
    <t>Johan Zulu</t>
  </si>
  <si>
    <t>Precious Botha</t>
  </si>
  <si>
    <t>Precious Van Der Merwe</t>
  </si>
  <si>
    <t>Percentage-Limit_Utilized</t>
  </si>
  <si>
    <t>Issue</t>
  </si>
  <si>
    <t>Column</t>
  </si>
  <si>
    <t>Rows</t>
  </si>
  <si>
    <t>Solvable</t>
  </si>
  <si>
    <t>Resolution</t>
  </si>
  <si>
    <t>Table</t>
  </si>
  <si>
    <t>Transactions_Cleaned</t>
  </si>
  <si>
    <t>Mixed date formats in Date column (dd/mm/yyyy strings + Excel datetime objects)</t>
  </si>
  <si>
    <t>Yes</t>
  </si>
  <si>
    <t>Rebuilt dates manually using DATE/VALUE, standardized to single format</t>
  </si>
  <si>
    <t>Column consisted of blank rows</t>
  </si>
  <si>
    <t>No</t>
  </si>
  <si>
    <t>timestamp for some transactionsFilled blanks with "Unknown" placeholder to preserve row count and flag for downstream logic</t>
  </si>
  <si>
    <t>Several city names were captured in abbreviated form (e.g., “PE”, “PTA”, “JHB”, “CPT”, “Bloem”) instead of full names</t>
  </si>
  <si>
    <t>Applied the IF formula. This ensures all city names are consistently formatted in proper case.</t>
  </si>
  <si>
    <t>Amount</t>
  </si>
  <si>
    <t>Currency values stored as text with "R" and "ZAR" symbol and commas</t>
  </si>
  <si>
    <t>Applied the IF formula to fix the incosistent formatting</t>
  </si>
  <si>
    <t>Cardholders_Reference</t>
  </si>
  <si>
    <t>Currency values stored as text with "R" symbol and commas</t>
  </si>
  <si>
    <t>Row Labels</t>
  </si>
  <si>
    <t>Grand Total</t>
  </si>
  <si>
    <t>Sum of Amount (ZAR)</t>
  </si>
  <si>
    <t>Low</t>
  </si>
  <si>
    <t>Medium</t>
  </si>
  <si>
    <t>High</t>
  </si>
  <si>
    <t>Average of Risk_Score</t>
  </si>
  <si>
    <t>Sum of Risk_Score</t>
  </si>
  <si>
    <t>Count of Txn ID</t>
  </si>
  <si>
    <t>2025</t>
  </si>
  <si>
    <t>2026</t>
  </si>
  <si>
    <t>2027</t>
  </si>
  <si>
    <t>Count of Risk_Level</t>
  </si>
  <si>
    <t>Column Labels</t>
  </si>
  <si>
    <t>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</si>
</sst>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R&quot;#,##0.00"/>
    <numFmt numFmtId="165" formatCode="&quot;R&quot;#,##0"/>
    <numFmt numFmtId="166" formatCode="[$-F400]h:mm:ss\ AM/PM"/>
  </numFmts>
  <fonts count="6" x14ac:knownFonts="1">
    <font>
      <sz val="11"/>
      <color theme="1"/>
      <name val="Calibri"/>
      <family val="2"/>
      <scheme val="minor"/>
    </font>
    <font>
      <b/>
      <sz val="13"/>
      <name val="Calibri"/>
      <family val="2"/>
    </font>
    <font>
      <i/>
      <sz val="9"/>
      <name val="Calibri"/>
      <family val="2"/>
    </font>
    <font>
      <b/>
      <sz val="11"/>
      <name val="Calibri"/>
      <family val="2"/>
    </font>
    <font>
      <b/>
      <sz val="11"/>
      <color theme="1"/>
      <name val="Calibri"/>
      <family val="2"/>
    </font>
    <font>
      <b/>
      <sz val="11"/>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24">
    <xf numFmtId="0" fontId="0" fillId="0" borderId="0" xfId="0"/>
    <xf numFmtId="0" fontId="3" fillId="0" borderId="0" xfId="0" applyFont="1"/>
    <xf numFmtId="0" fontId="2" fillId="0" borderId="0" xfId="0" applyFont="1"/>
    <xf numFmtId="15" fontId="0" fillId="0" borderId="0" xfId="0" applyNumberFormat="1"/>
    <xf numFmtId="164" fontId="0" fillId="0" borderId="0" xfId="0" applyNumberFormat="1"/>
    <xf numFmtId="165" fontId="0" fillId="0" borderId="0" xfId="0" applyNumberFormat="1"/>
    <xf numFmtId="10" fontId="0" fillId="0" borderId="0" xfId="0" applyNumberFormat="1"/>
    <xf numFmtId="49" fontId="0" fillId="0" borderId="0" xfId="0" applyNumberFormat="1"/>
    <xf numFmtId="166" fontId="0" fillId="0" borderId="0" xfId="0" applyNumberFormat="1"/>
    <xf numFmtId="0" fontId="4" fillId="0" borderId="0" xfId="0" applyFont="1"/>
    <xf numFmtId="49" fontId="4" fillId="0" borderId="0" xfId="0" applyNumberFormat="1" applyFont="1"/>
    <xf numFmtId="166" fontId="4" fillId="0" borderId="0" xfId="0" applyNumberFormat="1" applyFont="1"/>
    <xf numFmtId="165" fontId="4" fillId="0" borderId="0" xfId="0" applyNumberFormat="1" applyFont="1"/>
    <xf numFmtId="0" fontId="0" fillId="0" borderId="0" xfId="0" pivotButton="1"/>
    <xf numFmtId="0" fontId="0" fillId="0" borderId="0" xfId="0" applyAlignment="1">
      <alignment horizontal="left"/>
    </xf>
    <xf numFmtId="4" fontId="0" fillId="0" borderId="0" xfId="0" applyNumberFormat="1"/>
    <xf numFmtId="0" fontId="5" fillId="0" borderId="0" xfId="0" applyFont="1"/>
    <xf numFmtId="2" fontId="0" fillId="0" borderId="0" xfId="0" applyNumberFormat="1"/>
    <xf numFmtId="3" fontId="0" fillId="0" borderId="0" xfId="0" applyNumberFormat="1"/>
    <xf numFmtId="0" fontId="1" fillId="0" borderId="0" xfId="0" applyFont="1"/>
    <xf numFmtId="0" fontId="0" fillId="0" borderId="0" xfId="0"/>
    <xf numFmtId="0" fontId="0" fillId="0" borderId="0" xfId="0" applyNumberFormat="1"/>
    <xf numFmtId="0" fontId="0" fillId="0" borderId="0" xfId="0" applyAlignment="1">
      <alignment horizontal="left" indent="1"/>
    </xf>
    <xf numFmtId="0" fontId="0" fillId="2" borderId="0" xfId="0" applyFill="1"/>
  </cellXfs>
  <cellStyles count="1">
    <cellStyle name="Normal" xfId="0" builtinId="0"/>
  </cellStyles>
  <dxfs count="183">
    <dxf>
      <numFmt numFmtId="2" formatCode="0.00"/>
    </dxf>
    <dxf>
      <numFmt numFmtId="2" formatCode="0.00"/>
    </dxf>
    <dxf>
      <numFmt numFmtId="2" formatCode="0.00"/>
    </dxf>
    <dxf>
      <numFmt numFmtId="4" formatCode="#,##0.00"/>
    </dxf>
    <dxf>
      <numFmt numFmtId="3" formatCode="#,##0"/>
    </dxf>
    <dxf>
      <numFmt numFmtId="0" formatCode="General"/>
    </dxf>
    <dxf>
      <numFmt numFmtId="4" formatCode="#,##0.00"/>
    </dxf>
    <dxf>
      <numFmt numFmtId="4" formatCode="#,##0.00"/>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0" formatCode="General"/>
    </dxf>
    <dxf>
      <numFmt numFmtId="4" formatCode="#,##0.00"/>
    </dxf>
    <dxf>
      <numFmt numFmtId="4" formatCode="#,##0.00"/>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0" formatCode="General"/>
    </dxf>
    <dxf>
      <numFmt numFmtId="4" formatCode="#,##0.00"/>
    </dxf>
    <dxf>
      <numFmt numFmtId="4" formatCode="#,##0.00"/>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0" formatCode="General"/>
    </dxf>
    <dxf>
      <numFmt numFmtId="4" formatCode="#,##0.00"/>
    </dxf>
    <dxf>
      <numFmt numFmtId="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0" formatCode="General"/>
    </dxf>
    <dxf>
      <numFmt numFmtId="4" formatCode="#,##0.00"/>
    </dxf>
    <dxf>
      <numFmt numFmtId="4" formatCode="#,##0.00"/>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0" formatCode="General"/>
    </dxf>
    <dxf>
      <numFmt numFmtId="4" formatCode="#,##0.00"/>
    </dxf>
    <dxf>
      <numFmt numFmtId="4" formatCode="#,##0.00"/>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0" formatCode="General"/>
    </dxf>
    <dxf>
      <numFmt numFmtId="4" formatCode="#,##0.00"/>
    </dxf>
    <dxf>
      <numFmt numFmtId="4" formatCode="#,##0.00"/>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0" formatCode="General"/>
    </dxf>
    <dxf>
      <numFmt numFmtId="4" formatCode="#,##0.00"/>
    </dxf>
    <dxf>
      <numFmt numFmtId="4" formatCode="#,##0.00"/>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0" formatCode="General"/>
    </dxf>
    <dxf>
      <numFmt numFmtId="4" formatCode="#,##0.00"/>
    </dxf>
    <dxf>
      <numFmt numFmtId="4" formatCode="#,##0.00"/>
    </dxf>
    <dxf>
      <numFmt numFmtId="0" formatCode="General"/>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4" formatCode="#,##0.00"/>
    </dxf>
    <dxf>
      <numFmt numFmtId="4" formatCode="#,##0.00"/>
    </dxf>
    <dxf>
      <numFmt numFmtId="0" formatCode="General"/>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4" formatCode="#,##0.00"/>
    </dxf>
    <dxf>
      <numFmt numFmtId="4" formatCode="#,##0.00"/>
    </dxf>
    <dxf>
      <numFmt numFmtId="0" formatCode="General"/>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4" formatCode="#,##0.00"/>
    </dxf>
    <dxf>
      <numFmt numFmtId="4" formatCode="#,##0.00"/>
    </dxf>
    <dxf>
      <numFmt numFmtId="0" formatCode="General"/>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4" formatCode="#,##0.00"/>
    </dxf>
    <dxf>
      <numFmt numFmtId="4" formatCode="#,##0.00"/>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4" formatCode="#,##0.00"/>
    </dxf>
    <dxf>
      <numFmt numFmtId="4" formatCode="#,##0.00"/>
    </dxf>
    <dxf>
      <numFmt numFmtId="0" formatCode="General"/>
    </dxf>
    <dxf>
      <numFmt numFmtId="14" formatCode="0.00%"/>
    </dxf>
    <dxf>
      <numFmt numFmtId="14" formatCode="0.00%"/>
    </dxf>
    <dxf>
      <numFmt numFmtId="2" formatCode="0.00"/>
    </dxf>
    <dxf>
      <numFmt numFmtId="2" formatCode="0.00"/>
    </dxf>
    <dxf>
      <numFmt numFmtId="2" formatCode="0.00"/>
    </dxf>
    <dxf>
      <numFmt numFmtId="4" formatCode="#,##0.00"/>
    </dxf>
    <dxf>
      <numFmt numFmtId="3" formatCode="#,##0"/>
    </dxf>
    <dxf>
      <numFmt numFmtId="4" formatCode="#,##0.00"/>
    </dxf>
    <dxf>
      <numFmt numFmtId="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sz val="12"/>
      </font>
    </dxf>
    <dxf>
      <numFmt numFmtId="0" formatCode="General"/>
    </dxf>
    <dxf>
      <numFmt numFmtId="14" formatCode="0.00%"/>
    </dxf>
    <dxf>
      <numFmt numFmtId="14" formatCode="0.00%"/>
    </dxf>
    <dxf>
      <numFmt numFmtId="14" formatCode="0.00%"/>
    </dxf>
    <dxf>
      <numFmt numFmtId="30" formatCode="@"/>
    </dxf>
    <dxf>
      <numFmt numFmtId="30" formatCode="@"/>
    </dxf>
    <dxf>
      <numFmt numFmtId="165" formatCode="&quot;R&quot;#,##0"/>
    </dxf>
    <dxf>
      <numFmt numFmtId="30" formatCode="@"/>
    </dxf>
    <dxf>
      <numFmt numFmtId="30" formatCode="@"/>
    </dxf>
    <dxf>
      <numFmt numFmtId="164" formatCode="&quot;R&quot;#,##0.00"/>
    </dxf>
    <dxf>
      <numFmt numFmtId="30" formatCode="@"/>
    </dxf>
    <dxf>
      <numFmt numFmtId="30" formatCode="@"/>
    </dxf>
    <dxf>
      <numFmt numFmtId="30" formatCode="@"/>
    </dxf>
    <dxf>
      <numFmt numFmtId="166" formatCode="[$-F400]h:mm:ss\ AM/PM"/>
    </dxf>
    <dxf>
      <numFmt numFmtId="20" formatCode="dd\-mmm\-yy"/>
    </dxf>
    <dxf>
      <font>
        <b/>
        <i val="0"/>
        <strike val="0"/>
        <condense val="0"/>
        <extend val="0"/>
        <outline val="0"/>
        <shadow val="0"/>
        <u val="none"/>
        <vertAlign val="baseline"/>
        <sz val="11"/>
        <color theme="1"/>
        <name val="Calibri"/>
        <family val="2"/>
        <scheme val="none"/>
      </font>
      <fill>
        <patternFill patternType="solid">
          <fgColor rgb="FF003300"/>
          <bgColor theme="0"/>
        </patternFill>
      </fill>
    </dxf>
    <dxf>
      <numFmt numFmtId="3" formatCode="#,##0"/>
    </dxf>
    <dxf>
      <numFmt numFmtId="4" formatCode="#,##0.00"/>
    </dxf>
    <dxf>
      <numFmt numFmtId="2" formatCode="0.00"/>
    </dxf>
    <dxf>
      <numFmt numFmtId="2" formatCode="0.00"/>
    </dxf>
    <dxf>
      <numFmt numFmtId="2" formatCode="0.00"/>
    </dxf>
    <dxf>
      <numFmt numFmtId="4" formatCode="#,##0.00"/>
    </dxf>
    <dxf>
      <numFmt numFmtId="4" formatCode="#,##0.00"/>
    </dxf>
  </dxfs>
  <tableStyles count="1" defaultTableStyle="TableStyleMedium9" defaultPivotStyle="PivotStyleLight16">
    <tableStyle name="Slicer Style 1" pivot="0" table="0" count="1" xr9:uid="{90EA7220-FEB1-4095-8476-A070DA47946D}">
      <tableStyleElement type="wholeTable" dxfId="159"/>
    </tableStyle>
  </tableStyles>
  <colors>
    <mruColors>
      <color rgb="FF4B1E6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1/relationships/timelineCache" Target="timelineCaches/timeline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table'!$B$121</c:f>
              <c:strCache>
                <c:ptCount val="1"/>
                <c:pt idx="0">
                  <c:v>Total</c:v>
                </c:pt>
              </c:strCache>
            </c:strRef>
          </c:tx>
          <c:spPr>
            <a:solidFill>
              <a:schemeClr val="accent1"/>
            </a:solidFill>
            <a:ln>
              <a:noFill/>
            </a:ln>
            <a:effectLst/>
          </c:spPr>
          <c:invertIfNegative val="0"/>
          <c:cat>
            <c:multiLvlStrRef>
              <c:f>'Pivot table'!$A$122:$A$126</c:f>
              <c:multiLvlStrCache>
                <c:ptCount val="3"/>
                <c:lvl>
                  <c:pt idx="0">
                    <c:v>High</c:v>
                  </c:pt>
                  <c:pt idx="1">
                    <c:v>Low</c:v>
                  </c:pt>
                  <c:pt idx="2">
                    <c:v>Medium</c:v>
                  </c:pt>
                </c:lvl>
                <c:lvl>
                  <c:pt idx="0">
                    <c:v>Approved</c:v>
                  </c:pt>
                </c:lvl>
              </c:multiLvlStrCache>
            </c:multiLvlStrRef>
          </c:cat>
          <c:val>
            <c:numRef>
              <c:f>'Pivot table'!$B$122:$B$126</c:f>
              <c:numCache>
                <c:formatCode>General</c:formatCode>
                <c:ptCount val="3"/>
                <c:pt idx="0">
                  <c:v>20</c:v>
                </c:pt>
                <c:pt idx="1">
                  <c:v>452</c:v>
                </c:pt>
                <c:pt idx="2">
                  <c:v>114</c:v>
                </c:pt>
              </c:numCache>
            </c:numRef>
          </c:val>
          <c:extLst>
            <c:ext xmlns:c16="http://schemas.microsoft.com/office/drawing/2014/chart" uri="{C3380CC4-5D6E-409C-BE32-E72D297353CC}">
              <c16:uniqueId val="{00000007-35B8-471E-AE98-1788D75D2AE7}"/>
            </c:ext>
          </c:extLst>
        </c:ser>
        <c:dLbls>
          <c:showLegendKey val="0"/>
          <c:showVal val="0"/>
          <c:showCatName val="0"/>
          <c:showSerName val="0"/>
          <c:showPercent val="0"/>
          <c:showBubbleSize val="0"/>
        </c:dLbls>
        <c:gapWidth val="182"/>
        <c:axId val="1764096864"/>
        <c:axId val="1764103584"/>
      </c:barChart>
      <c:catAx>
        <c:axId val="176409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103584"/>
        <c:crosses val="autoZero"/>
        <c:auto val="1"/>
        <c:lblAlgn val="ctr"/>
        <c:lblOffset val="100"/>
        <c:noMultiLvlLbl val="0"/>
      </c:catAx>
      <c:valAx>
        <c:axId val="1764103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9686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table!Value at risk by risk level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92D050"/>
                </a:solidFill>
                <a:latin typeface="Aptos Black" panose="020F0502020204030204" pitchFamily="34" charset="0"/>
              </a:rPr>
              <a:t>74.38%</a:t>
            </a:r>
            <a:r>
              <a:rPr lang="en-US" sz="1400" b="1" baseline="0">
                <a:solidFill>
                  <a:srgbClr val="92D050"/>
                </a:solidFill>
                <a:latin typeface="Aptos Black" panose="020F0502020204030204" pitchFamily="34" charset="0"/>
              </a:rPr>
              <a:t> of transactions were labled as low risk while 5.48% were high risk</a:t>
            </a:r>
            <a:endParaRPr lang="en-US" sz="1400" b="1">
              <a:solidFill>
                <a:srgbClr val="92D050"/>
              </a:solidFill>
              <a:latin typeface="Aptos Black"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rgbClr val="FF0000"/>
          </a:solidFill>
          <a:ln w="19050">
            <a:solidFill>
              <a:schemeClr val="lt1"/>
            </a:solidFill>
          </a:ln>
          <a:effectLst/>
        </c:spPr>
        <c:dLbl>
          <c:idx val="0"/>
          <c:layout>
            <c:manualLayout>
              <c:x val="-1.7903215223097062E-2"/>
              <c:y val="9.53404782735491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3-4EEA-4F75-834B-9B8557279D53}"/>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4-4EEA-4F75-834B-9B8557279D53}"/>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2-4EEA-4F75-834B-9B8557279D53}"/>
              </c:ext>
            </c:extLst>
          </c:dPt>
          <c:dLbls>
            <c:dLbl>
              <c:idx val="0"/>
              <c:layout>
                <c:manualLayout>
                  <c:x val="-1.7903215223097062E-2"/>
                  <c:y val="9.53404782735491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EA-4F75-834B-9B8557279D5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High</c:v>
                </c:pt>
                <c:pt idx="1">
                  <c:v>Low</c:v>
                </c:pt>
                <c:pt idx="2">
                  <c:v>Medium</c:v>
                </c:pt>
              </c:strCache>
            </c:strRef>
          </c:cat>
          <c:val>
            <c:numRef>
              <c:f>'Pivot table'!$B$4:$B$7</c:f>
              <c:numCache>
                <c:formatCode>0.00%</c:formatCode>
                <c:ptCount val="3"/>
                <c:pt idx="0">
                  <c:v>5.4836871004518811E-2</c:v>
                </c:pt>
                <c:pt idx="1">
                  <c:v>0.74377410262961985</c:v>
                </c:pt>
                <c:pt idx="2">
                  <c:v>0.20138902636586151</c:v>
                </c:pt>
              </c:numCache>
            </c:numRef>
          </c:val>
          <c:extLst>
            <c:ext xmlns:c16="http://schemas.microsoft.com/office/drawing/2014/chart" uri="{C3380CC4-5D6E-409C-BE32-E72D297353CC}">
              <c16:uniqueId val="{00000000-4EEA-4F75-834B-9B8557279D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table!Merchant with highest value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92D050"/>
                </a:solidFill>
                <a:latin typeface="Aptos Black" panose="020B0004020202020204" pitchFamily="34" charset="0"/>
              </a:rPr>
              <a:t>Makro are</a:t>
            </a:r>
            <a:r>
              <a:rPr lang="en-US" b="1" baseline="0">
                <a:solidFill>
                  <a:srgbClr val="92D050"/>
                </a:solidFill>
                <a:latin typeface="Aptos Black" panose="020B0004020202020204" pitchFamily="34" charset="0"/>
              </a:rPr>
              <a:t> leading the leading top ten merchants with R165442.85 in Value(ZAR) </a:t>
            </a:r>
            <a:endParaRPr lang="en-US" b="1">
              <a:solidFill>
                <a:srgbClr val="92D050"/>
              </a:solidFill>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19060326866358"/>
          <c:y val="0.32870901137357833"/>
          <c:w val="0.56206807911897616"/>
          <c:h val="0.56818757655293084"/>
        </c:manualLayout>
      </c:layout>
      <c:barChart>
        <c:barDir val="bar"/>
        <c:grouping val="clustered"/>
        <c:varyColors val="0"/>
        <c:ser>
          <c:idx val="0"/>
          <c:order val="0"/>
          <c:tx>
            <c:strRef>
              <c:f>'Pivot 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table'!$A$21:$A$31</c:f>
              <c:strCache>
                <c:ptCount val="10"/>
                <c:pt idx="0">
                  <c:v>Mr Price</c:v>
                </c:pt>
                <c:pt idx="1">
                  <c:v>AliExpress</c:v>
                </c:pt>
                <c:pt idx="2">
                  <c:v>Amazon</c:v>
                </c:pt>
                <c:pt idx="3">
                  <c:v>South African Airways</c:v>
                </c:pt>
                <c:pt idx="4">
                  <c:v>Avis</c:v>
                </c:pt>
                <c:pt idx="5">
                  <c:v>Takealot</c:v>
                </c:pt>
                <c:pt idx="6">
                  <c:v>Superbalist</c:v>
                </c:pt>
                <c:pt idx="7">
                  <c:v>Game</c:v>
                </c:pt>
                <c:pt idx="8">
                  <c:v>Incredible Connection</c:v>
                </c:pt>
                <c:pt idx="9">
                  <c:v>Makro</c:v>
                </c:pt>
              </c:strCache>
            </c:strRef>
          </c:cat>
          <c:val>
            <c:numRef>
              <c:f>'Pivot table'!$B$21:$B$31</c:f>
              <c:numCache>
                <c:formatCode>"R"#\ ##0.00</c:formatCode>
                <c:ptCount val="10"/>
                <c:pt idx="0">
                  <c:v>32706.739999999998</c:v>
                </c:pt>
                <c:pt idx="1">
                  <c:v>50150.239999999991</c:v>
                </c:pt>
                <c:pt idx="2">
                  <c:v>51045.84</c:v>
                </c:pt>
                <c:pt idx="3">
                  <c:v>56473.39</c:v>
                </c:pt>
                <c:pt idx="4">
                  <c:v>61370.990000000005</c:v>
                </c:pt>
                <c:pt idx="5">
                  <c:v>63237.409999999996</c:v>
                </c:pt>
                <c:pt idx="6">
                  <c:v>71098.03</c:v>
                </c:pt>
                <c:pt idx="7">
                  <c:v>106375.51000000002</c:v>
                </c:pt>
                <c:pt idx="8">
                  <c:v>161299.09999999998</c:v>
                </c:pt>
                <c:pt idx="9">
                  <c:v>165442.85000000006</c:v>
                </c:pt>
              </c:numCache>
            </c:numRef>
          </c:val>
          <c:extLst>
            <c:ext xmlns:c16="http://schemas.microsoft.com/office/drawing/2014/chart" uri="{C3380CC4-5D6E-409C-BE32-E72D297353CC}">
              <c16:uniqueId val="{00000002-DD53-4412-A94A-7046A2E9B481}"/>
            </c:ext>
          </c:extLst>
        </c:ser>
        <c:dLbls>
          <c:showLegendKey val="0"/>
          <c:showVal val="0"/>
          <c:showCatName val="0"/>
          <c:showSerName val="0"/>
          <c:showPercent val="0"/>
          <c:showBubbleSize val="0"/>
        </c:dLbls>
        <c:gapWidth val="182"/>
        <c:axId val="1269117951"/>
        <c:axId val="1269118911"/>
      </c:barChart>
      <c:catAx>
        <c:axId val="126911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92D050"/>
                </a:solidFill>
                <a:latin typeface="Aptos Black" panose="020B0004020202020204" pitchFamily="34" charset="0"/>
                <a:ea typeface="+mn-ea"/>
                <a:cs typeface="+mn-cs"/>
              </a:defRPr>
            </a:pPr>
            <a:endParaRPr lang="en-US"/>
          </a:p>
        </c:txPr>
        <c:crossAx val="1269118911"/>
        <c:crosses val="autoZero"/>
        <c:auto val="1"/>
        <c:lblAlgn val="ctr"/>
        <c:lblOffset val="100"/>
        <c:noMultiLvlLbl val="0"/>
      </c:catAx>
      <c:valAx>
        <c:axId val="1269118911"/>
        <c:scaling>
          <c:orientation val="minMax"/>
        </c:scaling>
        <c:delete val="0"/>
        <c:axPos val="b"/>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92D050"/>
                </a:solidFill>
                <a:latin typeface="Aptos Black" panose="020B0004020202020204" pitchFamily="34" charset="0"/>
                <a:ea typeface="+mn-ea"/>
                <a:cs typeface="+mn-cs"/>
              </a:defRPr>
            </a:pPr>
            <a:endParaRPr lang="en-US"/>
          </a:p>
        </c:txPr>
        <c:crossAx val="126911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table!Average risk score by Bank</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solidFill>
                  <a:srgbClr val="92D050"/>
                </a:solidFill>
                <a:latin typeface="Aptos Black" panose="020B0004020202020204" pitchFamily="34" charset="0"/>
              </a:rPr>
              <a:t>Risk Doesn't Scale with Volume: Nedbank Outranks Capitec Despite Fewer Transactions</a:t>
            </a:r>
            <a:endParaRPr lang="en-ZA" b="1">
              <a:solidFill>
                <a:srgbClr val="92D050"/>
              </a:solidFill>
              <a:latin typeface="Aptos Black" panose="020B0004020202020204" pitchFamily="34" charset="0"/>
            </a:endParaRPr>
          </a:p>
        </c:rich>
      </c:tx>
      <c:layout>
        <c:manualLayout>
          <c:xMode val="edge"/>
          <c:yMode val="edge"/>
          <c:x val="9.6120480150709106E-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table'!$A$44:$A$49</c:f>
              <c:strCache>
                <c:ptCount val="5"/>
                <c:pt idx="0">
                  <c:v>Nedbank</c:v>
                </c:pt>
                <c:pt idx="1">
                  <c:v>Capitec</c:v>
                </c:pt>
                <c:pt idx="2">
                  <c:v>Standard Bank</c:v>
                </c:pt>
                <c:pt idx="3">
                  <c:v>ABSA</c:v>
                </c:pt>
                <c:pt idx="4">
                  <c:v>FNB</c:v>
                </c:pt>
              </c:strCache>
            </c:strRef>
          </c:cat>
          <c:val>
            <c:numRef>
              <c:f>'Pivot table'!$B$44:$B$49</c:f>
              <c:numCache>
                <c:formatCode>#,##0.00</c:formatCode>
                <c:ptCount val="5"/>
                <c:pt idx="0">
                  <c:v>1.1095890410958904</c:v>
                </c:pt>
                <c:pt idx="1">
                  <c:v>0.96226415094339623</c:v>
                </c:pt>
                <c:pt idx="2">
                  <c:v>0.95270270270270274</c:v>
                </c:pt>
                <c:pt idx="3">
                  <c:v>0.92405063291139244</c:v>
                </c:pt>
                <c:pt idx="4">
                  <c:v>0.87581699346405228</c:v>
                </c:pt>
              </c:numCache>
            </c:numRef>
          </c:val>
          <c:extLst>
            <c:ext xmlns:c16="http://schemas.microsoft.com/office/drawing/2014/chart" uri="{C3380CC4-5D6E-409C-BE32-E72D297353CC}">
              <c16:uniqueId val="{00000000-A15B-4E65-A2B7-A9CE166EC29B}"/>
            </c:ext>
          </c:extLst>
        </c:ser>
        <c:dLbls>
          <c:dLblPos val="outEnd"/>
          <c:showLegendKey val="0"/>
          <c:showVal val="1"/>
          <c:showCatName val="0"/>
          <c:showSerName val="0"/>
          <c:showPercent val="0"/>
          <c:showBubbleSize val="0"/>
        </c:dLbls>
        <c:gapWidth val="182"/>
        <c:axId val="1232579823"/>
        <c:axId val="1232580303"/>
      </c:barChart>
      <c:catAx>
        <c:axId val="123257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92D050"/>
                </a:solidFill>
                <a:latin typeface="Aptos Black" panose="020B0004020202020204" pitchFamily="34" charset="0"/>
                <a:ea typeface="+mn-ea"/>
                <a:cs typeface="+mn-cs"/>
              </a:defRPr>
            </a:pPr>
            <a:endParaRPr lang="en-US"/>
          </a:p>
        </c:txPr>
        <c:crossAx val="1232580303"/>
        <c:crosses val="autoZero"/>
        <c:auto val="1"/>
        <c:lblAlgn val="ctr"/>
        <c:lblOffset val="100"/>
        <c:noMultiLvlLbl val="0"/>
      </c:catAx>
      <c:valAx>
        <c:axId val="123258030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23257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solidFill>
                  <a:srgbClr val="92D050"/>
                </a:solidFill>
                <a:latin typeface="Aptos Black" panose="020B0004020202020204" pitchFamily="34" charset="0"/>
              </a:rPr>
              <a:t>Restaurant Leads in Total Transactions, But Not Per-Transaction Risk</a:t>
            </a:r>
            <a:endParaRPr lang="en-ZA" b="1">
              <a:solidFill>
                <a:srgbClr val="92D050"/>
              </a:solidFill>
              <a:latin typeface="Aptos Black" panose="020B0004020202020204" pitchFamily="34" charset="0"/>
            </a:endParaRPr>
          </a:p>
        </c:rich>
      </c:tx>
      <c:layout>
        <c:manualLayout>
          <c:xMode val="edge"/>
          <c:yMode val="edge"/>
          <c:x val="0.1184021093573215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manualLayout>
          <c:layoutTarget val="inner"/>
          <c:xMode val="edge"/>
          <c:yMode val="edge"/>
          <c:x val="0.10459883650277788"/>
          <c:y val="0.15228269897329352"/>
          <c:w val="0.83006971067392088"/>
          <c:h val="0.4678459990760398"/>
        </c:manualLayout>
      </c:layout>
      <c:barChart>
        <c:barDir val="col"/>
        <c:grouping val="clustered"/>
        <c:varyColors val="0"/>
        <c:ser>
          <c:idx val="0"/>
          <c:order val="0"/>
          <c:tx>
            <c:strRef>
              <c:f>'Pivot table'!$F$63</c:f>
              <c:strCache>
                <c:ptCount val="1"/>
                <c:pt idx="0">
                  <c:v>Average of Risk_Score</c:v>
                </c:pt>
              </c:strCache>
            </c:strRef>
          </c:tx>
          <c:spPr>
            <a:solidFill>
              <a:schemeClr val="accent6">
                <a:lumMod val="75000"/>
              </a:schemeClr>
            </a:solidFill>
            <a:ln>
              <a:noFill/>
            </a:ln>
            <a:effectLst/>
          </c:spPr>
          <c:invertIfNegative val="0"/>
          <c:cat>
            <c:strRef>
              <c:f>'Pivot table'!$E$64:$E$75</c:f>
              <c:strCache>
                <c:ptCount val="12"/>
                <c:pt idx="0">
                  <c:v>ATM Withdrawal</c:v>
                </c:pt>
                <c:pt idx="1">
                  <c:v>Clothing</c:v>
                </c:pt>
                <c:pt idx="2">
                  <c:v>Electronics</c:v>
                </c:pt>
                <c:pt idx="3">
                  <c:v>Fuel</c:v>
                </c:pt>
                <c:pt idx="4">
                  <c:v>Gambling</c:v>
                </c:pt>
                <c:pt idx="5">
                  <c:v>Grocery</c:v>
                </c:pt>
                <c:pt idx="6">
                  <c:v>Online Retail</c:v>
                </c:pt>
                <c:pt idx="7">
                  <c:v>Pharmacy</c:v>
                </c:pt>
                <c:pt idx="8">
                  <c:v>Restaurant</c:v>
                </c:pt>
                <c:pt idx="9">
                  <c:v>Subscription Services</c:v>
                </c:pt>
                <c:pt idx="10">
                  <c:v>Travel</c:v>
                </c:pt>
                <c:pt idx="11">
                  <c:v>Utilities</c:v>
                </c:pt>
              </c:strCache>
            </c:strRef>
          </c:cat>
          <c:val>
            <c:numRef>
              <c:f>'Pivot table'!$F$64:$F$75</c:f>
              <c:numCache>
                <c:formatCode>0.00</c:formatCode>
                <c:ptCount val="12"/>
                <c:pt idx="0">
                  <c:v>0.79629629629629628</c:v>
                </c:pt>
                <c:pt idx="1">
                  <c:v>1.0588235294117647</c:v>
                </c:pt>
                <c:pt idx="2">
                  <c:v>1.1489361702127661</c:v>
                </c:pt>
                <c:pt idx="3">
                  <c:v>0.86250000000000004</c:v>
                </c:pt>
                <c:pt idx="4">
                  <c:v>0.84</c:v>
                </c:pt>
                <c:pt idx="5">
                  <c:v>1</c:v>
                </c:pt>
                <c:pt idx="6">
                  <c:v>1</c:v>
                </c:pt>
                <c:pt idx="7">
                  <c:v>0.83333333333333337</c:v>
                </c:pt>
                <c:pt idx="8">
                  <c:v>0.97368421052631582</c:v>
                </c:pt>
                <c:pt idx="9">
                  <c:v>0.94339622641509435</c:v>
                </c:pt>
                <c:pt idx="10">
                  <c:v>1</c:v>
                </c:pt>
                <c:pt idx="11">
                  <c:v>1.0888888888888888</c:v>
                </c:pt>
              </c:numCache>
            </c:numRef>
          </c:val>
          <c:extLst>
            <c:ext xmlns:c16="http://schemas.microsoft.com/office/drawing/2014/chart" uri="{C3380CC4-5D6E-409C-BE32-E72D297353CC}">
              <c16:uniqueId val="{00000000-604F-4897-94D2-30B1D493EF42}"/>
            </c:ext>
          </c:extLst>
        </c:ser>
        <c:dLbls>
          <c:showLegendKey val="0"/>
          <c:showVal val="0"/>
          <c:showCatName val="0"/>
          <c:showSerName val="0"/>
          <c:showPercent val="0"/>
          <c:showBubbleSize val="0"/>
        </c:dLbls>
        <c:gapWidth val="219"/>
        <c:overlap val="-27"/>
        <c:axId val="389794751"/>
        <c:axId val="389789471"/>
      </c:barChart>
      <c:lineChart>
        <c:grouping val="standard"/>
        <c:varyColors val="0"/>
        <c:ser>
          <c:idx val="1"/>
          <c:order val="1"/>
          <c:tx>
            <c:strRef>
              <c:f>'Pivot table'!$G$63</c:f>
              <c:strCache>
                <c:ptCount val="1"/>
                <c:pt idx="0">
                  <c:v>Count of Txn ID</c:v>
                </c:pt>
              </c:strCache>
            </c:strRef>
          </c:tx>
          <c:spPr>
            <a:ln w="28575" cap="rnd">
              <a:solidFill>
                <a:srgbClr val="FFFF00"/>
              </a:solidFill>
              <a:round/>
            </a:ln>
            <a:effectLst/>
          </c:spPr>
          <c:marker>
            <c:symbol val="none"/>
          </c:marker>
          <c:cat>
            <c:strRef>
              <c:f>'Pivot table'!$E$64:$E$75</c:f>
              <c:strCache>
                <c:ptCount val="12"/>
                <c:pt idx="0">
                  <c:v>ATM Withdrawal</c:v>
                </c:pt>
                <c:pt idx="1">
                  <c:v>Clothing</c:v>
                </c:pt>
                <c:pt idx="2">
                  <c:v>Electronics</c:v>
                </c:pt>
                <c:pt idx="3">
                  <c:v>Fuel</c:v>
                </c:pt>
                <c:pt idx="4">
                  <c:v>Gambling</c:v>
                </c:pt>
                <c:pt idx="5">
                  <c:v>Grocery</c:v>
                </c:pt>
                <c:pt idx="6">
                  <c:v>Online Retail</c:v>
                </c:pt>
                <c:pt idx="7">
                  <c:v>Pharmacy</c:v>
                </c:pt>
                <c:pt idx="8">
                  <c:v>Restaurant</c:v>
                </c:pt>
                <c:pt idx="9">
                  <c:v>Subscription Services</c:v>
                </c:pt>
                <c:pt idx="10">
                  <c:v>Travel</c:v>
                </c:pt>
                <c:pt idx="11">
                  <c:v>Utilities</c:v>
                </c:pt>
              </c:strCache>
            </c:strRef>
          </c:cat>
          <c:val>
            <c:numRef>
              <c:f>'Pivot table'!$G$64:$G$75</c:f>
              <c:numCache>
                <c:formatCode>General</c:formatCode>
                <c:ptCount val="12"/>
                <c:pt idx="0">
                  <c:v>54</c:v>
                </c:pt>
                <c:pt idx="1">
                  <c:v>51</c:v>
                </c:pt>
                <c:pt idx="2">
                  <c:v>47</c:v>
                </c:pt>
                <c:pt idx="3">
                  <c:v>80</c:v>
                </c:pt>
                <c:pt idx="4">
                  <c:v>25</c:v>
                </c:pt>
                <c:pt idx="5">
                  <c:v>107</c:v>
                </c:pt>
                <c:pt idx="6">
                  <c:v>96</c:v>
                </c:pt>
                <c:pt idx="7">
                  <c:v>36</c:v>
                </c:pt>
                <c:pt idx="8">
                  <c:v>114</c:v>
                </c:pt>
                <c:pt idx="9">
                  <c:v>53</c:v>
                </c:pt>
                <c:pt idx="10">
                  <c:v>30</c:v>
                </c:pt>
                <c:pt idx="11">
                  <c:v>45</c:v>
                </c:pt>
              </c:numCache>
            </c:numRef>
          </c:val>
          <c:smooth val="0"/>
          <c:extLst>
            <c:ext xmlns:c16="http://schemas.microsoft.com/office/drawing/2014/chart" uri="{C3380CC4-5D6E-409C-BE32-E72D297353CC}">
              <c16:uniqueId val="{00000001-604F-4897-94D2-30B1D493EF42}"/>
            </c:ext>
          </c:extLst>
        </c:ser>
        <c:dLbls>
          <c:showLegendKey val="0"/>
          <c:showVal val="0"/>
          <c:showCatName val="0"/>
          <c:showSerName val="0"/>
          <c:showPercent val="0"/>
          <c:showBubbleSize val="0"/>
        </c:dLbls>
        <c:marker val="1"/>
        <c:smooth val="0"/>
        <c:axId val="389800511"/>
        <c:axId val="389797631"/>
      </c:lineChart>
      <c:catAx>
        <c:axId val="38979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2D050"/>
                </a:solidFill>
                <a:latin typeface="Aptos Black" panose="020B0004020202020204" pitchFamily="34" charset="0"/>
                <a:ea typeface="+mn-ea"/>
                <a:cs typeface="+mn-cs"/>
              </a:defRPr>
            </a:pPr>
            <a:endParaRPr lang="en-US"/>
          </a:p>
        </c:txPr>
        <c:crossAx val="389789471"/>
        <c:crosses val="autoZero"/>
        <c:auto val="1"/>
        <c:lblAlgn val="ctr"/>
        <c:lblOffset val="100"/>
        <c:noMultiLvlLbl val="0"/>
      </c:catAx>
      <c:valAx>
        <c:axId val="389789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92D050"/>
                </a:solidFill>
                <a:latin typeface="Aptos Black" panose="020B0004020202020204" pitchFamily="34" charset="0"/>
                <a:ea typeface="+mn-ea"/>
                <a:cs typeface="+mn-cs"/>
              </a:defRPr>
            </a:pPr>
            <a:endParaRPr lang="en-US"/>
          </a:p>
        </c:txPr>
        <c:crossAx val="389794751"/>
        <c:crosses val="autoZero"/>
        <c:crossBetween val="between"/>
      </c:valAx>
      <c:valAx>
        <c:axId val="389797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2D050"/>
                </a:solidFill>
                <a:latin typeface="Aptos Black" panose="020B0004020202020204" pitchFamily="34" charset="0"/>
                <a:ea typeface="+mn-ea"/>
                <a:cs typeface="+mn-cs"/>
              </a:defRPr>
            </a:pPr>
            <a:endParaRPr lang="en-US"/>
          </a:p>
        </c:txPr>
        <c:crossAx val="389800511"/>
        <c:crosses val="max"/>
        <c:crossBetween val="between"/>
      </c:valAx>
      <c:catAx>
        <c:axId val="389800511"/>
        <c:scaling>
          <c:orientation val="minMax"/>
        </c:scaling>
        <c:delete val="1"/>
        <c:axPos val="b"/>
        <c:numFmt formatCode="General" sourceLinked="1"/>
        <c:majorTickMark val="out"/>
        <c:minorTickMark val="none"/>
        <c:tickLblPos val="nextTo"/>
        <c:crossAx val="3897976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Aptos Black"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solidFill>
                  <a:srgbClr val="92D050"/>
                </a:solidFill>
                <a:latin typeface="Aptos Black" panose="020B0004020202020204" pitchFamily="34" charset="0"/>
              </a:rPr>
              <a:t>Card-Not-Present Channels (CNP, Online) Drive Higher Risk Than Physical Transaction</a:t>
            </a:r>
            <a:endParaRPr lang="en-US">
              <a:solidFill>
                <a:srgbClr val="92D050"/>
              </a:solidFill>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table'!$B$83</c:f>
              <c:strCache>
                <c:ptCount val="1"/>
                <c:pt idx="0">
                  <c:v>Total</c:v>
                </c:pt>
              </c:strCache>
            </c:strRef>
          </c:tx>
          <c:spPr>
            <a:solidFill>
              <a:schemeClr val="accent6">
                <a:lumMod val="75000"/>
              </a:schemeClr>
            </a:solidFill>
            <a:ln>
              <a:noFill/>
            </a:ln>
            <a:effectLst/>
          </c:spPr>
          <c:invertIfNegative val="0"/>
          <c:cat>
            <c:strRef>
              <c:f>'Pivot table'!$A$84:$A$88</c:f>
              <c:strCache>
                <c:ptCount val="4"/>
                <c:pt idx="0">
                  <c:v>Card Not Present (Phone)</c:v>
                </c:pt>
                <c:pt idx="1">
                  <c:v>Card Present</c:v>
                </c:pt>
                <c:pt idx="2">
                  <c:v>Contactless</c:v>
                </c:pt>
                <c:pt idx="3">
                  <c:v>Online</c:v>
                </c:pt>
              </c:strCache>
            </c:strRef>
          </c:cat>
          <c:val>
            <c:numRef>
              <c:f>'Pivot table'!$B$84:$B$88</c:f>
              <c:numCache>
                <c:formatCode>General</c:formatCode>
                <c:ptCount val="4"/>
                <c:pt idx="0">
                  <c:v>266</c:v>
                </c:pt>
                <c:pt idx="1">
                  <c:v>85</c:v>
                </c:pt>
                <c:pt idx="2">
                  <c:v>82</c:v>
                </c:pt>
                <c:pt idx="3">
                  <c:v>281</c:v>
                </c:pt>
              </c:numCache>
            </c:numRef>
          </c:val>
          <c:extLst>
            <c:ext xmlns:c16="http://schemas.microsoft.com/office/drawing/2014/chart" uri="{C3380CC4-5D6E-409C-BE32-E72D297353CC}">
              <c16:uniqueId val="{00000000-6E94-41F2-9141-7817E03A5260}"/>
            </c:ext>
          </c:extLst>
        </c:ser>
        <c:dLbls>
          <c:showLegendKey val="0"/>
          <c:showVal val="0"/>
          <c:showCatName val="0"/>
          <c:showSerName val="0"/>
          <c:showPercent val="0"/>
          <c:showBubbleSize val="0"/>
        </c:dLbls>
        <c:gapWidth val="150"/>
        <c:overlap val="100"/>
        <c:axId val="442589391"/>
        <c:axId val="371333183"/>
      </c:barChart>
      <c:catAx>
        <c:axId val="44258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2D050"/>
                </a:solidFill>
                <a:latin typeface="Aptos Black" panose="020B0004020202020204" pitchFamily="34" charset="0"/>
                <a:ea typeface="+mn-ea"/>
                <a:cs typeface="+mn-cs"/>
              </a:defRPr>
            </a:pPr>
            <a:endParaRPr lang="en-US"/>
          </a:p>
        </c:txPr>
        <c:crossAx val="371333183"/>
        <c:crosses val="autoZero"/>
        <c:auto val="1"/>
        <c:lblAlgn val="ctr"/>
        <c:lblOffset val="100"/>
        <c:noMultiLvlLbl val="0"/>
      </c:catAx>
      <c:valAx>
        <c:axId val="37133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2D050"/>
                </a:solidFill>
                <a:latin typeface="Aptos Black" panose="020B0004020202020204" pitchFamily="34" charset="0"/>
                <a:ea typeface="+mn-ea"/>
                <a:cs typeface="+mn-cs"/>
              </a:defRPr>
            </a:pPr>
            <a:endParaRPr lang="en-US"/>
          </a:p>
        </c:txPr>
        <c:crossAx val="44258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92D050"/>
                </a:solidFill>
                <a:latin typeface="Aptos Black" panose="020B0004020202020204" pitchFamily="34" charset="0"/>
              </a:rPr>
              <a:t>Approved transactions are Overwhelmingly low risk</a:t>
            </a:r>
          </a:p>
          <a:p>
            <a:pPr>
              <a:defRPr/>
            </a:pPr>
            <a:endParaRPr lang="en-US"/>
          </a:p>
        </c:rich>
      </c:tx>
      <c:layout>
        <c:manualLayout>
          <c:xMode val="edge"/>
          <c:yMode val="edge"/>
          <c:x val="0.13111533774173098"/>
          <c:y val="3.5916563061196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w="19050">
            <a:solidFill>
              <a:schemeClr val="lt1"/>
            </a:solidFill>
          </a:ln>
          <a:effectLst/>
        </c:spPr>
        <c:dLbl>
          <c:idx val="0"/>
          <c:layout>
            <c:manualLayout>
              <c:x val="-8.9000139062717282E-2"/>
              <c:y val="2.308402585410887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w="19050">
            <a:solidFill>
              <a:schemeClr val="lt1"/>
            </a:solidFill>
          </a:ln>
          <a:effectLst/>
        </c:spPr>
        <c:dLbl>
          <c:idx val="0"/>
          <c:layout>
            <c:manualLayout>
              <c:x val="-0.15018773466833543"/>
              <c:y val="-6.0018467220683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dLbl>
          <c:idx val="0"/>
          <c:layout>
            <c:manualLayout>
              <c:x val="-0.10012515644555697"/>
              <c:y val="1.385059727644839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07117054673546"/>
                  <c:h val="8.3033422761213005E-2"/>
                </c:manualLayout>
              </c15:layout>
            </c:ext>
          </c:extLst>
        </c:dLbl>
      </c:pivotFmt>
      <c:pivotFmt>
        <c:idx val="5"/>
        <c:dLbl>
          <c:idx val="0"/>
          <c:layout>
            <c:manualLayout>
              <c:x val="-0.11681268251981644"/>
              <c:y val="1.385041551246545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225003476567932E-2"/>
              <c:y val="0.2031394275161588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0290641079126686"/>
              <c:y val="-9.695290858725763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dLbl>
          <c:idx val="0"/>
          <c:layout>
            <c:manualLayout>
              <c:x val="0.14184397163120568"/>
              <c:y val="-9.69529085872576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0846891948268669"/>
              <c:y val="-7.38687009691655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946014101178533E-2"/>
                  <c:h val="0.14766869515271808"/>
                </c:manualLayout>
              </c15:layout>
            </c:ext>
          </c:extLst>
        </c:dLbl>
      </c:pivotFmt>
      <c:pivotFmt>
        <c:idx val="11"/>
        <c:spPr>
          <a:solidFill>
            <a:srgbClr val="FFFF00"/>
          </a:solidFill>
          <a:ln w="19050">
            <a:solidFill>
              <a:schemeClr val="lt1"/>
            </a:solidFill>
          </a:ln>
          <a:effectLst/>
        </c:spPr>
        <c:dLbl>
          <c:idx val="0"/>
          <c:layout>
            <c:manualLayout>
              <c:x val="-0.11403142817410655"/>
              <c:y val="-4.616805170821875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731619905459252"/>
                  <c:h val="5.0715786565460483E-2"/>
                </c:manualLayout>
              </c15:layout>
            </c:ext>
          </c:extLst>
        </c:dLbl>
      </c:pivotFmt>
      <c:pivotFmt>
        <c:idx val="12"/>
        <c:dLbl>
          <c:idx val="0"/>
          <c:layout>
            <c:manualLayout>
              <c:x val="-0.1446252259769156"/>
              <c:y val="-4.61680517082179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w="19050">
            <a:solidFill>
              <a:schemeClr val="lt1"/>
            </a:solidFill>
          </a:ln>
          <a:effectLst/>
        </c:spPr>
        <c:dLbl>
          <c:idx val="0"/>
          <c:layout>
            <c:manualLayout>
              <c:x val="-6.3968849951328052E-2"/>
              <c:y val="9.23361034164357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w="19050">
            <a:solidFill>
              <a:schemeClr val="lt1"/>
            </a:solidFill>
          </a:ln>
          <a:effectLst/>
        </c:spPr>
        <c:dLbl>
          <c:idx val="0"/>
          <c:layout>
            <c:manualLayout>
              <c:x val="2.7812543457099048E-2"/>
              <c:y val="0.12003693444136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w="19050">
            <a:solidFill>
              <a:schemeClr val="lt1"/>
            </a:solidFill>
          </a:ln>
          <a:effectLst/>
        </c:spPr>
      </c:pivotFmt>
      <c:pivotFmt>
        <c:idx val="17"/>
        <c:spPr>
          <a:solidFill>
            <a:srgbClr val="92D050"/>
          </a:solidFill>
          <a:ln w="19050">
            <a:solidFill>
              <a:schemeClr val="lt1"/>
            </a:solidFill>
          </a:ln>
          <a:effectLst/>
        </c:spPr>
      </c:pivotFmt>
      <c:pivotFmt>
        <c:idx val="18"/>
        <c:spPr>
          <a:solidFill>
            <a:schemeClr val="tx2">
              <a:lumMod val="60000"/>
              <a:lumOff val="40000"/>
            </a:schemeClr>
          </a:solidFill>
          <a:ln w="19050">
            <a:solidFill>
              <a:schemeClr val="lt1"/>
            </a:solidFill>
          </a:ln>
          <a:effectLst/>
        </c:spPr>
      </c:pivotFmt>
      <c:pivotFmt>
        <c:idx val="19"/>
        <c:spPr>
          <a:solidFill>
            <a:srgbClr val="FFC000"/>
          </a:solidFill>
          <a:ln w="19050">
            <a:solidFill>
              <a:schemeClr val="lt1"/>
            </a:solidFill>
          </a:ln>
          <a:effectLst/>
        </c:spPr>
        <c:dLbl>
          <c:idx val="0"/>
          <c:layout>
            <c:manualLayout>
              <c:x val="-9.7343902099847029E-2"/>
              <c:y val="-6.0018467220683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w="19050">
            <a:solidFill>
              <a:schemeClr val="lt1"/>
            </a:solidFill>
          </a:ln>
          <a:effectLst/>
        </c:spPr>
        <c:dLbl>
          <c:idx val="0"/>
          <c:layout>
            <c:manualLayout>
              <c:x val="0.1084689194826866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30A0"/>
          </a:solidFill>
          <a:ln w="19050">
            <a:solidFill>
              <a:schemeClr val="lt1"/>
            </a:solidFill>
          </a:ln>
          <a:effectLst/>
        </c:spPr>
        <c:dLbl>
          <c:idx val="0"/>
          <c:layout>
            <c:manualLayout>
              <c:x val="9.4562647754137114E-2"/>
              <c:y val="-6.001846722068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09448161908422"/>
          <c:y val="0.23686028166146822"/>
          <c:w val="0.45913538029273249"/>
          <c:h val="0.76215201285434886"/>
        </c:manualLayout>
      </c:layout>
      <c:doughnutChart>
        <c:varyColors val="1"/>
        <c:ser>
          <c:idx val="0"/>
          <c:order val="0"/>
          <c:tx>
            <c:strRef>
              <c:f>'Pivot table'!$B$121</c:f>
              <c:strCache>
                <c:ptCount val="1"/>
                <c:pt idx="0">
                  <c:v>Total</c:v>
                </c:pt>
              </c:strCache>
            </c:strRef>
          </c:tx>
          <c:spPr>
            <a:solidFill>
              <a:srgbClr val="7030A0"/>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12-9E87-4DBB-8D92-D2DC7061EE0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13-9E87-4DBB-8D92-D2DC7061EE07}"/>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11-9E87-4DBB-8D92-D2DC7061EE07}"/>
              </c:ext>
            </c:extLst>
          </c:dPt>
          <c:dLbls>
            <c:dLbl>
              <c:idx val="0"/>
              <c:layout>
                <c:manualLayout>
                  <c:x val="9.4562647754137114E-2"/>
                  <c:y val="-6.001846722068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E87-4DBB-8D92-D2DC7061EE07}"/>
                </c:ext>
              </c:extLst>
            </c:dLbl>
            <c:dLbl>
              <c:idx val="1"/>
              <c:layout>
                <c:manualLayout>
                  <c:x val="0.1084689194826866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E87-4DBB-8D92-D2DC7061EE07}"/>
                </c:ext>
              </c:extLst>
            </c:dLbl>
            <c:dLbl>
              <c:idx val="2"/>
              <c:layout>
                <c:manualLayout>
                  <c:x val="-9.7343902099847029E-2"/>
                  <c:y val="-6.0018467220683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E87-4DBB-8D92-D2DC7061EE0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table'!$A$122:$A$126</c:f>
              <c:multiLvlStrCache>
                <c:ptCount val="3"/>
                <c:lvl>
                  <c:pt idx="0">
                    <c:v>High</c:v>
                  </c:pt>
                  <c:pt idx="1">
                    <c:v>Low</c:v>
                  </c:pt>
                  <c:pt idx="2">
                    <c:v>Medium</c:v>
                  </c:pt>
                </c:lvl>
                <c:lvl>
                  <c:pt idx="0">
                    <c:v>Approved</c:v>
                  </c:pt>
                </c:lvl>
              </c:multiLvlStrCache>
            </c:multiLvlStrRef>
          </c:cat>
          <c:val>
            <c:numRef>
              <c:f>'Pivot table'!$B$122:$B$126</c:f>
              <c:numCache>
                <c:formatCode>General</c:formatCode>
                <c:ptCount val="3"/>
                <c:pt idx="0">
                  <c:v>20</c:v>
                </c:pt>
                <c:pt idx="1">
                  <c:v>452</c:v>
                </c:pt>
                <c:pt idx="2">
                  <c:v>114</c:v>
                </c:pt>
              </c:numCache>
            </c:numRef>
          </c:val>
          <c:extLst>
            <c:ext xmlns:c16="http://schemas.microsoft.com/office/drawing/2014/chart" uri="{C3380CC4-5D6E-409C-BE32-E72D297353CC}">
              <c16:uniqueId val="{00000010-9E87-4DBB-8D92-D2DC7061EE0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37304066653746"/>
          <c:y val="0.33905926232905098"/>
          <c:w val="0.23958206726036593"/>
          <c:h val="0.56237085669000508"/>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92D050"/>
              </a:solidFill>
              <a:latin typeface="Aptos Black"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solidFill>
                  <a:srgbClr val="92D050"/>
                </a:solidFill>
                <a:latin typeface="Aptos Black" panose="020B0004020202020204" pitchFamily="34" charset="0"/>
              </a:rPr>
              <a:t>Declined Transactions Are Also Mostly Low Risk — Decline Isn't Driven by Fraud Risk Alone</a:t>
            </a:r>
            <a:r>
              <a:rPr lang="en-US" b="1">
                <a:solidFill>
                  <a:srgbClr val="92D050"/>
                </a:solidFill>
                <a:latin typeface="Aptos Black" panose="020B0004020202020204" pitchFamily="34" charset="0"/>
              </a:rPr>
              <a:t> </a:t>
            </a:r>
          </a:p>
        </c:rich>
      </c:tx>
      <c:layout>
        <c:manualLayout>
          <c:xMode val="edge"/>
          <c:yMode val="edge"/>
          <c:x val="0.11416285199056733"/>
          <c:y val="6.35733682078667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dLbl>
          <c:idx val="0"/>
          <c:layout>
            <c:manualLayout>
              <c:x val="1.0481867045021369E-2"/>
              <c:y val="-1.80446648321208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25400">
            <a:solidFill>
              <a:schemeClr val="lt1"/>
            </a:solidFill>
          </a:ln>
          <a:effectLst/>
          <a:sp3d contourW="25400">
            <a:contourClr>
              <a:schemeClr val="lt1"/>
            </a:contourClr>
          </a:sp3d>
        </c:spPr>
        <c:dLbl>
          <c:idx val="0"/>
          <c:layout>
            <c:manualLayout>
              <c:x val="2.0210956776470358E-3"/>
              <c:y val="7.5525161430945701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w="25400">
            <a:solidFill>
              <a:schemeClr val="lt1"/>
            </a:solidFill>
          </a:ln>
          <a:effectLst/>
          <a:sp3d contourW="25400">
            <a:contourClr>
              <a:schemeClr val="lt1"/>
            </a:contourClr>
          </a:sp3d>
        </c:spPr>
        <c:dLbl>
          <c:idx val="0"/>
          <c:layout>
            <c:manualLayout>
              <c:x val="4.7163268137050907E-2"/>
              <c:y val="-6.0081918825890708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611735330836454"/>
                  <c:h val="0.10841983852364476"/>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847978740485154E-2"/>
          <c:y val="0.51375818507115678"/>
          <c:w val="0.54559490925057585"/>
          <c:h val="0.37049977749321128"/>
        </c:manualLayout>
      </c:layout>
      <c:pie3DChart>
        <c:varyColors val="1"/>
        <c:ser>
          <c:idx val="0"/>
          <c:order val="0"/>
          <c:tx>
            <c:strRef>
              <c:f>'Pivot table'!$B$136</c:f>
              <c:strCache>
                <c:ptCount val="1"/>
                <c:pt idx="0">
                  <c:v>Total</c:v>
                </c:pt>
              </c:strCache>
            </c:strRef>
          </c:tx>
          <c:dPt>
            <c:idx val="0"/>
            <c:bubble3D val="0"/>
            <c:spPr>
              <a:solidFill>
                <a:srgbClr val="7030A0"/>
              </a:solidFill>
              <a:ln w="25400">
                <a:solidFill>
                  <a:schemeClr val="lt1"/>
                </a:solidFill>
              </a:ln>
              <a:effectLst/>
              <a:sp3d contourW="25400">
                <a:contourClr>
                  <a:schemeClr val="lt1"/>
                </a:contourClr>
              </a:sp3d>
            </c:spPr>
            <c:extLst>
              <c:ext xmlns:c16="http://schemas.microsoft.com/office/drawing/2014/chart" uri="{C3380CC4-5D6E-409C-BE32-E72D297353CC}">
                <c16:uniqueId val="{00000003-F6C8-4B42-93B3-5D6DE3F78296}"/>
              </c:ext>
            </c:extLst>
          </c:dPt>
          <c:dPt>
            <c:idx val="1"/>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4-F6C8-4B42-93B3-5D6DE3F78296}"/>
              </c:ext>
            </c:extLst>
          </c:dPt>
          <c:dPt>
            <c:idx val="2"/>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2-F6C8-4B42-93B3-5D6DE3F78296}"/>
              </c:ext>
            </c:extLst>
          </c:dPt>
          <c:dLbls>
            <c:dLbl>
              <c:idx val="0"/>
              <c:layout>
                <c:manualLayout>
                  <c:x val="2.0210956776470358E-3"/>
                  <c:y val="7.5525161430945701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C8-4B42-93B3-5D6DE3F78296}"/>
                </c:ext>
              </c:extLst>
            </c:dLbl>
            <c:dLbl>
              <c:idx val="1"/>
              <c:layout>
                <c:manualLayout>
                  <c:x val="4.7163268137050907E-2"/>
                  <c:y val="-6.0081918825890708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611735330836454"/>
                      <c:h val="0.10841983852364476"/>
                    </c:manualLayout>
                  </c15:layout>
                </c:ext>
                <c:ext xmlns:c16="http://schemas.microsoft.com/office/drawing/2014/chart" uri="{C3380CC4-5D6E-409C-BE32-E72D297353CC}">
                  <c16:uniqueId val="{00000004-F6C8-4B42-93B3-5D6DE3F78296}"/>
                </c:ext>
              </c:extLst>
            </c:dLbl>
            <c:dLbl>
              <c:idx val="2"/>
              <c:layout>
                <c:manualLayout>
                  <c:x val="1.0481867045021369E-2"/>
                  <c:y val="-1.80446648321208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C8-4B42-93B3-5D6DE3F782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table'!$A$137:$A$141</c:f>
              <c:multiLvlStrCache>
                <c:ptCount val="3"/>
                <c:lvl>
                  <c:pt idx="0">
                    <c:v>High</c:v>
                  </c:pt>
                  <c:pt idx="1">
                    <c:v>Low</c:v>
                  </c:pt>
                  <c:pt idx="2">
                    <c:v>Medium</c:v>
                  </c:pt>
                </c:lvl>
                <c:lvl>
                  <c:pt idx="0">
                    <c:v>Declined</c:v>
                  </c:pt>
                </c:lvl>
              </c:multiLvlStrCache>
            </c:multiLvlStrRef>
          </c:cat>
          <c:val>
            <c:numRef>
              <c:f>'Pivot table'!$B$137:$B$141</c:f>
              <c:numCache>
                <c:formatCode>General</c:formatCode>
                <c:ptCount val="3"/>
                <c:pt idx="0">
                  <c:v>3</c:v>
                </c:pt>
                <c:pt idx="1">
                  <c:v>118</c:v>
                </c:pt>
                <c:pt idx="2">
                  <c:v>31</c:v>
                </c:pt>
              </c:numCache>
            </c:numRef>
          </c:val>
          <c:extLst>
            <c:ext xmlns:c16="http://schemas.microsoft.com/office/drawing/2014/chart" uri="{C3380CC4-5D6E-409C-BE32-E72D297353CC}">
              <c16:uniqueId val="{00000000-F6C8-4B42-93B3-5D6DE3F78296}"/>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8912940189592409"/>
          <c:y val="0.48749112243322523"/>
          <c:w val="0.29422473876158739"/>
          <c:h val="0.34921577709360724"/>
        </c:manualLayout>
      </c:layout>
      <c:overlay val="0"/>
      <c:spPr>
        <a:noFill/>
        <a:ln>
          <a:noFill/>
        </a:ln>
        <a:effectLst/>
      </c:spPr>
      <c:txPr>
        <a:bodyPr rot="0" spcFirstLastPara="1" vertOverflow="ellipsis" vert="horz" wrap="square" anchor="ctr" anchorCtr="1"/>
        <a:lstStyle/>
        <a:p>
          <a:pPr>
            <a:defRPr sz="1050" b="1" i="0" u="none" strike="noStrike" kern="1200" baseline="0">
              <a:solidFill>
                <a:srgbClr val="92D050"/>
              </a:solidFill>
              <a:latin typeface="Aptos Black"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table!PivotTable5</c:name>
    <c:fmtId val="0"/>
  </c:pivotSource>
  <c:chart>
    <c:title>
      <c:tx>
        <c:rich>
          <a:bodyPr rot="0" spcFirstLastPara="1" vertOverflow="ellipsis" vert="horz" wrap="square" anchor="ctr" anchorCtr="1"/>
          <a:lstStyle/>
          <a:p>
            <a:pPr>
              <a:defRPr sz="1400" b="0" i="0" u="none" strike="noStrike" kern="1200" spc="0" baseline="0">
                <a:solidFill>
                  <a:srgbClr val="92D050"/>
                </a:solidFill>
                <a:latin typeface="+mn-lt"/>
                <a:ea typeface="+mn-ea"/>
                <a:cs typeface="+mn-cs"/>
              </a:defRPr>
            </a:pPr>
            <a:r>
              <a:rPr lang="en-ZA" sz="1400" b="1" i="0" u="none" strike="noStrike" baseline="0">
                <a:solidFill>
                  <a:srgbClr val="92D050"/>
                </a:solidFill>
                <a:latin typeface="Aptos Black" panose="020B0004020202020204" pitchFamily="34" charset="0"/>
              </a:rPr>
              <a:t>Risk Levels Fluctuate Year to Year — No Clear Upward or Downward Trend (2025–2027</a:t>
            </a:r>
            <a:endParaRPr lang="en-ZA" b="1">
              <a:solidFill>
                <a:srgbClr val="92D050"/>
              </a:solidFill>
              <a:latin typeface="Aptos Black" panose="020B0004020202020204" pitchFamily="34" charset="0"/>
            </a:endParaRPr>
          </a:p>
        </c:rich>
      </c:tx>
      <c:layout>
        <c:manualLayout>
          <c:xMode val="edge"/>
          <c:yMode val="edge"/>
          <c:x val="9.6494570831707246E-2"/>
          <c:y val="3.598926865443760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92D050"/>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FF00"/>
            </a:solidFill>
            <a:round/>
          </a:ln>
          <a:effectLst/>
        </c:spPr>
        <c:marker>
          <c:symbol val="circle"/>
          <c:size val="5"/>
          <c:spPr>
            <a:solidFill>
              <a:schemeClr val="accent2"/>
            </a:solidFill>
            <a:ln w="9525">
              <a:solidFill>
                <a:srgbClr val="FF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circle"/>
          <c:size val="5"/>
          <c:spPr>
            <a:solidFill>
              <a:schemeClr val="accent3"/>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4657289558921"/>
          <c:y val="0.25013850415512467"/>
          <c:w val="0.70100166050672241"/>
          <c:h val="0.6658436393511753"/>
        </c:manualLayout>
      </c:layout>
      <c:lineChart>
        <c:grouping val="standard"/>
        <c:varyColors val="0"/>
        <c:ser>
          <c:idx val="0"/>
          <c:order val="0"/>
          <c:tx>
            <c:strRef>
              <c:f>'Pivot table'!$B$161:$B$162</c:f>
              <c:strCache>
                <c:ptCount val="1"/>
                <c:pt idx="0">
                  <c:v>High</c:v>
                </c:pt>
              </c:strCache>
            </c:strRef>
          </c:tx>
          <c:spPr>
            <a:ln w="28575"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cat>
            <c:strRef>
              <c:f>'Pivot table'!$A$163:$A$166</c:f>
              <c:strCache>
                <c:ptCount val="3"/>
                <c:pt idx="0">
                  <c:v>2025</c:v>
                </c:pt>
                <c:pt idx="1">
                  <c:v>2026</c:v>
                </c:pt>
                <c:pt idx="2">
                  <c:v>2027</c:v>
                </c:pt>
              </c:strCache>
            </c:strRef>
          </c:cat>
          <c:val>
            <c:numRef>
              <c:f>'Pivot table'!$B$163:$B$166</c:f>
              <c:numCache>
                <c:formatCode>0.00%</c:formatCode>
                <c:ptCount val="3"/>
                <c:pt idx="0">
                  <c:v>3.0952380952380953E-2</c:v>
                </c:pt>
                <c:pt idx="1">
                  <c:v>3.3582089552238806E-2</c:v>
                </c:pt>
                <c:pt idx="2">
                  <c:v>2.5000000000000001E-2</c:v>
                </c:pt>
              </c:numCache>
            </c:numRef>
          </c:val>
          <c:smooth val="0"/>
          <c:extLst>
            <c:ext xmlns:c16="http://schemas.microsoft.com/office/drawing/2014/chart" uri="{C3380CC4-5D6E-409C-BE32-E72D297353CC}">
              <c16:uniqueId val="{00000000-62E6-41E8-A06F-152978B7550E}"/>
            </c:ext>
          </c:extLst>
        </c:ser>
        <c:ser>
          <c:idx val="1"/>
          <c:order val="1"/>
          <c:tx>
            <c:strRef>
              <c:f>'Pivot table'!$C$161:$C$162</c:f>
              <c:strCache>
                <c:ptCount val="1"/>
                <c:pt idx="0">
                  <c:v>Low</c:v>
                </c:pt>
              </c:strCache>
            </c:strRef>
          </c:tx>
          <c:spPr>
            <a:ln w="28575" cap="rnd">
              <a:solidFill>
                <a:srgbClr val="FFFF00"/>
              </a:solidFill>
              <a:round/>
            </a:ln>
            <a:effectLst/>
          </c:spPr>
          <c:marker>
            <c:symbol val="circle"/>
            <c:size val="5"/>
            <c:spPr>
              <a:solidFill>
                <a:schemeClr val="accent2"/>
              </a:solidFill>
              <a:ln w="9525">
                <a:solidFill>
                  <a:srgbClr val="FFFF00"/>
                </a:solidFill>
              </a:ln>
              <a:effectLst/>
            </c:spPr>
          </c:marker>
          <c:cat>
            <c:strRef>
              <c:f>'Pivot table'!$A$163:$A$166</c:f>
              <c:strCache>
                <c:ptCount val="3"/>
                <c:pt idx="0">
                  <c:v>2025</c:v>
                </c:pt>
                <c:pt idx="1">
                  <c:v>2026</c:v>
                </c:pt>
                <c:pt idx="2">
                  <c:v>2027</c:v>
                </c:pt>
              </c:strCache>
            </c:strRef>
          </c:cat>
          <c:val>
            <c:numRef>
              <c:f>'Pivot table'!$C$163:$C$166</c:f>
              <c:numCache>
                <c:formatCode>0.00%</c:formatCode>
                <c:ptCount val="3"/>
                <c:pt idx="0">
                  <c:v>0.76190476190476186</c:v>
                </c:pt>
                <c:pt idx="1">
                  <c:v>0.80597014925373134</c:v>
                </c:pt>
                <c:pt idx="2">
                  <c:v>0.72499999999999998</c:v>
                </c:pt>
              </c:numCache>
            </c:numRef>
          </c:val>
          <c:smooth val="0"/>
          <c:extLst>
            <c:ext xmlns:c16="http://schemas.microsoft.com/office/drawing/2014/chart" uri="{C3380CC4-5D6E-409C-BE32-E72D297353CC}">
              <c16:uniqueId val="{00000004-62E6-41E8-A06F-152978B7550E}"/>
            </c:ext>
          </c:extLst>
        </c:ser>
        <c:ser>
          <c:idx val="2"/>
          <c:order val="2"/>
          <c:tx>
            <c:strRef>
              <c:f>'Pivot table'!$D$161:$D$162</c:f>
              <c:strCache>
                <c:ptCount val="1"/>
                <c:pt idx="0">
                  <c:v>Medium</c:v>
                </c:pt>
              </c:strCache>
            </c:strRef>
          </c:tx>
          <c:spPr>
            <a:ln w="28575" cap="rnd">
              <a:solidFill>
                <a:srgbClr val="92D050"/>
              </a:solidFill>
              <a:round/>
            </a:ln>
            <a:effectLst/>
          </c:spPr>
          <c:marker>
            <c:symbol val="circle"/>
            <c:size val="5"/>
            <c:spPr>
              <a:solidFill>
                <a:schemeClr val="accent3"/>
              </a:solidFill>
              <a:ln w="9525">
                <a:solidFill>
                  <a:srgbClr val="92D050"/>
                </a:solidFill>
              </a:ln>
              <a:effectLst/>
            </c:spPr>
          </c:marker>
          <c:cat>
            <c:strRef>
              <c:f>'Pivot table'!$A$163:$A$166</c:f>
              <c:strCache>
                <c:ptCount val="3"/>
                <c:pt idx="0">
                  <c:v>2025</c:v>
                </c:pt>
                <c:pt idx="1">
                  <c:v>2026</c:v>
                </c:pt>
                <c:pt idx="2">
                  <c:v>2027</c:v>
                </c:pt>
              </c:strCache>
            </c:strRef>
          </c:cat>
          <c:val>
            <c:numRef>
              <c:f>'Pivot table'!$D$163:$D$166</c:f>
              <c:numCache>
                <c:formatCode>0.00%</c:formatCode>
                <c:ptCount val="3"/>
                <c:pt idx="0">
                  <c:v>0.20714285714285716</c:v>
                </c:pt>
                <c:pt idx="1">
                  <c:v>0.16044776119402984</c:v>
                </c:pt>
                <c:pt idx="2">
                  <c:v>0.25</c:v>
                </c:pt>
              </c:numCache>
            </c:numRef>
          </c:val>
          <c:smooth val="0"/>
          <c:extLst>
            <c:ext xmlns:c16="http://schemas.microsoft.com/office/drawing/2014/chart" uri="{C3380CC4-5D6E-409C-BE32-E72D297353CC}">
              <c16:uniqueId val="{00000007-62E6-41E8-A06F-152978B7550E}"/>
            </c:ext>
          </c:extLst>
        </c:ser>
        <c:dLbls>
          <c:showLegendKey val="0"/>
          <c:showVal val="0"/>
          <c:showCatName val="0"/>
          <c:showSerName val="0"/>
          <c:showPercent val="0"/>
          <c:showBubbleSize val="0"/>
        </c:dLbls>
        <c:marker val="1"/>
        <c:smooth val="0"/>
        <c:axId val="1688921344"/>
        <c:axId val="1688917024"/>
      </c:lineChart>
      <c:catAx>
        <c:axId val="168892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2D050"/>
                </a:solidFill>
                <a:latin typeface="Aptos Black" panose="020B0004020202020204" pitchFamily="34" charset="0"/>
                <a:ea typeface="+mn-ea"/>
                <a:cs typeface="+mn-cs"/>
              </a:defRPr>
            </a:pPr>
            <a:endParaRPr lang="en-US"/>
          </a:p>
        </c:txPr>
        <c:crossAx val="1688917024"/>
        <c:crosses val="autoZero"/>
        <c:auto val="1"/>
        <c:lblAlgn val="ctr"/>
        <c:lblOffset val="100"/>
        <c:noMultiLvlLbl val="0"/>
      </c:catAx>
      <c:valAx>
        <c:axId val="1688917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2D050"/>
                </a:solidFill>
                <a:latin typeface="Aptos Black" panose="020B0004020202020204" pitchFamily="34" charset="0"/>
                <a:ea typeface="+mn-ea"/>
                <a:cs typeface="+mn-cs"/>
              </a:defRPr>
            </a:pPr>
            <a:endParaRPr lang="en-US"/>
          </a:p>
        </c:txPr>
        <c:crossAx val="168892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Aptos Black"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table!Value at risk by risk level</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rgbClr val="92D050"/>
                </a:solidFill>
                <a:latin typeface="Aptos Black" panose="020F0502020204030204" pitchFamily="34" charset="0"/>
              </a:rPr>
              <a:t>74.38%</a:t>
            </a:r>
            <a:r>
              <a:rPr lang="en-US" sz="1800" b="1" baseline="0">
                <a:solidFill>
                  <a:srgbClr val="92D050"/>
                </a:solidFill>
                <a:latin typeface="Aptos Black" panose="020F0502020204030204" pitchFamily="34" charset="0"/>
              </a:rPr>
              <a:t> of transactions were labled as low risk while 5.48% were high risk</a:t>
            </a:r>
            <a:endParaRPr lang="en-US" sz="1800" b="1">
              <a:solidFill>
                <a:srgbClr val="92D050"/>
              </a:solidFill>
              <a:latin typeface="Aptos Black" panose="020F050202020403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rgbClr val="00B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pivotFmt>
      <c:pivotFmt>
        <c:idx val="6"/>
        <c:spPr>
          <a:solidFill>
            <a:srgbClr val="00B050"/>
          </a:solidFill>
          <a:ln w="19050">
            <a:solidFill>
              <a:schemeClr val="lt1"/>
            </a:solidFill>
          </a:ln>
          <a:effectLst/>
        </c:spPr>
      </c:pivotFmt>
      <c:pivotFmt>
        <c:idx val="7"/>
        <c:spPr>
          <a:solidFill>
            <a:srgbClr val="FFFF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dLbl>
          <c:idx val="0"/>
          <c:layout>
            <c:manualLayout>
              <c:x val="-1.6164875542053689E-2"/>
              <c:y val="9.846618103582437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w="19050">
            <a:solidFill>
              <a:schemeClr val="lt1"/>
            </a:solidFill>
          </a:ln>
          <a:effectLst/>
        </c:spPr>
      </c:pivotFmt>
      <c:pivotFmt>
        <c:idx val="11"/>
        <c:spPr>
          <a:solidFill>
            <a:srgbClr val="FFFF00"/>
          </a:solidFill>
          <a:ln w="19050">
            <a:solidFill>
              <a:schemeClr val="lt1"/>
            </a:solidFill>
          </a:ln>
          <a:effectLst/>
        </c:spPr>
      </c:pivotFmt>
    </c:pivotFmts>
    <c:plotArea>
      <c:layout>
        <c:manualLayout>
          <c:layoutTarget val="inner"/>
          <c:xMode val="edge"/>
          <c:yMode val="edge"/>
          <c:x val="0.21421222401423728"/>
          <c:y val="0.19364779843626639"/>
          <c:w val="0.5728483947667744"/>
          <c:h val="0.80635220156373355"/>
        </c:manualLayout>
      </c:layout>
      <c:pieChart>
        <c:varyColors val="1"/>
        <c:ser>
          <c:idx val="0"/>
          <c:order val="0"/>
          <c:tx>
            <c:strRef>
              <c:f>'Pivot table'!$B$3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B-1AAB-4508-877A-DD97672837DD}"/>
              </c:ext>
            </c:extLst>
          </c:dPt>
          <c:dPt>
            <c:idx val="1"/>
            <c:bubble3D val="0"/>
            <c:spPr>
              <a:solidFill>
                <a:srgbClr val="00B0F0"/>
              </a:solidFill>
              <a:ln w="19050">
                <a:solidFill>
                  <a:schemeClr val="lt1"/>
                </a:solidFill>
              </a:ln>
              <a:effectLst/>
            </c:spPr>
          </c:dPt>
          <c:dPt>
            <c:idx val="2"/>
            <c:bubble3D val="0"/>
            <c:spPr>
              <a:solidFill>
                <a:srgbClr val="FFFF00"/>
              </a:solidFill>
              <a:ln w="19050">
                <a:solidFill>
                  <a:schemeClr val="lt1"/>
                </a:solidFill>
              </a:ln>
              <a:effectLst/>
            </c:spPr>
          </c:dPt>
          <c:dLbls>
            <c:dLbl>
              <c:idx val="0"/>
              <c:layout>
                <c:manualLayout>
                  <c:x val="-1.6164875542053689E-2"/>
                  <c:y val="9.84661810358243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AAB-4508-877A-DD97672837D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High</c:v>
                </c:pt>
                <c:pt idx="1">
                  <c:v>Low</c:v>
                </c:pt>
                <c:pt idx="2">
                  <c:v>Medium</c:v>
                </c:pt>
              </c:strCache>
            </c:strRef>
          </c:cat>
          <c:val>
            <c:numRef>
              <c:f>'Pivot table'!$B$4:$B$7</c:f>
              <c:numCache>
                <c:formatCode>0.00%</c:formatCode>
                <c:ptCount val="3"/>
                <c:pt idx="0">
                  <c:v>5.4836871004518811E-2</c:v>
                </c:pt>
                <c:pt idx="1">
                  <c:v>0.74377410262961985</c:v>
                </c:pt>
                <c:pt idx="2">
                  <c:v>0.20138902636586151</c:v>
                </c:pt>
              </c:numCache>
            </c:numRef>
          </c:val>
          <c:extLst>
            <c:ext xmlns:c16="http://schemas.microsoft.com/office/drawing/2014/chart" uri="{C3380CC4-5D6E-409C-BE32-E72D297353CC}">
              <c16:uniqueId val="{00000009-1AAB-4508-877A-DD97672837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rgbClr val="92D050"/>
              </a:solidFill>
              <a:latin typeface="Aptos Black"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table!Merchant with highest value</c:name>
    <c:fmtId val="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rgbClr val="92D050"/>
                </a:solidFill>
                <a:latin typeface="Aptos Black" panose="020B0004020202020204" pitchFamily="34" charset="0"/>
              </a:rPr>
              <a:t>Makro are</a:t>
            </a:r>
            <a:r>
              <a:rPr lang="en-US" sz="2000" b="1" baseline="0">
                <a:solidFill>
                  <a:srgbClr val="92D050"/>
                </a:solidFill>
                <a:latin typeface="Aptos Black" panose="020B0004020202020204" pitchFamily="34" charset="0"/>
              </a:rPr>
              <a:t> leading the leading top ten merchants with R165442.85 in Value(ZAR) </a:t>
            </a:r>
            <a:endParaRPr lang="en-US" sz="2000" b="1">
              <a:solidFill>
                <a:srgbClr val="92D050"/>
              </a:solidFill>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92D050"/>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6555350946556"/>
          <c:y val="0.19685869781307958"/>
          <c:w val="0.72450368811270238"/>
          <c:h val="0.70003787329098344"/>
        </c:manualLayout>
      </c:layout>
      <c:barChart>
        <c:barDir val="bar"/>
        <c:grouping val="clustered"/>
        <c:varyColors val="0"/>
        <c:ser>
          <c:idx val="0"/>
          <c:order val="0"/>
          <c:tx>
            <c:strRef>
              <c:f>'Pivot table'!$B$20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92D050"/>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table'!$A$21:$A$31</c:f>
              <c:strCache>
                <c:ptCount val="10"/>
                <c:pt idx="0">
                  <c:v>Mr Price</c:v>
                </c:pt>
                <c:pt idx="1">
                  <c:v>AliExpress</c:v>
                </c:pt>
                <c:pt idx="2">
                  <c:v>Amazon</c:v>
                </c:pt>
                <c:pt idx="3">
                  <c:v>South African Airways</c:v>
                </c:pt>
                <c:pt idx="4">
                  <c:v>Avis</c:v>
                </c:pt>
                <c:pt idx="5">
                  <c:v>Takealot</c:v>
                </c:pt>
                <c:pt idx="6">
                  <c:v>Superbalist</c:v>
                </c:pt>
                <c:pt idx="7">
                  <c:v>Game</c:v>
                </c:pt>
                <c:pt idx="8">
                  <c:v>Incredible Connection</c:v>
                </c:pt>
                <c:pt idx="9">
                  <c:v>Makro</c:v>
                </c:pt>
              </c:strCache>
            </c:strRef>
          </c:cat>
          <c:val>
            <c:numRef>
              <c:f>'Pivot table'!$B$21:$B$31</c:f>
              <c:numCache>
                <c:formatCode>"R"#\ ##0.00</c:formatCode>
                <c:ptCount val="10"/>
                <c:pt idx="0">
                  <c:v>32706.739999999998</c:v>
                </c:pt>
                <c:pt idx="1">
                  <c:v>50150.239999999991</c:v>
                </c:pt>
                <c:pt idx="2">
                  <c:v>51045.84</c:v>
                </c:pt>
                <c:pt idx="3">
                  <c:v>56473.39</c:v>
                </c:pt>
                <c:pt idx="4">
                  <c:v>61370.990000000005</c:v>
                </c:pt>
                <c:pt idx="5">
                  <c:v>63237.409999999996</c:v>
                </c:pt>
                <c:pt idx="6">
                  <c:v>71098.03</c:v>
                </c:pt>
                <c:pt idx="7">
                  <c:v>106375.51000000002</c:v>
                </c:pt>
                <c:pt idx="8">
                  <c:v>161299.09999999998</c:v>
                </c:pt>
                <c:pt idx="9">
                  <c:v>165442.85000000006</c:v>
                </c:pt>
              </c:numCache>
            </c:numRef>
          </c:val>
          <c:extLst>
            <c:ext xmlns:c16="http://schemas.microsoft.com/office/drawing/2014/chart" uri="{C3380CC4-5D6E-409C-BE32-E72D297353CC}">
              <c16:uniqueId val="{00000001-8B5F-4DCA-A4B2-C760F8AB9893}"/>
            </c:ext>
          </c:extLst>
        </c:ser>
        <c:dLbls>
          <c:showLegendKey val="0"/>
          <c:showVal val="0"/>
          <c:showCatName val="0"/>
          <c:showSerName val="0"/>
          <c:showPercent val="0"/>
          <c:showBubbleSize val="0"/>
        </c:dLbls>
        <c:gapWidth val="182"/>
        <c:axId val="1269117951"/>
        <c:axId val="1269118911"/>
      </c:barChart>
      <c:catAx>
        <c:axId val="126911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92D050"/>
                </a:solidFill>
                <a:latin typeface="Aptos Black" panose="020B0004020202020204" pitchFamily="34" charset="0"/>
                <a:ea typeface="+mn-ea"/>
                <a:cs typeface="+mn-cs"/>
              </a:defRPr>
            </a:pPr>
            <a:endParaRPr lang="en-US"/>
          </a:p>
        </c:txPr>
        <c:crossAx val="1269118911"/>
        <c:crosses val="autoZero"/>
        <c:auto val="1"/>
        <c:lblAlgn val="ctr"/>
        <c:lblOffset val="100"/>
        <c:noMultiLvlLbl val="0"/>
      </c:catAx>
      <c:valAx>
        <c:axId val="1269118911"/>
        <c:scaling>
          <c:orientation val="minMax"/>
        </c:scaling>
        <c:delete val="0"/>
        <c:axPos val="b"/>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92D050"/>
                </a:solidFill>
                <a:latin typeface="Aptos Black" panose="020B0004020202020204" pitchFamily="34" charset="0"/>
                <a:ea typeface="+mn-ea"/>
                <a:cs typeface="+mn-cs"/>
              </a:defRPr>
            </a:pPr>
            <a:endParaRPr lang="en-US"/>
          </a:p>
        </c:txPr>
        <c:crossAx val="126911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table!Average risk score by Bank</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ZA" sz="1600" b="1" i="0" u="none" strike="noStrike" baseline="0">
                <a:solidFill>
                  <a:srgbClr val="92D050"/>
                </a:solidFill>
                <a:latin typeface="Aptos Black" panose="020B0004020202020204" pitchFamily="34" charset="0"/>
              </a:rPr>
              <a:t>Risk Doesn't Scale with Volume: Nedbank Outranks Capitec Despite Fewer Transactions</a:t>
            </a:r>
            <a:endParaRPr lang="en-ZA" sz="1600" b="1">
              <a:solidFill>
                <a:srgbClr val="92D050"/>
              </a:solidFill>
              <a:latin typeface="Aptos Black" panose="020B0004020202020204" pitchFamily="34" charset="0"/>
            </a:endParaRPr>
          </a:p>
        </c:rich>
      </c:tx>
      <c:layout>
        <c:manualLayout>
          <c:xMode val="edge"/>
          <c:yMode val="edge"/>
          <c:x val="9.6120480150709106E-2"/>
          <c:y val="4.06459609215514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92D050"/>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92D050"/>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table'!$A$44:$A$49</c:f>
              <c:strCache>
                <c:ptCount val="5"/>
                <c:pt idx="0">
                  <c:v>Nedbank</c:v>
                </c:pt>
                <c:pt idx="1">
                  <c:v>Capitec</c:v>
                </c:pt>
                <c:pt idx="2">
                  <c:v>Standard Bank</c:v>
                </c:pt>
                <c:pt idx="3">
                  <c:v>ABSA</c:v>
                </c:pt>
                <c:pt idx="4">
                  <c:v>FNB</c:v>
                </c:pt>
              </c:strCache>
            </c:strRef>
          </c:cat>
          <c:val>
            <c:numRef>
              <c:f>'Pivot table'!$B$44:$B$49</c:f>
              <c:numCache>
                <c:formatCode>#,##0.00</c:formatCode>
                <c:ptCount val="5"/>
                <c:pt idx="0">
                  <c:v>1.1095890410958904</c:v>
                </c:pt>
                <c:pt idx="1">
                  <c:v>0.96226415094339623</c:v>
                </c:pt>
                <c:pt idx="2">
                  <c:v>0.95270270270270274</c:v>
                </c:pt>
                <c:pt idx="3">
                  <c:v>0.92405063291139244</c:v>
                </c:pt>
                <c:pt idx="4">
                  <c:v>0.87581699346405228</c:v>
                </c:pt>
              </c:numCache>
            </c:numRef>
          </c:val>
          <c:extLst>
            <c:ext xmlns:c16="http://schemas.microsoft.com/office/drawing/2014/chart" uri="{C3380CC4-5D6E-409C-BE32-E72D297353CC}">
              <c16:uniqueId val="{00000000-7D39-44D7-8706-2D651EDB6823}"/>
            </c:ext>
          </c:extLst>
        </c:ser>
        <c:dLbls>
          <c:dLblPos val="outEnd"/>
          <c:showLegendKey val="0"/>
          <c:showVal val="1"/>
          <c:showCatName val="0"/>
          <c:showSerName val="0"/>
          <c:showPercent val="0"/>
          <c:showBubbleSize val="0"/>
        </c:dLbls>
        <c:gapWidth val="182"/>
        <c:axId val="1232579823"/>
        <c:axId val="1232580303"/>
      </c:barChart>
      <c:catAx>
        <c:axId val="123257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92D050"/>
                </a:solidFill>
                <a:latin typeface="Aptos Black" panose="020B0004020202020204" pitchFamily="34" charset="0"/>
                <a:ea typeface="+mn-ea"/>
                <a:cs typeface="+mn-cs"/>
              </a:defRPr>
            </a:pPr>
            <a:endParaRPr lang="en-US"/>
          </a:p>
        </c:txPr>
        <c:crossAx val="1232580303"/>
        <c:crosses val="autoZero"/>
        <c:auto val="1"/>
        <c:lblAlgn val="ctr"/>
        <c:lblOffset val="100"/>
        <c:noMultiLvlLbl val="0"/>
      </c:catAx>
      <c:valAx>
        <c:axId val="123258030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23257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ZA" sz="1800" b="1" i="0" u="none" strike="noStrike" baseline="0">
                <a:solidFill>
                  <a:srgbClr val="92D050"/>
                </a:solidFill>
                <a:latin typeface="Aptos Black" panose="020B0004020202020204" pitchFamily="34" charset="0"/>
              </a:rPr>
              <a:t>Restaurant Leads in Total Transactions, But Not Per-Transaction Risk</a:t>
            </a:r>
            <a:endParaRPr lang="en-ZA" sz="1800" b="1">
              <a:solidFill>
                <a:srgbClr val="92D050"/>
              </a:solidFill>
              <a:latin typeface="Aptos Black" panose="020B0004020202020204" pitchFamily="34" charset="0"/>
            </a:endParaRPr>
          </a:p>
        </c:rich>
      </c:tx>
      <c:layout>
        <c:manualLayout>
          <c:xMode val="edge"/>
          <c:yMode val="edge"/>
          <c:x val="0.11840210935732159"/>
          <c:y val="0"/>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manualLayout>
          <c:layoutTarget val="inner"/>
          <c:xMode val="edge"/>
          <c:yMode val="edge"/>
          <c:x val="0.10459883650277788"/>
          <c:y val="0.15228269897329352"/>
          <c:w val="0.83006971067392088"/>
          <c:h val="0.4678459990760398"/>
        </c:manualLayout>
      </c:layout>
      <c:barChart>
        <c:barDir val="col"/>
        <c:grouping val="clustered"/>
        <c:varyColors val="0"/>
        <c:ser>
          <c:idx val="0"/>
          <c:order val="0"/>
          <c:tx>
            <c:strRef>
              <c:f>'Pivot table'!$F$63</c:f>
              <c:strCache>
                <c:ptCount val="1"/>
                <c:pt idx="0">
                  <c:v>Average of Risk_Score</c:v>
                </c:pt>
              </c:strCache>
            </c:strRef>
          </c:tx>
          <c:spPr>
            <a:solidFill>
              <a:schemeClr val="accent6">
                <a:lumMod val="75000"/>
              </a:schemeClr>
            </a:solidFill>
            <a:ln>
              <a:noFill/>
            </a:ln>
            <a:effectLst/>
          </c:spPr>
          <c:invertIfNegative val="0"/>
          <c:cat>
            <c:strRef>
              <c:f>'Pivot table'!$E$64:$E$75</c:f>
              <c:strCache>
                <c:ptCount val="12"/>
                <c:pt idx="0">
                  <c:v>ATM Withdrawal</c:v>
                </c:pt>
                <c:pt idx="1">
                  <c:v>Clothing</c:v>
                </c:pt>
                <c:pt idx="2">
                  <c:v>Electronics</c:v>
                </c:pt>
                <c:pt idx="3">
                  <c:v>Fuel</c:v>
                </c:pt>
                <c:pt idx="4">
                  <c:v>Gambling</c:v>
                </c:pt>
                <c:pt idx="5">
                  <c:v>Grocery</c:v>
                </c:pt>
                <c:pt idx="6">
                  <c:v>Online Retail</c:v>
                </c:pt>
                <c:pt idx="7">
                  <c:v>Pharmacy</c:v>
                </c:pt>
                <c:pt idx="8">
                  <c:v>Restaurant</c:v>
                </c:pt>
                <c:pt idx="9">
                  <c:v>Subscription Services</c:v>
                </c:pt>
                <c:pt idx="10">
                  <c:v>Travel</c:v>
                </c:pt>
                <c:pt idx="11">
                  <c:v>Utilities</c:v>
                </c:pt>
              </c:strCache>
            </c:strRef>
          </c:cat>
          <c:val>
            <c:numRef>
              <c:f>'Pivot table'!$F$64:$F$75</c:f>
              <c:numCache>
                <c:formatCode>0.00</c:formatCode>
                <c:ptCount val="12"/>
                <c:pt idx="0">
                  <c:v>0.79629629629629628</c:v>
                </c:pt>
                <c:pt idx="1">
                  <c:v>1.0588235294117647</c:v>
                </c:pt>
                <c:pt idx="2">
                  <c:v>1.1489361702127661</c:v>
                </c:pt>
                <c:pt idx="3">
                  <c:v>0.86250000000000004</c:v>
                </c:pt>
                <c:pt idx="4">
                  <c:v>0.84</c:v>
                </c:pt>
                <c:pt idx="5">
                  <c:v>1</c:v>
                </c:pt>
                <c:pt idx="6">
                  <c:v>1</c:v>
                </c:pt>
                <c:pt idx="7">
                  <c:v>0.83333333333333337</c:v>
                </c:pt>
                <c:pt idx="8">
                  <c:v>0.97368421052631582</c:v>
                </c:pt>
                <c:pt idx="9">
                  <c:v>0.94339622641509435</c:v>
                </c:pt>
                <c:pt idx="10">
                  <c:v>1</c:v>
                </c:pt>
                <c:pt idx="11">
                  <c:v>1.0888888888888888</c:v>
                </c:pt>
              </c:numCache>
            </c:numRef>
          </c:val>
          <c:extLst>
            <c:ext xmlns:c16="http://schemas.microsoft.com/office/drawing/2014/chart" uri="{C3380CC4-5D6E-409C-BE32-E72D297353CC}">
              <c16:uniqueId val="{00000000-3277-4B88-87BF-039856548F0E}"/>
            </c:ext>
          </c:extLst>
        </c:ser>
        <c:dLbls>
          <c:showLegendKey val="0"/>
          <c:showVal val="0"/>
          <c:showCatName val="0"/>
          <c:showSerName val="0"/>
          <c:showPercent val="0"/>
          <c:showBubbleSize val="0"/>
        </c:dLbls>
        <c:gapWidth val="219"/>
        <c:overlap val="-27"/>
        <c:axId val="389794751"/>
        <c:axId val="389789471"/>
      </c:barChart>
      <c:lineChart>
        <c:grouping val="standard"/>
        <c:varyColors val="0"/>
        <c:ser>
          <c:idx val="1"/>
          <c:order val="1"/>
          <c:tx>
            <c:strRef>
              <c:f>'Pivot table'!$G$63</c:f>
              <c:strCache>
                <c:ptCount val="1"/>
                <c:pt idx="0">
                  <c:v>Count of Txn ID</c:v>
                </c:pt>
              </c:strCache>
            </c:strRef>
          </c:tx>
          <c:spPr>
            <a:ln w="28575" cap="rnd">
              <a:solidFill>
                <a:srgbClr val="FFFF00"/>
              </a:solidFill>
              <a:round/>
            </a:ln>
            <a:effectLst/>
          </c:spPr>
          <c:marker>
            <c:symbol val="none"/>
          </c:marker>
          <c:cat>
            <c:strRef>
              <c:f>'Pivot table'!$E$64:$E$75</c:f>
              <c:strCache>
                <c:ptCount val="12"/>
                <c:pt idx="0">
                  <c:v>ATM Withdrawal</c:v>
                </c:pt>
                <c:pt idx="1">
                  <c:v>Clothing</c:v>
                </c:pt>
                <c:pt idx="2">
                  <c:v>Electronics</c:v>
                </c:pt>
                <c:pt idx="3">
                  <c:v>Fuel</c:v>
                </c:pt>
                <c:pt idx="4">
                  <c:v>Gambling</c:v>
                </c:pt>
                <c:pt idx="5">
                  <c:v>Grocery</c:v>
                </c:pt>
                <c:pt idx="6">
                  <c:v>Online Retail</c:v>
                </c:pt>
                <c:pt idx="7">
                  <c:v>Pharmacy</c:v>
                </c:pt>
                <c:pt idx="8">
                  <c:v>Restaurant</c:v>
                </c:pt>
                <c:pt idx="9">
                  <c:v>Subscription Services</c:v>
                </c:pt>
                <c:pt idx="10">
                  <c:v>Travel</c:v>
                </c:pt>
                <c:pt idx="11">
                  <c:v>Utilities</c:v>
                </c:pt>
              </c:strCache>
            </c:strRef>
          </c:cat>
          <c:val>
            <c:numRef>
              <c:f>'Pivot table'!$G$64:$G$75</c:f>
              <c:numCache>
                <c:formatCode>General</c:formatCode>
                <c:ptCount val="12"/>
                <c:pt idx="0">
                  <c:v>54</c:v>
                </c:pt>
                <c:pt idx="1">
                  <c:v>51</c:v>
                </c:pt>
                <c:pt idx="2">
                  <c:v>47</c:v>
                </c:pt>
                <c:pt idx="3">
                  <c:v>80</c:v>
                </c:pt>
                <c:pt idx="4">
                  <c:v>25</c:v>
                </c:pt>
                <c:pt idx="5">
                  <c:v>107</c:v>
                </c:pt>
                <c:pt idx="6">
                  <c:v>96</c:v>
                </c:pt>
                <c:pt idx="7">
                  <c:v>36</c:v>
                </c:pt>
                <c:pt idx="8">
                  <c:v>114</c:v>
                </c:pt>
                <c:pt idx="9">
                  <c:v>53</c:v>
                </c:pt>
                <c:pt idx="10">
                  <c:v>30</c:v>
                </c:pt>
                <c:pt idx="11">
                  <c:v>45</c:v>
                </c:pt>
              </c:numCache>
            </c:numRef>
          </c:val>
          <c:smooth val="0"/>
          <c:extLst>
            <c:ext xmlns:c16="http://schemas.microsoft.com/office/drawing/2014/chart" uri="{C3380CC4-5D6E-409C-BE32-E72D297353CC}">
              <c16:uniqueId val="{00000001-3277-4B88-87BF-039856548F0E}"/>
            </c:ext>
          </c:extLst>
        </c:ser>
        <c:dLbls>
          <c:showLegendKey val="0"/>
          <c:showVal val="0"/>
          <c:showCatName val="0"/>
          <c:showSerName val="0"/>
          <c:showPercent val="0"/>
          <c:showBubbleSize val="0"/>
        </c:dLbls>
        <c:marker val="1"/>
        <c:smooth val="0"/>
        <c:axId val="389800511"/>
        <c:axId val="389797631"/>
      </c:lineChart>
      <c:catAx>
        <c:axId val="38979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92D050"/>
                </a:solidFill>
                <a:latin typeface="Aptos Black" panose="020B0004020202020204" pitchFamily="34" charset="0"/>
                <a:ea typeface="+mn-ea"/>
                <a:cs typeface="+mn-cs"/>
              </a:defRPr>
            </a:pPr>
            <a:endParaRPr lang="en-US"/>
          </a:p>
        </c:txPr>
        <c:crossAx val="389789471"/>
        <c:crosses val="autoZero"/>
        <c:auto val="1"/>
        <c:lblAlgn val="ctr"/>
        <c:lblOffset val="100"/>
        <c:noMultiLvlLbl val="0"/>
      </c:catAx>
      <c:valAx>
        <c:axId val="389789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92D050"/>
                </a:solidFill>
                <a:latin typeface="Aptos Black" panose="020B0004020202020204" pitchFamily="34" charset="0"/>
                <a:ea typeface="+mn-ea"/>
                <a:cs typeface="+mn-cs"/>
              </a:defRPr>
            </a:pPr>
            <a:endParaRPr lang="en-US"/>
          </a:p>
        </c:txPr>
        <c:crossAx val="389794751"/>
        <c:crosses val="autoZero"/>
        <c:crossBetween val="between"/>
      </c:valAx>
      <c:valAx>
        <c:axId val="389797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92D050"/>
                </a:solidFill>
                <a:latin typeface="Aptos Black" panose="020B0004020202020204" pitchFamily="34" charset="0"/>
                <a:ea typeface="+mn-ea"/>
                <a:cs typeface="+mn-cs"/>
              </a:defRPr>
            </a:pPr>
            <a:endParaRPr lang="en-US"/>
          </a:p>
        </c:txPr>
        <c:crossAx val="389800511"/>
        <c:crosses val="max"/>
        <c:crossBetween val="between"/>
      </c:valAx>
      <c:catAx>
        <c:axId val="389800511"/>
        <c:scaling>
          <c:orientation val="minMax"/>
        </c:scaling>
        <c:delete val="1"/>
        <c:axPos val="b"/>
        <c:numFmt formatCode="General" sourceLinked="1"/>
        <c:majorTickMark val="out"/>
        <c:minorTickMark val="none"/>
        <c:tickLblPos val="nextTo"/>
        <c:crossAx val="3897976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rgbClr val="92D050"/>
              </a:solidFill>
              <a:latin typeface="Aptos Black"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table!PivotTable9</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ZA" sz="1800" b="0" i="0" u="none" strike="noStrike" baseline="0">
                <a:solidFill>
                  <a:srgbClr val="92D050"/>
                </a:solidFill>
                <a:latin typeface="Aptos Black" panose="020B0004020202020204" pitchFamily="34" charset="0"/>
              </a:rPr>
              <a:t>Card-Not-Present Channels (CNP, Online) Drive Higher Risk Than Physical Transaction</a:t>
            </a:r>
            <a:endParaRPr lang="en-US" sz="1800">
              <a:solidFill>
                <a:srgbClr val="92D050"/>
              </a:solidFill>
              <a:latin typeface="Aptos Black" panose="020B0004020202020204" pitchFamily="34" charset="0"/>
            </a:endParaRPr>
          </a:p>
        </c:rich>
      </c:tx>
      <c:layout>
        <c:manualLayout>
          <c:xMode val="edge"/>
          <c:yMode val="edge"/>
          <c:x val="0.17049572168663796"/>
          <c:y val="2.057613168724279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table'!$B$83</c:f>
              <c:strCache>
                <c:ptCount val="1"/>
                <c:pt idx="0">
                  <c:v>Total</c:v>
                </c:pt>
              </c:strCache>
            </c:strRef>
          </c:tx>
          <c:spPr>
            <a:solidFill>
              <a:schemeClr val="accent6">
                <a:lumMod val="75000"/>
              </a:schemeClr>
            </a:solidFill>
            <a:ln>
              <a:noFill/>
            </a:ln>
            <a:effectLst/>
          </c:spPr>
          <c:invertIfNegative val="0"/>
          <c:cat>
            <c:strRef>
              <c:f>'Pivot table'!$A$84:$A$88</c:f>
              <c:strCache>
                <c:ptCount val="4"/>
                <c:pt idx="0">
                  <c:v>Card Not Present (Phone)</c:v>
                </c:pt>
                <c:pt idx="1">
                  <c:v>Card Present</c:v>
                </c:pt>
                <c:pt idx="2">
                  <c:v>Contactless</c:v>
                </c:pt>
                <c:pt idx="3">
                  <c:v>Online</c:v>
                </c:pt>
              </c:strCache>
            </c:strRef>
          </c:cat>
          <c:val>
            <c:numRef>
              <c:f>'Pivot table'!$B$84:$B$88</c:f>
              <c:numCache>
                <c:formatCode>General</c:formatCode>
                <c:ptCount val="4"/>
                <c:pt idx="0">
                  <c:v>266</c:v>
                </c:pt>
                <c:pt idx="1">
                  <c:v>85</c:v>
                </c:pt>
                <c:pt idx="2">
                  <c:v>82</c:v>
                </c:pt>
                <c:pt idx="3">
                  <c:v>281</c:v>
                </c:pt>
              </c:numCache>
            </c:numRef>
          </c:val>
          <c:extLst>
            <c:ext xmlns:c16="http://schemas.microsoft.com/office/drawing/2014/chart" uri="{C3380CC4-5D6E-409C-BE32-E72D297353CC}">
              <c16:uniqueId val="{00000003-C33D-49EC-A712-1162BDBF1B00}"/>
            </c:ext>
          </c:extLst>
        </c:ser>
        <c:dLbls>
          <c:showLegendKey val="0"/>
          <c:showVal val="0"/>
          <c:showCatName val="0"/>
          <c:showSerName val="0"/>
          <c:showPercent val="0"/>
          <c:showBubbleSize val="0"/>
        </c:dLbls>
        <c:gapWidth val="150"/>
        <c:overlap val="100"/>
        <c:axId val="442589391"/>
        <c:axId val="371333183"/>
      </c:barChart>
      <c:catAx>
        <c:axId val="44258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92D050"/>
                </a:solidFill>
                <a:latin typeface="Aptos Black" panose="020B0004020202020204" pitchFamily="34" charset="0"/>
                <a:ea typeface="+mn-ea"/>
                <a:cs typeface="+mn-cs"/>
              </a:defRPr>
            </a:pPr>
            <a:endParaRPr lang="en-US"/>
          </a:p>
        </c:txPr>
        <c:crossAx val="371333183"/>
        <c:crosses val="autoZero"/>
        <c:auto val="1"/>
        <c:lblAlgn val="ctr"/>
        <c:lblOffset val="100"/>
        <c:noMultiLvlLbl val="0"/>
      </c:catAx>
      <c:valAx>
        <c:axId val="37133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92D050"/>
                </a:solidFill>
                <a:latin typeface="Aptos Black" panose="020B0004020202020204" pitchFamily="34" charset="0"/>
                <a:ea typeface="+mn-ea"/>
                <a:cs typeface="+mn-cs"/>
              </a:defRPr>
            </a:pPr>
            <a:endParaRPr lang="en-US"/>
          </a:p>
        </c:txPr>
        <c:crossAx val="44258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table!PivotTable1</c:name>
    <c:fmtId val="1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solidFill>
                  <a:srgbClr val="92D050"/>
                </a:solidFill>
                <a:latin typeface="Aptos Black" panose="020B0004020202020204" pitchFamily="34" charset="0"/>
              </a:rPr>
              <a:t>Approved transactions are Overwhelmingly low risk</a:t>
            </a:r>
          </a:p>
          <a:p>
            <a:pPr>
              <a:defRPr sz="1600"/>
            </a:pPr>
            <a:endParaRPr lang="en-US" sz="1600"/>
          </a:p>
        </c:rich>
      </c:tx>
      <c:layout>
        <c:manualLayout>
          <c:xMode val="edge"/>
          <c:yMode val="edge"/>
          <c:x val="0.13111533774173098"/>
          <c:y val="3.591656306119630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w="19050">
            <a:solidFill>
              <a:schemeClr val="lt1"/>
            </a:solidFill>
          </a:ln>
          <a:effectLst/>
        </c:spPr>
        <c:dLbl>
          <c:idx val="0"/>
          <c:layout>
            <c:manualLayout>
              <c:x val="-8.9000139062717282E-2"/>
              <c:y val="2.308402585410887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w="19050">
            <a:solidFill>
              <a:schemeClr val="lt1"/>
            </a:solidFill>
          </a:ln>
          <a:effectLst/>
        </c:spPr>
        <c:dLbl>
          <c:idx val="0"/>
          <c:layout>
            <c:manualLayout>
              <c:x val="-0.15018773466833543"/>
              <c:y val="-6.0018467220683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dLbl>
          <c:idx val="0"/>
          <c:layout>
            <c:manualLayout>
              <c:x val="-0.10012515644555697"/>
              <c:y val="1.385059727644839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07117054673546"/>
                  <c:h val="8.3033422761213005E-2"/>
                </c:manualLayout>
              </c15:layout>
            </c:ext>
          </c:extLst>
        </c:dLbl>
      </c:pivotFmt>
      <c:pivotFmt>
        <c:idx val="5"/>
        <c:dLbl>
          <c:idx val="0"/>
          <c:layout>
            <c:manualLayout>
              <c:x val="-0.11681268251981644"/>
              <c:y val="1.385041551246545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225003476567932E-2"/>
              <c:y val="0.2031394275161588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0290641079126686"/>
              <c:y val="-9.695290858725763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dLbl>
          <c:idx val="0"/>
          <c:layout>
            <c:manualLayout>
              <c:x val="0.14184397163120568"/>
              <c:y val="-9.69529085872576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0846891948268669"/>
              <c:y val="-7.38687009691655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946014101178533E-2"/>
                  <c:h val="0.14766869515271808"/>
                </c:manualLayout>
              </c15:layout>
            </c:ext>
          </c:extLst>
        </c:dLbl>
      </c:pivotFmt>
      <c:pivotFmt>
        <c:idx val="11"/>
        <c:spPr>
          <a:solidFill>
            <a:srgbClr val="FFFF00"/>
          </a:solidFill>
          <a:ln w="19050">
            <a:solidFill>
              <a:schemeClr val="lt1"/>
            </a:solidFill>
          </a:ln>
          <a:effectLst/>
        </c:spPr>
        <c:dLbl>
          <c:idx val="0"/>
          <c:layout>
            <c:manualLayout>
              <c:x val="-0.11403142817410655"/>
              <c:y val="-4.616805170821875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731619905459252"/>
                  <c:h val="5.0715786565460483E-2"/>
                </c:manualLayout>
              </c15:layout>
            </c:ext>
          </c:extLst>
        </c:dLbl>
      </c:pivotFmt>
      <c:pivotFmt>
        <c:idx val="12"/>
        <c:dLbl>
          <c:idx val="0"/>
          <c:layout>
            <c:manualLayout>
              <c:x val="-0.1446252259769156"/>
              <c:y val="-4.61680517082179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w="19050">
            <a:solidFill>
              <a:schemeClr val="lt1"/>
            </a:solidFill>
          </a:ln>
          <a:effectLst/>
        </c:spPr>
        <c:dLbl>
          <c:idx val="0"/>
          <c:layout>
            <c:manualLayout>
              <c:x val="-6.3968849951328052E-2"/>
              <c:y val="9.23361034164357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w="19050">
            <a:solidFill>
              <a:schemeClr val="lt1"/>
            </a:solidFill>
          </a:ln>
          <a:effectLst/>
        </c:spPr>
        <c:dLbl>
          <c:idx val="0"/>
          <c:layout>
            <c:manualLayout>
              <c:x val="2.7812543457099048E-2"/>
              <c:y val="0.12003693444136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w="19050">
            <a:solidFill>
              <a:schemeClr val="lt1"/>
            </a:solidFill>
          </a:ln>
          <a:effectLst/>
        </c:spPr>
      </c:pivotFmt>
      <c:pivotFmt>
        <c:idx val="17"/>
        <c:spPr>
          <a:solidFill>
            <a:srgbClr val="92D050"/>
          </a:solidFill>
          <a:ln w="19050">
            <a:solidFill>
              <a:schemeClr val="lt1"/>
            </a:solidFill>
          </a:ln>
          <a:effectLst/>
        </c:spPr>
      </c:pivotFmt>
      <c:pivotFmt>
        <c:idx val="18"/>
        <c:spPr>
          <a:solidFill>
            <a:schemeClr val="tx2">
              <a:lumMod val="60000"/>
              <a:lumOff val="40000"/>
            </a:schemeClr>
          </a:solidFill>
          <a:ln w="19050">
            <a:solidFill>
              <a:schemeClr val="lt1"/>
            </a:solidFill>
          </a:ln>
          <a:effectLst/>
        </c:spPr>
      </c:pivotFmt>
      <c:pivotFmt>
        <c:idx val="19"/>
        <c:spPr>
          <a:solidFill>
            <a:srgbClr val="FFC000"/>
          </a:solidFill>
          <a:ln w="19050">
            <a:solidFill>
              <a:schemeClr val="lt1"/>
            </a:solidFill>
          </a:ln>
          <a:effectLst/>
        </c:spPr>
        <c:dLbl>
          <c:idx val="0"/>
          <c:layout>
            <c:manualLayout>
              <c:x val="-9.7343902099847029E-2"/>
              <c:y val="-6.0018467220683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w="19050">
            <a:solidFill>
              <a:schemeClr val="lt1"/>
            </a:solidFill>
          </a:ln>
          <a:effectLst/>
        </c:spPr>
        <c:dLbl>
          <c:idx val="0"/>
          <c:layout>
            <c:manualLayout>
              <c:x val="0.1084689194826866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30A0"/>
          </a:solidFill>
          <a:ln w="19050">
            <a:solidFill>
              <a:schemeClr val="lt1"/>
            </a:solidFill>
          </a:ln>
          <a:effectLst/>
        </c:spPr>
        <c:dLbl>
          <c:idx val="0"/>
          <c:layout>
            <c:manualLayout>
              <c:x val="9.4562647754137114E-2"/>
              <c:y val="-6.001846722068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7030A0"/>
          </a:solidFill>
          <a:ln w="19050">
            <a:solidFill>
              <a:schemeClr val="lt1"/>
            </a:solidFill>
          </a:ln>
          <a:effectLst/>
        </c:spPr>
        <c:dLbl>
          <c:idx val="0"/>
          <c:layout>
            <c:manualLayout>
              <c:x val="9.4562647754137114E-2"/>
              <c:y val="-6.001846722068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w="19050">
            <a:solidFill>
              <a:schemeClr val="lt1"/>
            </a:solidFill>
          </a:ln>
          <a:effectLst/>
        </c:spPr>
        <c:dLbl>
          <c:idx val="0"/>
          <c:layout>
            <c:manualLayout>
              <c:x val="0.1084689194826866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000"/>
          </a:solidFill>
          <a:ln w="19050">
            <a:solidFill>
              <a:schemeClr val="lt1"/>
            </a:solidFill>
          </a:ln>
          <a:effectLst/>
        </c:spPr>
        <c:dLbl>
          <c:idx val="0"/>
          <c:layout>
            <c:manualLayout>
              <c:x val="-9.7343902099847029E-2"/>
              <c:y val="-6.0018467220683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75000"/>
            </a:schemeClr>
          </a:solidFill>
          <a:ln w="19050">
            <a:solidFill>
              <a:schemeClr val="lt1"/>
            </a:solidFill>
          </a:ln>
          <a:effectLst/>
        </c:spPr>
        <c:dLbl>
          <c:idx val="0"/>
          <c:layout>
            <c:manualLayout>
              <c:x val="9.4562647754137114E-2"/>
              <c:y val="-6.001846722068329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FF00"/>
          </a:solidFill>
          <a:ln w="19050">
            <a:solidFill>
              <a:schemeClr val="lt1"/>
            </a:solidFill>
          </a:ln>
          <a:effectLst/>
        </c:spPr>
        <c:dLbl>
          <c:idx val="0"/>
          <c:layout>
            <c:manualLayout>
              <c:x val="0.10846891948268669"/>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B0F0"/>
          </a:solidFill>
          <a:ln w="19050">
            <a:solidFill>
              <a:schemeClr val="lt1"/>
            </a:solidFill>
          </a:ln>
          <a:effectLst/>
        </c:spPr>
        <c:dLbl>
          <c:idx val="0"/>
          <c:layout>
            <c:manualLayout>
              <c:x val="-9.7343902099847029E-2"/>
              <c:y val="-6.001846722068333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20420959193941"/>
          <c:y val="0.24979239836204828"/>
          <c:w val="0.448707558451447"/>
          <c:h val="0.74889671356241039"/>
        </c:manualLayout>
      </c:layout>
      <c:doughnutChart>
        <c:varyColors val="1"/>
        <c:ser>
          <c:idx val="0"/>
          <c:order val="0"/>
          <c:tx>
            <c:strRef>
              <c:f>'Pivot table'!$B$121</c:f>
              <c:strCache>
                <c:ptCount val="1"/>
                <c:pt idx="0">
                  <c:v>Total</c:v>
                </c:pt>
              </c:strCache>
            </c:strRef>
          </c:tx>
          <c:spPr>
            <a:solidFill>
              <a:srgbClr val="7030A0"/>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3C1-4994-9004-10733387767E}"/>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83C1-4994-9004-10733387767E}"/>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83C1-4994-9004-10733387767E}"/>
              </c:ext>
            </c:extLst>
          </c:dPt>
          <c:dLbls>
            <c:dLbl>
              <c:idx val="0"/>
              <c:layout>
                <c:manualLayout>
                  <c:x val="9.4562647754137114E-2"/>
                  <c:y val="-6.001846722068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C1-4994-9004-10733387767E}"/>
                </c:ext>
              </c:extLst>
            </c:dLbl>
            <c:dLbl>
              <c:idx val="1"/>
              <c:layout>
                <c:manualLayout>
                  <c:x val="0.1084689194826866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C1-4994-9004-10733387767E}"/>
                </c:ext>
              </c:extLst>
            </c:dLbl>
            <c:dLbl>
              <c:idx val="2"/>
              <c:layout>
                <c:manualLayout>
                  <c:x val="-9.7343902099847029E-2"/>
                  <c:y val="-6.0018467220683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C1-4994-9004-10733387767E}"/>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92D050"/>
                    </a:solidFill>
                    <a:latin typeface="Aptos Black"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table'!$A$122:$A$126</c:f>
              <c:multiLvlStrCache>
                <c:ptCount val="3"/>
                <c:lvl>
                  <c:pt idx="0">
                    <c:v>High</c:v>
                  </c:pt>
                  <c:pt idx="1">
                    <c:v>Low</c:v>
                  </c:pt>
                  <c:pt idx="2">
                    <c:v>Medium</c:v>
                  </c:pt>
                </c:lvl>
                <c:lvl>
                  <c:pt idx="0">
                    <c:v>Approved</c:v>
                  </c:pt>
                </c:lvl>
              </c:multiLvlStrCache>
            </c:multiLvlStrRef>
          </c:cat>
          <c:val>
            <c:numRef>
              <c:f>'Pivot table'!$B$122:$B$126</c:f>
              <c:numCache>
                <c:formatCode>General</c:formatCode>
                <c:ptCount val="3"/>
                <c:pt idx="0">
                  <c:v>20</c:v>
                </c:pt>
                <c:pt idx="1">
                  <c:v>452</c:v>
                </c:pt>
                <c:pt idx="2">
                  <c:v>114</c:v>
                </c:pt>
              </c:numCache>
            </c:numRef>
          </c:val>
          <c:extLst>
            <c:ext xmlns:c16="http://schemas.microsoft.com/office/drawing/2014/chart" uri="{C3380CC4-5D6E-409C-BE32-E72D297353CC}">
              <c16:uniqueId val="{00000006-83C1-4994-9004-1073338776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37304066653746"/>
          <c:y val="0.33905926232905098"/>
          <c:w val="0.23958206726036593"/>
          <c:h val="0.56237085669000508"/>
        </c:manualLayout>
      </c:layout>
      <c:overlay val="0"/>
      <c:spPr>
        <a:noFill/>
        <a:ln>
          <a:noFill/>
        </a:ln>
        <a:effectLst/>
      </c:spPr>
      <c:txPr>
        <a:bodyPr rot="0" spcFirstLastPara="1" vertOverflow="ellipsis" vert="horz" wrap="square" anchor="ctr" anchorCtr="1"/>
        <a:lstStyle/>
        <a:p>
          <a:pPr>
            <a:defRPr sz="1400" b="0" i="0" u="none" strike="noStrike" kern="1200" baseline="0">
              <a:solidFill>
                <a:srgbClr val="92D050"/>
              </a:solidFill>
              <a:latin typeface="Aptos Black"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600" b="1" i="0" u="none" strike="noStrike" baseline="0">
                <a:solidFill>
                  <a:srgbClr val="92D050"/>
                </a:solidFill>
                <a:latin typeface="Aptos Black" panose="020B0004020202020204" pitchFamily="34" charset="0"/>
              </a:rPr>
              <a:t>Declined Transactions Are Also Mostly Low Risk — Decline Isn't Driven by Fraud Risk Alone</a:t>
            </a:r>
            <a:r>
              <a:rPr lang="en-US" sz="1600" b="1">
                <a:solidFill>
                  <a:srgbClr val="92D050"/>
                </a:solidFill>
                <a:latin typeface="Aptos Black" panose="020B0004020202020204" pitchFamily="34" charset="0"/>
              </a:rPr>
              <a:t> </a:t>
            </a:r>
          </a:p>
        </c:rich>
      </c:tx>
      <c:layout>
        <c:manualLayout>
          <c:xMode val="edge"/>
          <c:yMode val="edge"/>
          <c:x val="0.11416285199056733"/>
          <c:y val="6.35733682078667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dLbl>
          <c:idx val="0"/>
          <c:layout>
            <c:manualLayout>
              <c:x val="1.0481867045021369E-2"/>
              <c:y val="-1.80446648321208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25400">
            <a:solidFill>
              <a:schemeClr val="lt1"/>
            </a:solidFill>
          </a:ln>
          <a:effectLst/>
          <a:sp3d contourW="25400">
            <a:contourClr>
              <a:schemeClr val="lt1"/>
            </a:contourClr>
          </a:sp3d>
        </c:spPr>
        <c:dLbl>
          <c:idx val="0"/>
          <c:layout>
            <c:manualLayout>
              <c:x val="2.0210956776470358E-3"/>
              <c:y val="7.5525161430945701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w="25400">
            <a:solidFill>
              <a:schemeClr val="lt1"/>
            </a:solidFill>
          </a:ln>
          <a:effectLst/>
          <a:sp3d contourW="25400">
            <a:contourClr>
              <a:schemeClr val="lt1"/>
            </a:contourClr>
          </a:sp3d>
        </c:spPr>
        <c:dLbl>
          <c:idx val="0"/>
          <c:layout>
            <c:manualLayout>
              <c:x val="4.7163268137050907E-2"/>
              <c:y val="-6.0081918825890708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611735330836454"/>
                  <c:h val="0.10841983852364476"/>
                </c:manualLayout>
              </c15:layout>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w="25400">
            <a:solidFill>
              <a:schemeClr val="lt1"/>
            </a:solidFill>
          </a:ln>
          <a:effectLst/>
          <a:sp3d contourW="25400">
            <a:contourClr>
              <a:schemeClr val="lt1"/>
            </a:contourClr>
          </a:sp3d>
        </c:spPr>
        <c:dLbl>
          <c:idx val="0"/>
          <c:layout>
            <c:manualLayout>
              <c:x val="2.0210956776470358E-3"/>
              <c:y val="7.5525161430945701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w="25400">
            <a:solidFill>
              <a:schemeClr val="lt1"/>
            </a:solidFill>
          </a:ln>
          <a:effectLst/>
          <a:sp3d contourW="25400">
            <a:contourClr>
              <a:schemeClr val="lt1"/>
            </a:contourClr>
          </a:sp3d>
        </c:spPr>
        <c:dLbl>
          <c:idx val="0"/>
          <c:layout>
            <c:manualLayout>
              <c:x val="4.7163268137050907E-2"/>
              <c:y val="-6.0081918825890708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611735330836454"/>
                  <c:h val="0.10841983852364476"/>
                </c:manualLayout>
              </c15:layout>
            </c:ext>
          </c:extLst>
        </c:dLbl>
      </c:pivotFmt>
      <c:pivotFmt>
        <c:idx val="7"/>
        <c:spPr>
          <a:solidFill>
            <a:srgbClr val="FFC000"/>
          </a:solidFill>
          <a:ln w="25400">
            <a:solidFill>
              <a:schemeClr val="lt1"/>
            </a:solidFill>
          </a:ln>
          <a:effectLst/>
          <a:sp3d contourW="25400">
            <a:contourClr>
              <a:schemeClr val="lt1"/>
            </a:contourClr>
          </a:sp3d>
        </c:spPr>
        <c:dLbl>
          <c:idx val="0"/>
          <c:layout>
            <c:manualLayout>
              <c:x val="1.0481867045021369E-2"/>
              <c:y val="-1.80446648321208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25400">
            <a:solidFill>
              <a:schemeClr val="lt1"/>
            </a:solidFill>
          </a:ln>
          <a:effectLst/>
          <a:sp3d contourW="25400">
            <a:contourClr>
              <a:schemeClr val="lt1"/>
            </a:contourClr>
          </a:sp3d>
        </c:spPr>
        <c:dLbl>
          <c:idx val="0"/>
          <c:layout>
            <c:manualLayout>
              <c:x val="2.1706135047725776E-2"/>
              <c:y val="2.040818109376815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6.769466316710411E-2"/>
                  <c:h val="9.7117589256469045E-2"/>
                </c:manualLayout>
              </c15:layout>
            </c:ext>
          </c:extLst>
        </c:dLbl>
      </c:pivotFmt>
      <c:pivotFmt>
        <c:idx val="10"/>
        <c:spPr>
          <a:solidFill>
            <a:srgbClr val="FFFF00"/>
          </a:solidFill>
          <a:ln w="25400">
            <a:solidFill>
              <a:schemeClr val="lt1"/>
            </a:solidFill>
          </a:ln>
          <a:effectLst/>
          <a:sp3d contourW="25400">
            <a:contourClr>
              <a:schemeClr val="lt1"/>
            </a:contourClr>
          </a:sp3d>
        </c:spPr>
        <c:dLbl>
          <c:idx val="0"/>
          <c:layout>
            <c:manualLayout>
              <c:x val="4.7163268137050907E-2"/>
              <c:y val="-6.0081918825890708E-2"/>
            </c:manualLayout>
          </c:layout>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611735330836454"/>
                  <c:h val="0.10841983852364476"/>
                </c:manualLayout>
              </c15:layout>
            </c:ext>
          </c:extLst>
        </c:dLbl>
      </c:pivotFmt>
      <c:pivotFmt>
        <c:idx val="11"/>
        <c:spPr>
          <a:solidFill>
            <a:srgbClr val="00B0F0"/>
          </a:solidFill>
          <a:ln w="25400">
            <a:solidFill>
              <a:schemeClr val="lt1"/>
            </a:solidFill>
          </a:ln>
          <a:effectLst/>
          <a:sp3d contourW="25400">
            <a:contourClr>
              <a:schemeClr val="lt1"/>
            </a:contourClr>
          </a:sp3d>
        </c:spPr>
        <c:dLbl>
          <c:idx val="0"/>
          <c:layout>
            <c:manualLayout>
              <c:x val="1.0481867045021369E-2"/>
              <c:y val="-1.8044664832120898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2758974649950612"/>
          <c:w val="0.82329083896307775"/>
          <c:h val="0.55619694841049439"/>
        </c:manualLayout>
      </c:layout>
      <c:pie3DChart>
        <c:varyColors val="1"/>
        <c:ser>
          <c:idx val="0"/>
          <c:order val="0"/>
          <c:tx>
            <c:strRef>
              <c:f>'Pivot table'!$B$136</c:f>
              <c:strCache>
                <c:ptCount val="1"/>
                <c:pt idx="0">
                  <c:v>Total</c:v>
                </c:pt>
              </c:strCache>
            </c:strRef>
          </c:tx>
          <c:dPt>
            <c:idx val="0"/>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3BD-4571-8D33-253B9FCA0670}"/>
              </c:ext>
            </c:extLst>
          </c:dPt>
          <c:dPt>
            <c:idx val="1"/>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33BD-4571-8D33-253B9FCA0670}"/>
              </c:ext>
            </c:extLst>
          </c:dPt>
          <c:dPt>
            <c:idx val="2"/>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5-33BD-4571-8D33-253B9FCA0670}"/>
              </c:ext>
            </c:extLst>
          </c:dPt>
          <c:dLbls>
            <c:dLbl>
              <c:idx val="0"/>
              <c:layout>
                <c:manualLayout>
                  <c:x val="2.1706135047725776E-2"/>
                  <c:y val="2.040818109376815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6.769466316710411E-2"/>
                      <c:h val="9.7117589256469045E-2"/>
                    </c:manualLayout>
                  </c15:layout>
                </c:ext>
                <c:ext xmlns:c16="http://schemas.microsoft.com/office/drawing/2014/chart" uri="{C3380CC4-5D6E-409C-BE32-E72D297353CC}">
                  <c16:uniqueId val="{00000001-33BD-4571-8D33-253B9FCA0670}"/>
                </c:ext>
              </c:extLst>
            </c:dLbl>
            <c:dLbl>
              <c:idx val="1"/>
              <c:layout>
                <c:manualLayout>
                  <c:x val="4.7163268137050907E-2"/>
                  <c:y val="-6.0081918825890708E-2"/>
                </c:manualLayout>
              </c:layout>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611735330836454"/>
                      <c:h val="0.10841983852364476"/>
                    </c:manualLayout>
                  </c15:layout>
                </c:ext>
                <c:ext xmlns:c16="http://schemas.microsoft.com/office/drawing/2014/chart" uri="{C3380CC4-5D6E-409C-BE32-E72D297353CC}">
                  <c16:uniqueId val="{00000003-33BD-4571-8D33-253B9FCA0670}"/>
                </c:ext>
              </c:extLst>
            </c:dLbl>
            <c:dLbl>
              <c:idx val="2"/>
              <c:layout>
                <c:manualLayout>
                  <c:x val="1.0481867045021369E-2"/>
                  <c:y val="-1.8044664832120898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BD-4571-8D33-253B9FCA0670}"/>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92D050"/>
                    </a:solidFill>
                    <a:latin typeface="Aptos Black" panose="020B00040202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table'!$A$137:$A$141</c:f>
              <c:multiLvlStrCache>
                <c:ptCount val="3"/>
                <c:lvl>
                  <c:pt idx="0">
                    <c:v>High</c:v>
                  </c:pt>
                  <c:pt idx="1">
                    <c:v>Low</c:v>
                  </c:pt>
                  <c:pt idx="2">
                    <c:v>Medium</c:v>
                  </c:pt>
                </c:lvl>
                <c:lvl>
                  <c:pt idx="0">
                    <c:v>Declined</c:v>
                  </c:pt>
                </c:lvl>
              </c:multiLvlStrCache>
            </c:multiLvlStrRef>
          </c:cat>
          <c:val>
            <c:numRef>
              <c:f>'Pivot table'!$B$137:$B$141</c:f>
              <c:numCache>
                <c:formatCode>General</c:formatCode>
                <c:ptCount val="3"/>
                <c:pt idx="0">
                  <c:v>3</c:v>
                </c:pt>
                <c:pt idx="1">
                  <c:v>118</c:v>
                </c:pt>
                <c:pt idx="2">
                  <c:v>31</c:v>
                </c:pt>
              </c:numCache>
            </c:numRef>
          </c:val>
          <c:extLst>
            <c:ext xmlns:c16="http://schemas.microsoft.com/office/drawing/2014/chart" uri="{C3380CC4-5D6E-409C-BE32-E72D297353CC}">
              <c16:uniqueId val="{00000006-33BD-4571-8D33-253B9FCA0670}"/>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0213749903121847"/>
          <c:y val="0.37130852419381183"/>
          <c:w val="0.29422473876158739"/>
          <c:h val="0.34921577709360724"/>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92D050"/>
              </a:solidFill>
              <a:latin typeface="Aptos Black"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[Credit_Card_Fraud_Cleaned.xlsx]Pivot table!PivotTable5</c:name>
    <c:fmtId val="3"/>
  </c:pivotSource>
  <c:chart>
    <c:title>
      <c:tx>
        <c:rich>
          <a:bodyPr rot="0" spcFirstLastPara="1" vertOverflow="ellipsis" vert="horz" wrap="square" anchor="ctr" anchorCtr="1"/>
          <a:lstStyle/>
          <a:p>
            <a:pPr>
              <a:defRPr sz="1800" b="0" i="0" u="none" strike="noStrike" kern="1200" spc="0" baseline="0">
                <a:solidFill>
                  <a:srgbClr val="92D050"/>
                </a:solidFill>
                <a:latin typeface="+mn-lt"/>
                <a:ea typeface="+mn-ea"/>
                <a:cs typeface="+mn-cs"/>
              </a:defRPr>
            </a:pPr>
            <a:r>
              <a:rPr lang="en-ZA" sz="1800" b="1" i="0" u="none" strike="noStrike" baseline="0">
                <a:solidFill>
                  <a:srgbClr val="92D050"/>
                </a:solidFill>
                <a:latin typeface="Aptos Black" panose="020B0004020202020204" pitchFamily="34" charset="0"/>
              </a:rPr>
              <a:t>Risk Levels Fluctuate Year to Year — No Clear Upward or Downward Trend (2025–2027</a:t>
            </a:r>
            <a:endParaRPr lang="en-ZA" sz="1800" b="1">
              <a:solidFill>
                <a:srgbClr val="92D050"/>
              </a:solidFill>
              <a:latin typeface="Aptos Black" panose="020B0004020202020204" pitchFamily="34" charset="0"/>
            </a:endParaRPr>
          </a:p>
        </c:rich>
      </c:tx>
      <c:layout>
        <c:manualLayout>
          <c:xMode val="edge"/>
          <c:yMode val="edge"/>
          <c:x val="9.6494570831707246E-2"/>
          <c:y val="3.5989268654437606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92D050"/>
              </a:solidFill>
              <a:latin typeface="+mn-lt"/>
              <a:ea typeface="+mn-ea"/>
              <a:cs typeface="+mn-cs"/>
            </a:defRPr>
          </a:pPr>
          <a:endParaRPr lang="en-ZA"/>
        </a:p>
      </c:txPr>
    </c:title>
    <c:autoTitleDeleted val="0"/>
    <c:pivotFmts>
      <c:pivotFmt>
        <c:idx val="0"/>
        <c:spPr>
          <a:solidFill>
            <a:schemeClr val="accent1"/>
          </a:solidFill>
          <a:ln w="28575"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circle"/>
          <c:size val="5"/>
          <c:spPr>
            <a:solidFill>
              <a:schemeClr val="accent2"/>
            </a:solidFill>
            <a:ln w="9525">
              <a:solidFill>
                <a:srgbClr val="FF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92D050"/>
            </a:solidFill>
            <a:round/>
          </a:ln>
          <a:effectLst/>
        </c:spPr>
        <c:marker>
          <c:symbol val="circle"/>
          <c:size val="5"/>
          <c:spPr>
            <a:solidFill>
              <a:schemeClr val="accent3"/>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circle"/>
          <c:size val="5"/>
          <c:spPr>
            <a:solidFill>
              <a:schemeClr val="accent2"/>
            </a:solidFill>
            <a:ln w="9525">
              <a:solidFill>
                <a:srgbClr val="FF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2D050"/>
            </a:solidFill>
            <a:round/>
          </a:ln>
          <a:effectLst/>
        </c:spPr>
        <c:marker>
          <c:symbol val="circle"/>
          <c:size val="5"/>
          <c:spPr>
            <a:solidFill>
              <a:schemeClr val="accent3"/>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50800"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50800" cap="rnd">
            <a:solidFill>
              <a:srgbClr val="FFFF00"/>
            </a:solidFill>
            <a:round/>
          </a:ln>
          <a:effectLst/>
        </c:spPr>
        <c:marker>
          <c:symbol val="circle"/>
          <c:size val="5"/>
          <c:spPr>
            <a:solidFill>
              <a:schemeClr val="accent2"/>
            </a:solidFill>
            <a:ln w="9525">
              <a:solidFill>
                <a:srgbClr val="FF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53975" cap="rnd">
            <a:solidFill>
              <a:srgbClr val="92D050"/>
            </a:solidFill>
            <a:round/>
          </a:ln>
          <a:effectLst/>
        </c:spPr>
        <c:marker>
          <c:symbol val="circle"/>
          <c:size val="5"/>
          <c:spPr>
            <a:solidFill>
              <a:schemeClr val="accent3"/>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4657289558921"/>
          <c:y val="0.1223005062563266"/>
          <c:w val="0.70100166050672241"/>
          <c:h val="0.79368162074164117"/>
        </c:manualLayout>
      </c:layout>
      <c:lineChart>
        <c:grouping val="standard"/>
        <c:varyColors val="0"/>
        <c:ser>
          <c:idx val="0"/>
          <c:order val="0"/>
          <c:tx>
            <c:strRef>
              <c:f>'Pivot table'!$B$161:$B$162</c:f>
              <c:strCache>
                <c:ptCount val="1"/>
                <c:pt idx="0">
                  <c:v>High</c:v>
                </c:pt>
              </c:strCache>
            </c:strRef>
          </c:tx>
          <c:spPr>
            <a:ln w="50800"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cat>
            <c:strRef>
              <c:f>'Pivot table'!$A$163:$A$166</c:f>
              <c:strCache>
                <c:ptCount val="3"/>
                <c:pt idx="0">
                  <c:v>2025</c:v>
                </c:pt>
                <c:pt idx="1">
                  <c:v>2026</c:v>
                </c:pt>
                <c:pt idx="2">
                  <c:v>2027</c:v>
                </c:pt>
              </c:strCache>
            </c:strRef>
          </c:cat>
          <c:val>
            <c:numRef>
              <c:f>'Pivot table'!$B$163:$B$166</c:f>
              <c:numCache>
                <c:formatCode>0.00%</c:formatCode>
                <c:ptCount val="3"/>
                <c:pt idx="0">
                  <c:v>3.0952380952380953E-2</c:v>
                </c:pt>
                <c:pt idx="1">
                  <c:v>3.3582089552238806E-2</c:v>
                </c:pt>
                <c:pt idx="2">
                  <c:v>2.5000000000000001E-2</c:v>
                </c:pt>
              </c:numCache>
            </c:numRef>
          </c:val>
          <c:smooth val="0"/>
          <c:extLst>
            <c:ext xmlns:c16="http://schemas.microsoft.com/office/drawing/2014/chart" uri="{C3380CC4-5D6E-409C-BE32-E72D297353CC}">
              <c16:uniqueId val="{00000000-A329-486B-AA72-D456AC395BA3}"/>
            </c:ext>
          </c:extLst>
        </c:ser>
        <c:ser>
          <c:idx val="1"/>
          <c:order val="1"/>
          <c:tx>
            <c:strRef>
              <c:f>'Pivot table'!$C$161:$C$162</c:f>
              <c:strCache>
                <c:ptCount val="1"/>
                <c:pt idx="0">
                  <c:v>Low</c:v>
                </c:pt>
              </c:strCache>
            </c:strRef>
          </c:tx>
          <c:spPr>
            <a:ln w="50800" cap="rnd">
              <a:solidFill>
                <a:srgbClr val="FFFF00"/>
              </a:solidFill>
              <a:round/>
            </a:ln>
            <a:effectLst/>
          </c:spPr>
          <c:marker>
            <c:symbol val="circle"/>
            <c:size val="5"/>
            <c:spPr>
              <a:solidFill>
                <a:schemeClr val="accent2"/>
              </a:solidFill>
              <a:ln w="9525">
                <a:solidFill>
                  <a:srgbClr val="FFFF00"/>
                </a:solidFill>
              </a:ln>
              <a:effectLst/>
            </c:spPr>
          </c:marker>
          <c:cat>
            <c:strRef>
              <c:f>'Pivot table'!$A$163:$A$166</c:f>
              <c:strCache>
                <c:ptCount val="3"/>
                <c:pt idx="0">
                  <c:v>2025</c:v>
                </c:pt>
                <c:pt idx="1">
                  <c:v>2026</c:v>
                </c:pt>
                <c:pt idx="2">
                  <c:v>2027</c:v>
                </c:pt>
              </c:strCache>
            </c:strRef>
          </c:cat>
          <c:val>
            <c:numRef>
              <c:f>'Pivot table'!$C$163:$C$166</c:f>
              <c:numCache>
                <c:formatCode>0.00%</c:formatCode>
                <c:ptCount val="3"/>
                <c:pt idx="0">
                  <c:v>0.76190476190476186</c:v>
                </c:pt>
                <c:pt idx="1">
                  <c:v>0.80597014925373134</c:v>
                </c:pt>
                <c:pt idx="2">
                  <c:v>0.72499999999999998</c:v>
                </c:pt>
              </c:numCache>
            </c:numRef>
          </c:val>
          <c:smooth val="0"/>
          <c:extLst>
            <c:ext xmlns:c16="http://schemas.microsoft.com/office/drawing/2014/chart" uri="{C3380CC4-5D6E-409C-BE32-E72D297353CC}">
              <c16:uniqueId val="{00000004-A329-486B-AA72-D456AC395BA3}"/>
            </c:ext>
          </c:extLst>
        </c:ser>
        <c:ser>
          <c:idx val="2"/>
          <c:order val="2"/>
          <c:tx>
            <c:strRef>
              <c:f>'Pivot table'!$D$161:$D$162</c:f>
              <c:strCache>
                <c:ptCount val="1"/>
                <c:pt idx="0">
                  <c:v>Medium</c:v>
                </c:pt>
              </c:strCache>
            </c:strRef>
          </c:tx>
          <c:spPr>
            <a:ln w="53975" cap="rnd">
              <a:solidFill>
                <a:srgbClr val="92D050"/>
              </a:solidFill>
              <a:round/>
            </a:ln>
            <a:effectLst/>
          </c:spPr>
          <c:marker>
            <c:symbol val="circle"/>
            <c:size val="5"/>
            <c:spPr>
              <a:solidFill>
                <a:schemeClr val="accent3"/>
              </a:solidFill>
              <a:ln w="9525">
                <a:solidFill>
                  <a:srgbClr val="92D050"/>
                </a:solidFill>
              </a:ln>
              <a:effectLst/>
            </c:spPr>
          </c:marker>
          <c:cat>
            <c:strRef>
              <c:f>'Pivot table'!$A$163:$A$166</c:f>
              <c:strCache>
                <c:ptCount val="3"/>
                <c:pt idx="0">
                  <c:v>2025</c:v>
                </c:pt>
                <c:pt idx="1">
                  <c:v>2026</c:v>
                </c:pt>
                <c:pt idx="2">
                  <c:v>2027</c:v>
                </c:pt>
              </c:strCache>
            </c:strRef>
          </c:cat>
          <c:val>
            <c:numRef>
              <c:f>'Pivot table'!$D$163:$D$166</c:f>
              <c:numCache>
                <c:formatCode>0.00%</c:formatCode>
                <c:ptCount val="3"/>
                <c:pt idx="0">
                  <c:v>0.20714285714285716</c:v>
                </c:pt>
                <c:pt idx="1">
                  <c:v>0.16044776119402984</c:v>
                </c:pt>
                <c:pt idx="2">
                  <c:v>0.25</c:v>
                </c:pt>
              </c:numCache>
            </c:numRef>
          </c:val>
          <c:smooth val="0"/>
          <c:extLst>
            <c:ext xmlns:c16="http://schemas.microsoft.com/office/drawing/2014/chart" uri="{C3380CC4-5D6E-409C-BE32-E72D297353CC}">
              <c16:uniqueId val="{00000007-A329-486B-AA72-D456AC395BA3}"/>
            </c:ext>
          </c:extLst>
        </c:ser>
        <c:dLbls>
          <c:showLegendKey val="0"/>
          <c:showVal val="0"/>
          <c:showCatName val="0"/>
          <c:showSerName val="0"/>
          <c:showPercent val="0"/>
          <c:showBubbleSize val="0"/>
        </c:dLbls>
        <c:marker val="1"/>
        <c:smooth val="0"/>
        <c:axId val="1688921344"/>
        <c:axId val="1688917024"/>
      </c:lineChart>
      <c:catAx>
        <c:axId val="168892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92D050"/>
                </a:solidFill>
                <a:latin typeface="Aptos Black" panose="020B0004020202020204" pitchFamily="34" charset="0"/>
                <a:ea typeface="+mn-ea"/>
                <a:cs typeface="+mn-cs"/>
              </a:defRPr>
            </a:pPr>
            <a:endParaRPr lang="en-US"/>
          </a:p>
        </c:txPr>
        <c:crossAx val="1688917024"/>
        <c:crosses val="autoZero"/>
        <c:auto val="1"/>
        <c:lblAlgn val="ctr"/>
        <c:lblOffset val="100"/>
        <c:noMultiLvlLbl val="0"/>
      </c:catAx>
      <c:valAx>
        <c:axId val="1688917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92D050"/>
                </a:solidFill>
                <a:latin typeface="Aptos Black" panose="020B0004020202020204" pitchFamily="34" charset="0"/>
                <a:ea typeface="+mn-ea"/>
                <a:cs typeface="+mn-cs"/>
              </a:defRPr>
            </a:pPr>
            <a:endParaRPr lang="en-US"/>
          </a:p>
        </c:txPr>
        <c:crossAx val="168892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rgbClr val="92D050"/>
              </a:solidFill>
              <a:latin typeface="Aptos Black"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9</xdr:col>
      <xdr:colOff>0</xdr:colOff>
      <xdr:row>24</xdr:row>
      <xdr:rowOff>0</xdr:rowOff>
    </xdr:from>
    <xdr:to>
      <xdr:col>17</xdr:col>
      <xdr:colOff>417196</xdr:colOff>
      <xdr:row>40</xdr:row>
      <xdr:rowOff>164782</xdr:rowOff>
    </xdr:to>
    <xdr:graphicFrame macro="">
      <xdr:nvGraphicFramePr>
        <xdr:cNvPr id="2" name="Chart 1">
          <a:extLst>
            <a:ext uri="{FF2B5EF4-FFF2-40B4-BE49-F238E27FC236}">
              <a16:creationId xmlns:a16="http://schemas.microsoft.com/office/drawing/2014/main" id="{58D862F1-FB1B-4572-8ED1-2C4201BD1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xdr:colOff>
      <xdr:row>2</xdr:row>
      <xdr:rowOff>7620</xdr:rowOff>
    </xdr:from>
    <xdr:to>
      <xdr:col>10</xdr:col>
      <xdr:colOff>281940</xdr:colOff>
      <xdr:row>17</xdr:row>
      <xdr:rowOff>7620</xdr:rowOff>
    </xdr:to>
    <xdr:graphicFrame macro="">
      <xdr:nvGraphicFramePr>
        <xdr:cNvPr id="2" name="Chart 1">
          <a:extLst>
            <a:ext uri="{FF2B5EF4-FFF2-40B4-BE49-F238E27FC236}">
              <a16:creationId xmlns:a16="http://schemas.microsoft.com/office/drawing/2014/main" id="{01DFC9E3-FCD3-1F18-B3C9-86E6E8FF6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161925</xdr:rowOff>
    </xdr:from>
    <xdr:to>
      <xdr:col>14</xdr:col>
      <xdr:colOff>19050</xdr:colOff>
      <xdr:row>37</xdr:row>
      <xdr:rowOff>171450</xdr:rowOff>
    </xdr:to>
    <xdr:graphicFrame macro="">
      <xdr:nvGraphicFramePr>
        <xdr:cNvPr id="3" name="Chart 2">
          <a:extLst>
            <a:ext uri="{FF2B5EF4-FFF2-40B4-BE49-F238E27FC236}">
              <a16:creationId xmlns:a16="http://schemas.microsoft.com/office/drawing/2014/main" id="{9B1DD408-373F-89C0-DECC-047BBD2E2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1154430</xdr:colOff>
      <xdr:row>41</xdr:row>
      <xdr:rowOff>0</xdr:rowOff>
    </xdr:from>
    <xdr:to>
      <xdr:col>12</xdr:col>
      <xdr:colOff>201930</xdr:colOff>
      <xdr:row>56</xdr:row>
      <xdr:rowOff>0</xdr:rowOff>
    </xdr:to>
    <xdr:graphicFrame macro="">
      <xdr:nvGraphicFramePr>
        <xdr:cNvPr id="5" name="Chart 4">
          <a:extLst>
            <a:ext uri="{FF2B5EF4-FFF2-40B4-BE49-F238E27FC236}">
              <a16:creationId xmlns:a16="http://schemas.microsoft.com/office/drawing/2014/main" id="{32705A30-2FBC-59DA-E6A6-E334D1978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325754</xdr:colOff>
      <xdr:row>61</xdr:row>
      <xdr:rowOff>21907</xdr:rowOff>
    </xdr:from>
    <xdr:to>
      <xdr:col>15</xdr:col>
      <xdr:colOff>247649</xdr:colOff>
      <xdr:row>78</xdr:row>
      <xdr:rowOff>114300</xdr:rowOff>
    </xdr:to>
    <xdr:graphicFrame macro="">
      <xdr:nvGraphicFramePr>
        <xdr:cNvPr id="4" name="Chart 3">
          <a:extLst>
            <a:ext uri="{FF2B5EF4-FFF2-40B4-BE49-F238E27FC236}">
              <a16:creationId xmlns:a16="http://schemas.microsoft.com/office/drawing/2014/main" id="{C2EFC82B-6A66-502E-68D0-F0739D966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95250</xdr:colOff>
      <xdr:row>83</xdr:row>
      <xdr:rowOff>125729</xdr:rowOff>
    </xdr:from>
    <xdr:to>
      <xdr:col>8</xdr:col>
      <xdr:colOff>381000</xdr:colOff>
      <xdr:row>100</xdr:row>
      <xdr:rowOff>135254</xdr:rowOff>
    </xdr:to>
    <xdr:graphicFrame macro="">
      <xdr:nvGraphicFramePr>
        <xdr:cNvPr id="6" name="Chart 5">
          <a:extLst>
            <a:ext uri="{FF2B5EF4-FFF2-40B4-BE49-F238E27FC236}">
              <a16:creationId xmlns:a16="http://schemas.microsoft.com/office/drawing/2014/main" id="{042FBA7E-2418-DBF8-3234-693824C84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125730</xdr:colOff>
      <xdr:row>106</xdr:row>
      <xdr:rowOff>161925</xdr:rowOff>
    </xdr:from>
    <xdr:to>
      <xdr:col>4</xdr:col>
      <xdr:colOff>502920</xdr:colOff>
      <xdr:row>114</xdr:row>
      <xdr:rowOff>91440</xdr:rowOff>
    </xdr:to>
    <mc:AlternateContent xmlns:mc="http://schemas.openxmlformats.org/markup-compatibility/2006">
      <mc:Choice xmlns:tsle="http://schemas.microsoft.com/office/drawing/2012/timeslicer" Requires="tsle">
        <xdr:graphicFrame macro="">
          <xdr:nvGraphicFramePr>
            <xdr:cNvPr id="9" name="Date">
              <a:extLst>
                <a:ext uri="{FF2B5EF4-FFF2-40B4-BE49-F238E27FC236}">
                  <a16:creationId xmlns:a16="http://schemas.microsoft.com/office/drawing/2014/main" id="{60D9229C-35F3-33CF-02D4-3112248D1E0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463040" y="19347180"/>
              <a:ext cx="3299460" cy="137922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xdr:from>
      <xdr:col>2</xdr:col>
      <xdr:colOff>1325880</xdr:colOff>
      <xdr:row>115</xdr:row>
      <xdr:rowOff>48577</xdr:rowOff>
    </xdr:from>
    <xdr:to>
      <xdr:col>8</xdr:col>
      <xdr:colOff>177165</xdr:colOff>
      <xdr:row>130</xdr:row>
      <xdr:rowOff>84772</xdr:rowOff>
    </xdr:to>
    <xdr:graphicFrame macro="">
      <xdr:nvGraphicFramePr>
        <xdr:cNvPr id="8" name="Chart 7">
          <a:extLst>
            <a:ext uri="{FF2B5EF4-FFF2-40B4-BE49-F238E27FC236}">
              <a16:creationId xmlns:a16="http://schemas.microsoft.com/office/drawing/2014/main" id="{3810599D-9C2D-2654-156A-C5459C982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224790</xdr:colOff>
      <xdr:row>134</xdr:row>
      <xdr:rowOff>162877</xdr:rowOff>
    </xdr:from>
    <xdr:to>
      <xdr:col>6</xdr:col>
      <xdr:colOff>664845</xdr:colOff>
      <xdr:row>150</xdr:row>
      <xdr:rowOff>18097</xdr:rowOff>
    </xdr:to>
    <xdr:graphicFrame macro="">
      <xdr:nvGraphicFramePr>
        <xdr:cNvPr id="11" name="Chart 10">
          <a:extLst>
            <a:ext uri="{FF2B5EF4-FFF2-40B4-BE49-F238E27FC236}">
              <a16:creationId xmlns:a16="http://schemas.microsoft.com/office/drawing/2014/main" id="{5A8DA99F-4C34-8CEE-9014-E94EB6DB3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838200</xdr:colOff>
      <xdr:row>162</xdr:row>
      <xdr:rowOff>61912</xdr:rowOff>
    </xdr:from>
    <xdr:to>
      <xdr:col>12</xdr:col>
      <xdr:colOff>9525</xdr:colOff>
      <xdr:row>177</xdr:row>
      <xdr:rowOff>90487</xdr:rowOff>
    </xdr:to>
    <xdr:graphicFrame macro="">
      <xdr:nvGraphicFramePr>
        <xdr:cNvPr id="12" name="Chart 11">
          <a:extLst>
            <a:ext uri="{FF2B5EF4-FFF2-40B4-BE49-F238E27FC236}">
              <a16:creationId xmlns:a16="http://schemas.microsoft.com/office/drawing/2014/main" id="{AF04DAFD-68B4-C99F-CDBF-6AB205A9E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257175</xdr:colOff>
      <xdr:row>6</xdr:row>
      <xdr:rowOff>7620</xdr:rowOff>
    </xdr:from>
    <xdr:to>
      <xdr:col>14</xdr:col>
      <xdr:colOff>262890</xdr:colOff>
      <xdr:row>19</xdr:row>
      <xdr:rowOff>112395</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E81C3839-28EE-02A0-7236-B55477B090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056495" y="1095375"/>
              <a:ext cx="1836420" cy="245554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782955</xdr:colOff>
      <xdr:row>7</xdr:row>
      <xdr:rowOff>93345</xdr:rowOff>
    </xdr:from>
    <xdr:to>
      <xdr:col>3</xdr:col>
      <xdr:colOff>207660</xdr:colOff>
      <xdr:row>21</xdr:row>
      <xdr:rowOff>17145</xdr:rowOff>
    </xdr:to>
    <mc:AlternateContent xmlns:mc="http://schemas.openxmlformats.org/markup-compatibility/2006">
      <mc:Choice xmlns:a14="http://schemas.microsoft.com/office/drawing/2010/main" Requires="a14">
        <xdr:graphicFrame macro="">
          <xdr:nvGraphicFramePr>
            <xdr:cNvPr id="14" name="City">
              <a:extLst>
                <a:ext uri="{FF2B5EF4-FFF2-40B4-BE49-F238E27FC236}">
                  <a16:creationId xmlns:a16="http://schemas.microsoft.com/office/drawing/2014/main" id="{71DCD406-39E3-9554-F692-8B722E01A5E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112645" y="1363980"/>
              <a:ext cx="1785000" cy="24574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847725</xdr:colOff>
      <xdr:row>13</xdr:row>
      <xdr:rowOff>142875</xdr:rowOff>
    </xdr:from>
    <xdr:to>
      <xdr:col>9</xdr:col>
      <xdr:colOff>478155</xdr:colOff>
      <xdr:row>27</xdr:row>
      <xdr:rowOff>76200</xdr:rowOff>
    </xdr:to>
    <mc:AlternateContent xmlns:mc="http://schemas.openxmlformats.org/markup-compatibility/2006">
      <mc:Choice xmlns:a14="http://schemas.microsoft.com/office/drawing/2010/main" Requires="a14">
        <xdr:graphicFrame macro="">
          <xdr:nvGraphicFramePr>
            <xdr:cNvPr id="15" name="Channel">
              <a:extLst>
                <a:ext uri="{FF2B5EF4-FFF2-40B4-BE49-F238E27FC236}">
                  <a16:creationId xmlns:a16="http://schemas.microsoft.com/office/drawing/2014/main" id="{A34314E7-287C-66D7-9F41-E50593D1942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7240905" y="2493645"/>
              <a:ext cx="1815465" cy="24688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476250</xdr:colOff>
      <xdr:row>17</xdr:row>
      <xdr:rowOff>19050</xdr:rowOff>
    </xdr:from>
    <xdr:to>
      <xdr:col>10</xdr:col>
      <xdr:colOff>472440</xdr:colOff>
      <xdr:row>30</xdr:row>
      <xdr:rowOff>129540</xdr:rowOff>
    </xdr:to>
    <mc:AlternateContent xmlns:mc="http://schemas.openxmlformats.org/markup-compatibility/2006">
      <mc:Choice xmlns:a14="http://schemas.microsoft.com/office/drawing/2010/main" Requires="a14">
        <xdr:graphicFrame macro="">
          <xdr:nvGraphicFramePr>
            <xdr:cNvPr id="16" name="Risk_Level">
              <a:extLst>
                <a:ext uri="{FF2B5EF4-FFF2-40B4-BE49-F238E27FC236}">
                  <a16:creationId xmlns:a16="http://schemas.microsoft.com/office/drawing/2014/main" id="{544E20F1-C1E2-F26E-C047-B1120A3C2211}"/>
                </a:ext>
              </a:extLst>
            </xdr:cNvPr>
            <xdr:cNvGraphicFramePr/>
          </xdr:nvGraphicFramePr>
          <xdr:xfrm>
            <a:off x="0" y="0"/>
            <a:ext cx="0" cy="0"/>
          </xdr:xfrm>
          <a:graphic>
            <a:graphicData uri="http://schemas.microsoft.com/office/drawing/2010/slicer">
              <sle:slicer xmlns:sle="http://schemas.microsoft.com/office/drawing/2010/slicer" name="Risk_Level"/>
            </a:graphicData>
          </a:graphic>
        </xdr:graphicFrame>
      </mc:Choice>
      <mc:Fallback>
        <xdr:sp macro="" textlink="">
          <xdr:nvSpPr>
            <xdr:cNvPr id="0" name=""/>
            <xdr:cNvSpPr>
              <a:spLocks noTextEdit="1"/>
            </xdr:cNvSpPr>
          </xdr:nvSpPr>
          <xdr:spPr>
            <a:xfrm>
              <a:off x="7835265" y="3091815"/>
              <a:ext cx="1832610" cy="247078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666750</xdr:colOff>
      <xdr:row>12</xdr:row>
      <xdr:rowOff>28575</xdr:rowOff>
    </xdr:from>
    <xdr:to>
      <xdr:col>9</xdr:col>
      <xdr:colOff>304800</xdr:colOff>
      <xdr:row>25</xdr:row>
      <xdr:rowOff>131445</xdr:rowOff>
    </xdr:to>
    <mc:AlternateContent xmlns:mc="http://schemas.openxmlformats.org/markup-compatibility/2006">
      <mc:Choice xmlns:a14="http://schemas.microsoft.com/office/drawing/2010/main" Requires="a14">
        <xdr:graphicFrame macro="">
          <xdr:nvGraphicFramePr>
            <xdr:cNvPr id="17" name="Card_Network">
              <a:extLst>
                <a:ext uri="{FF2B5EF4-FFF2-40B4-BE49-F238E27FC236}">
                  <a16:creationId xmlns:a16="http://schemas.microsoft.com/office/drawing/2014/main" id="{BA4FD6A6-9AD9-2A9F-F20E-ED6B1C5519EB}"/>
                </a:ext>
              </a:extLst>
            </xdr:cNvPr>
            <xdr:cNvGraphicFramePr/>
          </xdr:nvGraphicFramePr>
          <xdr:xfrm>
            <a:off x="0" y="0"/>
            <a:ext cx="0" cy="0"/>
          </xdr:xfrm>
          <a:graphic>
            <a:graphicData uri="http://schemas.microsoft.com/office/drawing/2010/slicer">
              <sle:slicer xmlns:sle="http://schemas.microsoft.com/office/drawing/2010/slicer" name="Card_Network"/>
            </a:graphicData>
          </a:graphic>
        </xdr:graphicFrame>
      </mc:Choice>
      <mc:Fallback>
        <xdr:sp macro="" textlink="">
          <xdr:nvSpPr>
            <xdr:cNvPr id="0" name=""/>
            <xdr:cNvSpPr>
              <a:spLocks noTextEdit="1"/>
            </xdr:cNvSpPr>
          </xdr:nvSpPr>
          <xdr:spPr>
            <a:xfrm>
              <a:off x="7054215" y="2198370"/>
              <a:ext cx="1832610" cy="24612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1295400</xdr:colOff>
      <xdr:row>15</xdr:row>
      <xdr:rowOff>114300</xdr:rowOff>
    </xdr:from>
    <xdr:to>
      <xdr:col>10</xdr:col>
      <xdr:colOff>440055</xdr:colOff>
      <xdr:row>23</xdr:row>
      <xdr:rowOff>38100</xdr:rowOff>
    </xdr:to>
    <mc:AlternateContent xmlns:mc="http://schemas.openxmlformats.org/markup-compatibility/2006">
      <mc:Choice xmlns:tsle="http://schemas.microsoft.com/office/drawing/2012/timeslicer" Requires="tsle">
        <xdr:graphicFrame macro="">
          <xdr:nvGraphicFramePr>
            <xdr:cNvPr id="18" name="Date 1">
              <a:extLst>
                <a:ext uri="{FF2B5EF4-FFF2-40B4-BE49-F238E27FC236}">
                  <a16:creationId xmlns:a16="http://schemas.microsoft.com/office/drawing/2014/main" id="{4D19E8B2-771C-EE55-CDE0-5DCD91ADF5CF}"/>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6305550" y="2828925"/>
              <a:ext cx="332232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0</xdr:rowOff>
    </xdr:from>
    <xdr:to>
      <xdr:col>37</xdr:col>
      <xdr:colOff>0</xdr:colOff>
      <xdr:row>3</xdr:row>
      <xdr:rowOff>114300</xdr:rowOff>
    </xdr:to>
    <xdr:sp macro="" textlink="">
      <xdr:nvSpPr>
        <xdr:cNvPr id="2" name="Rectangle 1">
          <a:extLst>
            <a:ext uri="{FF2B5EF4-FFF2-40B4-BE49-F238E27FC236}">
              <a16:creationId xmlns:a16="http://schemas.microsoft.com/office/drawing/2014/main" id="{7EE98D51-2834-96EE-504A-A4101256BB70}"/>
            </a:ext>
          </a:extLst>
        </xdr:cNvPr>
        <xdr:cNvSpPr/>
      </xdr:nvSpPr>
      <xdr:spPr>
        <a:xfrm>
          <a:off x="53340" y="0"/>
          <a:ext cx="22501860" cy="685800"/>
        </a:xfrm>
        <a:prstGeom prst="rect">
          <a:avLst/>
        </a:prstGeom>
        <a:solidFill>
          <a:srgbClr val="4B1E66"/>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000" b="1">
              <a:solidFill>
                <a:srgbClr val="92D050"/>
              </a:solidFill>
              <a:latin typeface="Arial Black" panose="020B0A04020102020204" pitchFamily="34" charset="0"/>
            </a:rPr>
            <a:t>Credit</a:t>
          </a:r>
          <a:r>
            <a:rPr lang="en-ZA" sz="2000" b="1" baseline="0">
              <a:solidFill>
                <a:srgbClr val="92D050"/>
              </a:solidFill>
              <a:latin typeface="Arial Black" panose="020B0A04020102020204" pitchFamily="34" charset="0"/>
            </a:rPr>
            <a:t> card transactions Dashboard</a:t>
          </a:r>
        </a:p>
        <a:p>
          <a:pPr algn="l"/>
          <a:endParaRPr lang="en-ZA" sz="1100">
            <a:solidFill>
              <a:srgbClr val="92D050"/>
            </a:solidFill>
          </a:endParaRPr>
        </a:p>
      </xdr:txBody>
    </xdr:sp>
    <xdr:clientData/>
  </xdr:twoCellAnchor>
  <xdr:twoCellAnchor>
    <xdr:from>
      <xdr:col>28</xdr:col>
      <xdr:colOff>503464</xdr:colOff>
      <xdr:row>3</xdr:row>
      <xdr:rowOff>117021</xdr:rowOff>
    </xdr:from>
    <xdr:to>
      <xdr:col>33</xdr:col>
      <xdr:colOff>467269</xdr:colOff>
      <xdr:row>9</xdr:row>
      <xdr:rowOff>73206</xdr:rowOff>
    </xdr:to>
    <xdr:sp macro="" textlink="">
      <xdr:nvSpPr>
        <xdr:cNvPr id="3" name="Rectangle 2">
          <a:extLst>
            <a:ext uri="{FF2B5EF4-FFF2-40B4-BE49-F238E27FC236}">
              <a16:creationId xmlns:a16="http://schemas.microsoft.com/office/drawing/2014/main" id="{DBF35499-9BB3-941B-3191-D4B224CD26E1}"/>
            </a:ext>
          </a:extLst>
        </xdr:cNvPr>
        <xdr:cNvSpPr/>
      </xdr:nvSpPr>
      <xdr:spPr>
        <a:xfrm>
          <a:off x="17394464" y="640896"/>
          <a:ext cx="2980055" cy="1003935"/>
        </a:xfrm>
        <a:prstGeom prst="rect">
          <a:avLst/>
        </a:prstGeom>
        <a:solidFill>
          <a:srgbClr val="7030A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000">
              <a:solidFill>
                <a:srgbClr val="92D050"/>
              </a:solidFill>
              <a:latin typeface="Arial Black" panose="020B0A04020102020204" pitchFamily="34" charset="0"/>
            </a:rPr>
            <a:t>Total</a:t>
          </a:r>
          <a:r>
            <a:rPr lang="en-ZA" sz="2000" baseline="0">
              <a:solidFill>
                <a:srgbClr val="92D050"/>
              </a:solidFill>
              <a:latin typeface="Arial Black" panose="020B0A04020102020204" pitchFamily="34" charset="0"/>
            </a:rPr>
            <a:t> transactions</a:t>
          </a:r>
        </a:p>
        <a:p>
          <a:pPr algn="l"/>
          <a:endParaRPr lang="en-ZA" sz="1100"/>
        </a:p>
      </xdr:txBody>
    </xdr:sp>
    <xdr:clientData/>
  </xdr:twoCellAnchor>
  <xdr:twoCellAnchor>
    <xdr:from>
      <xdr:col>28</xdr:col>
      <xdr:colOff>547642</xdr:colOff>
      <xdr:row>6</xdr:row>
      <xdr:rowOff>29391</xdr:rowOff>
    </xdr:from>
    <xdr:to>
      <xdr:col>33</xdr:col>
      <xdr:colOff>471442</xdr:colOff>
      <xdr:row>8</xdr:row>
      <xdr:rowOff>105319</xdr:rowOff>
    </xdr:to>
    <xdr:sp macro="" textlink="">
      <xdr:nvSpPr>
        <xdr:cNvPr id="4" name="TextBox 3">
          <a:extLst>
            <a:ext uri="{FF2B5EF4-FFF2-40B4-BE49-F238E27FC236}">
              <a16:creationId xmlns:a16="http://schemas.microsoft.com/office/drawing/2014/main" id="{D5FF5A06-B8A4-6A3C-10E2-86A987789864}"/>
            </a:ext>
          </a:extLst>
        </xdr:cNvPr>
        <xdr:cNvSpPr txBox="1"/>
      </xdr:nvSpPr>
      <xdr:spPr>
        <a:xfrm>
          <a:off x="17438642" y="1077141"/>
          <a:ext cx="2940050" cy="425178"/>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800" b="1" i="0" u="none" strike="noStrike">
              <a:solidFill>
                <a:srgbClr val="92D050"/>
              </a:solidFill>
              <a:effectLst/>
              <a:latin typeface="Arial Black" panose="020B0A04020102020204" pitchFamily="34" charset="0"/>
              <a:ea typeface="+mn-ea"/>
              <a:cs typeface="+mn-cs"/>
            </a:rPr>
            <a:t>738</a:t>
          </a:r>
          <a:endParaRPr lang="en-ZA" sz="1800">
            <a:solidFill>
              <a:srgbClr val="92D050"/>
            </a:solidFill>
            <a:latin typeface="Arial Black" panose="020B0A04020102020204" pitchFamily="34" charset="0"/>
          </a:endParaRPr>
        </a:p>
      </xdr:txBody>
    </xdr:sp>
    <xdr:clientData/>
  </xdr:twoCellAnchor>
  <xdr:twoCellAnchor>
    <xdr:from>
      <xdr:col>4</xdr:col>
      <xdr:colOff>278402</xdr:colOff>
      <xdr:row>3</xdr:row>
      <xdr:rowOff>112939</xdr:rowOff>
    </xdr:from>
    <xdr:to>
      <xdr:col>9</xdr:col>
      <xdr:colOff>175532</xdr:colOff>
      <xdr:row>9</xdr:row>
      <xdr:rowOff>63409</xdr:rowOff>
    </xdr:to>
    <xdr:sp macro="" textlink="">
      <xdr:nvSpPr>
        <xdr:cNvPr id="5" name="Rectangle 4">
          <a:extLst>
            <a:ext uri="{FF2B5EF4-FFF2-40B4-BE49-F238E27FC236}">
              <a16:creationId xmlns:a16="http://schemas.microsoft.com/office/drawing/2014/main" id="{4896F62A-ADEA-8366-A28B-B86A5B6C880C}"/>
            </a:ext>
          </a:extLst>
        </xdr:cNvPr>
        <xdr:cNvSpPr/>
      </xdr:nvSpPr>
      <xdr:spPr>
        <a:xfrm>
          <a:off x="2727688" y="643618"/>
          <a:ext cx="2958737" cy="1011827"/>
        </a:xfrm>
        <a:prstGeom prst="rect">
          <a:avLst/>
        </a:prstGeom>
        <a:solidFill>
          <a:srgbClr val="7030A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800" b="1">
              <a:solidFill>
                <a:srgbClr val="92D050"/>
              </a:solidFill>
              <a:latin typeface="Arial Black" panose="020B0A04020102020204" pitchFamily="34" charset="0"/>
            </a:rPr>
            <a:t>Total Value</a:t>
          </a:r>
          <a:r>
            <a:rPr lang="en-ZA" sz="1800" b="1" baseline="0">
              <a:solidFill>
                <a:srgbClr val="92D050"/>
              </a:solidFill>
              <a:latin typeface="Arial Black" panose="020B0A04020102020204" pitchFamily="34" charset="0"/>
            </a:rPr>
            <a:t> at risk</a:t>
          </a:r>
          <a:r>
            <a:rPr lang="en-ZA" sz="1800" b="1">
              <a:solidFill>
                <a:srgbClr val="92D050"/>
              </a:solidFill>
              <a:latin typeface="Arial Black" panose="020B0A04020102020204" pitchFamily="34" charset="0"/>
            </a:rPr>
            <a:t>(ZAR)</a:t>
          </a:r>
        </a:p>
      </xdr:txBody>
    </xdr:sp>
    <xdr:clientData/>
  </xdr:twoCellAnchor>
  <xdr:twoCellAnchor>
    <xdr:from>
      <xdr:col>5</xdr:col>
      <xdr:colOff>167640</xdr:colOff>
      <xdr:row>5</xdr:row>
      <xdr:rowOff>129540</xdr:rowOff>
    </xdr:from>
    <xdr:to>
      <xdr:col>10</xdr:col>
      <xdr:colOff>7620</xdr:colOff>
      <xdr:row>9</xdr:row>
      <xdr:rowOff>0</xdr:rowOff>
    </xdr:to>
    <xdr:sp macro="" textlink="">
      <xdr:nvSpPr>
        <xdr:cNvPr id="6" name="TextBox 5">
          <a:extLst>
            <a:ext uri="{FF2B5EF4-FFF2-40B4-BE49-F238E27FC236}">
              <a16:creationId xmlns:a16="http://schemas.microsoft.com/office/drawing/2014/main" id="{0BE85D9C-4B2C-E62D-9FAF-6075F51EB07E}"/>
            </a:ext>
          </a:extLst>
        </xdr:cNvPr>
        <xdr:cNvSpPr txBox="1"/>
      </xdr:nvSpPr>
      <xdr:spPr>
        <a:xfrm>
          <a:off x="3215640" y="1043940"/>
          <a:ext cx="288798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100"/>
        </a:p>
      </xdr:txBody>
    </xdr:sp>
    <xdr:clientData/>
  </xdr:twoCellAnchor>
  <xdr:twoCellAnchor>
    <xdr:from>
      <xdr:col>16</xdr:col>
      <xdr:colOff>207009</xdr:colOff>
      <xdr:row>3</xdr:row>
      <xdr:rowOff>129449</xdr:rowOff>
    </xdr:from>
    <xdr:to>
      <xdr:col>21</xdr:col>
      <xdr:colOff>111306</xdr:colOff>
      <xdr:row>9</xdr:row>
      <xdr:rowOff>85634</xdr:rowOff>
    </xdr:to>
    <xdr:sp macro="" textlink="">
      <xdr:nvSpPr>
        <xdr:cNvPr id="7" name="Rectangle 6">
          <a:extLst>
            <a:ext uri="{FF2B5EF4-FFF2-40B4-BE49-F238E27FC236}">
              <a16:creationId xmlns:a16="http://schemas.microsoft.com/office/drawing/2014/main" id="{BD4B31B6-6AB2-4141-CA25-B39BA331DCD9}"/>
            </a:ext>
          </a:extLst>
        </xdr:cNvPr>
        <xdr:cNvSpPr/>
      </xdr:nvSpPr>
      <xdr:spPr>
        <a:xfrm>
          <a:off x="9859009" y="653324"/>
          <a:ext cx="2920547" cy="1003935"/>
        </a:xfrm>
        <a:prstGeom prst="rect">
          <a:avLst/>
        </a:prstGeom>
        <a:solidFill>
          <a:srgbClr val="7030A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800">
              <a:solidFill>
                <a:srgbClr val="92D050"/>
              </a:solidFill>
              <a:latin typeface="Arial Black" panose="020B0A04020102020204" pitchFamily="34" charset="0"/>
            </a:rPr>
            <a:t>%</a:t>
          </a:r>
          <a:r>
            <a:rPr lang="en-ZA" sz="1800" baseline="0">
              <a:solidFill>
                <a:srgbClr val="92D050"/>
              </a:solidFill>
              <a:latin typeface="Arial Black" panose="020B0A04020102020204" pitchFamily="34" charset="0"/>
            </a:rPr>
            <a:t> High Risk Transactions</a:t>
          </a:r>
        </a:p>
        <a:p>
          <a:pPr algn="l"/>
          <a:endParaRPr lang="en-ZA" sz="1100"/>
        </a:p>
      </xdr:txBody>
    </xdr:sp>
    <xdr:clientData/>
  </xdr:twoCellAnchor>
  <xdr:twoCellAnchor>
    <xdr:from>
      <xdr:col>10</xdr:col>
      <xdr:colOff>266700</xdr:colOff>
      <xdr:row>5</xdr:row>
      <xdr:rowOff>137160</xdr:rowOff>
    </xdr:from>
    <xdr:to>
      <xdr:col>15</xdr:col>
      <xdr:colOff>106680</xdr:colOff>
      <xdr:row>9</xdr:row>
      <xdr:rowOff>7620</xdr:rowOff>
    </xdr:to>
    <xdr:sp macro="" textlink="">
      <xdr:nvSpPr>
        <xdr:cNvPr id="8" name="TextBox 7">
          <a:extLst>
            <a:ext uri="{FF2B5EF4-FFF2-40B4-BE49-F238E27FC236}">
              <a16:creationId xmlns:a16="http://schemas.microsoft.com/office/drawing/2014/main" id="{3B97F1BF-3AD0-D905-BD93-EF633E83C40A}"/>
            </a:ext>
          </a:extLst>
        </xdr:cNvPr>
        <xdr:cNvSpPr txBox="1"/>
      </xdr:nvSpPr>
      <xdr:spPr>
        <a:xfrm>
          <a:off x="6362700" y="1051560"/>
          <a:ext cx="288798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100"/>
        </a:p>
      </xdr:txBody>
    </xdr:sp>
    <xdr:clientData/>
  </xdr:twoCellAnchor>
  <xdr:twoCellAnchor>
    <xdr:from>
      <xdr:col>10</xdr:col>
      <xdr:colOff>88719</xdr:colOff>
      <xdr:row>3</xdr:row>
      <xdr:rowOff>97064</xdr:rowOff>
    </xdr:from>
    <xdr:to>
      <xdr:col>15</xdr:col>
      <xdr:colOff>12519</xdr:colOff>
      <xdr:row>9</xdr:row>
      <xdr:rowOff>43724</xdr:rowOff>
    </xdr:to>
    <xdr:sp macro="" textlink="">
      <xdr:nvSpPr>
        <xdr:cNvPr id="9" name="Rectangle 8">
          <a:extLst>
            <a:ext uri="{FF2B5EF4-FFF2-40B4-BE49-F238E27FC236}">
              <a16:creationId xmlns:a16="http://schemas.microsoft.com/office/drawing/2014/main" id="{4ECD7A0D-3FB7-C6A7-66CD-E41755AB0A58}"/>
            </a:ext>
          </a:extLst>
        </xdr:cNvPr>
        <xdr:cNvSpPr/>
      </xdr:nvSpPr>
      <xdr:spPr>
        <a:xfrm>
          <a:off x="6121219" y="620939"/>
          <a:ext cx="2940050" cy="994410"/>
        </a:xfrm>
        <a:prstGeom prst="rect">
          <a:avLst/>
        </a:prstGeom>
        <a:solidFill>
          <a:srgbClr val="7030A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800" b="1">
              <a:solidFill>
                <a:srgbClr val="92D050"/>
              </a:solidFill>
              <a:latin typeface="Arial Black" panose="020B0A04020102020204" pitchFamily="34" charset="0"/>
            </a:rPr>
            <a:t>Number of cardholders</a:t>
          </a:r>
        </a:p>
      </xdr:txBody>
    </xdr:sp>
    <xdr:clientData/>
  </xdr:twoCellAnchor>
  <xdr:twoCellAnchor>
    <xdr:from>
      <xdr:col>4</xdr:col>
      <xdr:colOff>304800</xdr:colOff>
      <xdr:row>7</xdr:row>
      <xdr:rowOff>60798</xdr:rowOff>
    </xdr:from>
    <xdr:to>
      <xdr:col>9</xdr:col>
      <xdr:colOff>133350</xdr:colOff>
      <xdr:row>9</xdr:row>
      <xdr:rowOff>17145</xdr:rowOff>
    </xdr:to>
    <xdr:sp macro="" textlink="">
      <xdr:nvSpPr>
        <xdr:cNvPr id="10" name="TextBox 9">
          <a:extLst>
            <a:ext uri="{FF2B5EF4-FFF2-40B4-BE49-F238E27FC236}">
              <a16:creationId xmlns:a16="http://schemas.microsoft.com/office/drawing/2014/main" id="{F2AA799C-8BB9-A3CD-A115-08685B71D027}"/>
            </a:ext>
          </a:extLst>
        </xdr:cNvPr>
        <xdr:cNvSpPr txBox="1"/>
      </xdr:nvSpPr>
      <xdr:spPr>
        <a:xfrm>
          <a:off x="2736715" y="1337553"/>
          <a:ext cx="2868444" cy="321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1" i="0" u="none" strike="noStrike">
              <a:solidFill>
                <a:srgbClr val="92D050"/>
              </a:solidFill>
              <a:effectLst/>
              <a:latin typeface="Arial Black" panose="020B0A04020102020204" pitchFamily="34" charset="0"/>
              <a:ea typeface="+mn-ea"/>
              <a:cs typeface="+mn-cs"/>
            </a:rPr>
            <a:t>R1 423 975.85</a:t>
          </a:r>
          <a:r>
            <a:rPr lang="en-ZA" sz="1600" b="1">
              <a:solidFill>
                <a:srgbClr val="92D050"/>
              </a:solidFill>
              <a:effectLst/>
              <a:latin typeface="Arial Black" panose="020B0A04020102020204" pitchFamily="34" charset="0"/>
            </a:rPr>
            <a:t> </a:t>
          </a:r>
          <a:endParaRPr lang="en-ZA" sz="1600" b="1">
            <a:solidFill>
              <a:srgbClr val="92D050"/>
            </a:solidFill>
            <a:latin typeface="Arial Black" panose="020B0A04020102020204" pitchFamily="34" charset="0"/>
          </a:endParaRPr>
        </a:p>
      </xdr:txBody>
    </xdr:sp>
    <xdr:clientData/>
  </xdr:twoCellAnchor>
  <xdr:twoCellAnchor>
    <xdr:from>
      <xdr:col>16</xdr:col>
      <xdr:colOff>215899</xdr:colOff>
      <xdr:row>7</xdr:row>
      <xdr:rowOff>81064</xdr:rowOff>
    </xdr:from>
    <xdr:to>
      <xdr:col>20</xdr:col>
      <xdr:colOff>584381</xdr:colOff>
      <xdr:row>9</xdr:row>
      <xdr:rowOff>76018</xdr:rowOff>
    </xdr:to>
    <xdr:sp macro="" textlink="">
      <xdr:nvSpPr>
        <xdr:cNvPr id="11" name="TextBox 10">
          <a:extLst>
            <a:ext uri="{FF2B5EF4-FFF2-40B4-BE49-F238E27FC236}">
              <a16:creationId xmlns:a16="http://schemas.microsoft.com/office/drawing/2014/main" id="{8B0096FA-250D-6278-54D4-8566D8CAE042}"/>
            </a:ext>
          </a:extLst>
        </xdr:cNvPr>
        <xdr:cNvSpPr txBox="1"/>
      </xdr:nvSpPr>
      <xdr:spPr>
        <a:xfrm>
          <a:off x="9943559" y="1357819"/>
          <a:ext cx="2800396" cy="359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800" b="0" i="0" u="none" strike="noStrike">
              <a:solidFill>
                <a:srgbClr val="92D050"/>
              </a:solidFill>
              <a:effectLst/>
              <a:latin typeface="Arial Black" panose="020B0A04020102020204" pitchFamily="34" charset="0"/>
              <a:ea typeface="+mn-ea"/>
              <a:cs typeface="+mn-cs"/>
            </a:rPr>
            <a:t>3.12%</a:t>
          </a:r>
          <a:r>
            <a:rPr lang="en-ZA" sz="1800">
              <a:solidFill>
                <a:srgbClr val="92D050"/>
              </a:solidFill>
              <a:effectLst/>
              <a:latin typeface="Arial Black" panose="020B0A04020102020204" pitchFamily="34" charset="0"/>
            </a:rPr>
            <a:t> </a:t>
          </a:r>
          <a:endParaRPr lang="en-ZA" sz="1800">
            <a:solidFill>
              <a:srgbClr val="92D050"/>
            </a:solidFill>
            <a:latin typeface="Arial Black" panose="020B0A04020102020204" pitchFamily="34" charset="0"/>
          </a:endParaRPr>
        </a:p>
      </xdr:txBody>
    </xdr:sp>
    <xdr:clientData/>
  </xdr:twoCellAnchor>
  <xdr:twoCellAnchor>
    <xdr:from>
      <xdr:col>10</xdr:col>
      <xdr:colOff>143328</xdr:colOff>
      <xdr:row>7</xdr:row>
      <xdr:rowOff>60798</xdr:rowOff>
    </xdr:from>
    <xdr:to>
      <xdr:col>14</xdr:col>
      <xdr:colOff>592273</xdr:colOff>
      <xdr:row>9</xdr:row>
      <xdr:rowOff>11158</xdr:rowOff>
    </xdr:to>
    <xdr:sp macro="" textlink="">
      <xdr:nvSpPr>
        <xdr:cNvPr id="12" name="TextBox 11">
          <a:extLst>
            <a:ext uri="{FF2B5EF4-FFF2-40B4-BE49-F238E27FC236}">
              <a16:creationId xmlns:a16="http://schemas.microsoft.com/office/drawing/2014/main" id="{2C83259C-3AEA-7DD4-BA99-5CD8CE45869A}"/>
            </a:ext>
          </a:extLst>
        </xdr:cNvPr>
        <xdr:cNvSpPr txBox="1"/>
      </xdr:nvSpPr>
      <xdr:spPr>
        <a:xfrm>
          <a:off x="6223115" y="1337553"/>
          <a:ext cx="2880860" cy="315148"/>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800" b="1">
              <a:solidFill>
                <a:srgbClr val="92D050"/>
              </a:solidFill>
              <a:latin typeface="Arial Black" panose="020B0A04020102020204" pitchFamily="34" charset="0"/>
            </a:rPr>
            <a:t>62</a:t>
          </a:r>
        </a:p>
        <a:p>
          <a:endParaRPr lang="en-ZA" sz="1100"/>
        </a:p>
      </xdr:txBody>
    </xdr:sp>
    <xdr:clientData/>
  </xdr:twoCellAnchor>
  <xdr:twoCellAnchor>
    <xdr:from>
      <xdr:col>22</xdr:col>
      <xdr:colOff>414835</xdr:colOff>
      <xdr:row>3</xdr:row>
      <xdr:rowOff>134802</xdr:rowOff>
    </xdr:from>
    <xdr:to>
      <xdr:col>27</xdr:col>
      <xdr:colOff>311149</xdr:colOff>
      <xdr:row>9</xdr:row>
      <xdr:rowOff>92892</xdr:rowOff>
    </xdr:to>
    <xdr:sp macro="" textlink="">
      <xdr:nvSpPr>
        <xdr:cNvPr id="13" name="Rectangle 12">
          <a:extLst>
            <a:ext uri="{FF2B5EF4-FFF2-40B4-BE49-F238E27FC236}">
              <a16:creationId xmlns:a16="http://schemas.microsoft.com/office/drawing/2014/main" id="{FEBCB32E-6E52-479C-7061-EF76DE6AFECA}"/>
            </a:ext>
          </a:extLst>
        </xdr:cNvPr>
        <xdr:cNvSpPr/>
      </xdr:nvSpPr>
      <xdr:spPr>
        <a:xfrm>
          <a:off x="13686335" y="658677"/>
          <a:ext cx="2912564" cy="1005840"/>
        </a:xfrm>
        <a:prstGeom prst="rect">
          <a:avLst/>
        </a:prstGeom>
        <a:solidFill>
          <a:srgbClr val="7030A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800" b="1">
              <a:solidFill>
                <a:srgbClr val="92D050"/>
              </a:solidFill>
              <a:latin typeface="Arial Black" panose="020B0A04020102020204" pitchFamily="34" charset="0"/>
            </a:rPr>
            <a:t>% Declined Transactions</a:t>
          </a:r>
          <a:endParaRPr lang="en-ZA" sz="1800" b="1" baseline="0">
            <a:solidFill>
              <a:srgbClr val="92D050"/>
            </a:solidFill>
            <a:latin typeface="Arial Black" panose="020B0A04020102020204" pitchFamily="34" charset="0"/>
          </a:endParaRPr>
        </a:p>
        <a:p>
          <a:pPr algn="l"/>
          <a:endParaRPr lang="en-ZA" sz="1100"/>
        </a:p>
      </xdr:txBody>
    </xdr:sp>
    <xdr:clientData/>
  </xdr:twoCellAnchor>
  <xdr:twoCellAnchor>
    <xdr:from>
      <xdr:col>22</xdr:col>
      <xdr:colOff>543832</xdr:colOff>
      <xdr:row>6</xdr:row>
      <xdr:rowOff>171903</xdr:rowOff>
    </xdr:from>
    <xdr:to>
      <xdr:col>27</xdr:col>
      <xdr:colOff>323941</xdr:colOff>
      <xdr:row>9</xdr:row>
      <xdr:rowOff>54156</xdr:rowOff>
    </xdr:to>
    <xdr:sp macro="" textlink="">
      <xdr:nvSpPr>
        <xdr:cNvPr id="14" name="TextBox 13">
          <a:extLst>
            <a:ext uri="{FF2B5EF4-FFF2-40B4-BE49-F238E27FC236}">
              <a16:creationId xmlns:a16="http://schemas.microsoft.com/office/drawing/2014/main" id="{2D11532A-84AD-6AA7-EDF4-ED5660B19101}"/>
            </a:ext>
          </a:extLst>
        </xdr:cNvPr>
        <xdr:cNvSpPr txBox="1"/>
      </xdr:nvSpPr>
      <xdr:spPr>
        <a:xfrm>
          <a:off x="13815332" y="1219653"/>
          <a:ext cx="2796359" cy="406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800" b="0" i="0" u="none" strike="noStrike">
              <a:solidFill>
                <a:srgbClr val="92D050"/>
              </a:solidFill>
              <a:effectLst/>
              <a:latin typeface="Arial Black" panose="020B0A04020102020204" pitchFamily="34" charset="0"/>
              <a:ea typeface="+mn-ea"/>
              <a:cs typeface="+mn-cs"/>
            </a:rPr>
            <a:t>20.60</a:t>
          </a:r>
          <a:r>
            <a:rPr lang="en-ZA" sz="1800" b="0" i="0" u="none" strike="noStrike">
              <a:solidFill>
                <a:srgbClr val="92D050"/>
              </a:solidFill>
              <a:effectLst/>
              <a:latin typeface="+mn-lt"/>
              <a:ea typeface="+mn-ea"/>
              <a:cs typeface="+mn-cs"/>
            </a:rPr>
            <a:t>%</a:t>
          </a:r>
          <a:r>
            <a:rPr lang="en-ZA" sz="1800">
              <a:solidFill>
                <a:srgbClr val="92D050"/>
              </a:solidFill>
              <a:effectLst/>
            </a:rPr>
            <a:t> </a:t>
          </a:r>
          <a:endParaRPr lang="en-ZA" sz="1800" b="1">
            <a:solidFill>
              <a:srgbClr val="92D050"/>
            </a:solidFill>
            <a:latin typeface="Arial Black" panose="020B0A04020102020204" pitchFamily="34" charset="0"/>
          </a:endParaRPr>
        </a:p>
        <a:p>
          <a:endParaRPr lang="en-ZA" sz="1100"/>
        </a:p>
      </xdr:txBody>
    </xdr:sp>
    <xdr:clientData/>
  </xdr:twoCellAnchor>
  <xdr:twoCellAnchor>
    <xdr:from>
      <xdr:col>25</xdr:col>
      <xdr:colOff>170815</xdr:colOff>
      <xdr:row>10</xdr:row>
      <xdr:rowOff>51433</xdr:rowOff>
    </xdr:from>
    <xdr:to>
      <xdr:col>36</xdr:col>
      <xdr:colOff>508000</xdr:colOff>
      <xdr:row>30</xdr:row>
      <xdr:rowOff>79374</xdr:rowOff>
    </xdr:to>
    <xdr:graphicFrame macro="">
      <xdr:nvGraphicFramePr>
        <xdr:cNvPr id="16" name="Chart 15">
          <a:extLst>
            <a:ext uri="{FF2B5EF4-FFF2-40B4-BE49-F238E27FC236}">
              <a16:creationId xmlns:a16="http://schemas.microsoft.com/office/drawing/2014/main" id="{C37B72A4-9120-438A-95B1-BB08CE172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35560</xdr:colOff>
      <xdr:row>53</xdr:row>
      <xdr:rowOff>101329</xdr:rowOff>
    </xdr:from>
    <xdr:to>
      <xdr:col>20</xdr:col>
      <xdr:colOff>81064</xdr:colOff>
      <xdr:row>79</xdr:row>
      <xdr:rowOff>140970</xdr:rowOff>
    </xdr:to>
    <xdr:graphicFrame macro="">
      <xdr:nvGraphicFramePr>
        <xdr:cNvPr id="19" name="Chart 18">
          <a:extLst>
            <a:ext uri="{FF2B5EF4-FFF2-40B4-BE49-F238E27FC236}">
              <a16:creationId xmlns:a16="http://schemas.microsoft.com/office/drawing/2014/main" id="{CCA25EA7-0F21-4964-9433-BF9F7D358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206376</xdr:colOff>
      <xdr:row>30</xdr:row>
      <xdr:rowOff>111125</xdr:rowOff>
    </xdr:from>
    <xdr:to>
      <xdr:col>36</xdr:col>
      <xdr:colOff>506822</xdr:colOff>
      <xdr:row>53</xdr:row>
      <xdr:rowOff>0</xdr:rowOff>
    </xdr:to>
    <xdr:graphicFrame macro="">
      <xdr:nvGraphicFramePr>
        <xdr:cNvPr id="21" name="Chart 20">
          <a:extLst>
            <a:ext uri="{FF2B5EF4-FFF2-40B4-BE49-F238E27FC236}">
              <a16:creationId xmlns:a16="http://schemas.microsoft.com/office/drawing/2014/main" id="{08CA990D-9A12-4A82-916C-E0F2C6706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54428</xdr:colOff>
      <xdr:row>3</xdr:row>
      <xdr:rowOff>158751</xdr:rowOff>
    </xdr:from>
    <xdr:to>
      <xdr:col>3</xdr:col>
      <xdr:colOff>579278</xdr:colOff>
      <xdr:row>79</xdr:row>
      <xdr:rowOff>59690</xdr:rowOff>
    </xdr:to>
    <xdr:sp macro="" textlink="">
      <xdr:nvSpPr>
        <xdr:cNvPr id="15" name="Rectangle 14">
          <a:extLst>
            <a:ext uri="{FF2B5EF4-FFF2-40B4-BE49-F238E27FC236}">
              <a16:creationId xmlns:a16="http://schemas.microsoft.com/office/drawing/2014/main" id="{142934E0-F1B5-16B1-B5BE-F60515DA862E}"/>
            </a:ext>
          </a:extLst>
        </xdr:cNvPr>
        <xdr:cNvSpPr/>
      </xdr:nvSpPr>
      <xdr:spPr>
        <a:xfrm>
          <a:off x="54428" y="694532"/>
          <a:ext cx="2370319" cy="13474064"/>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54610</xdr:colOff>
      <xdr:row>30</xdr:row>
      <xdr:rowOff>79375</xdr:rowOff>
    </xdr:from>
    <xdr:to>
      <xdr:col>15</xdr:col>
      <xdr:colOff>111125</xdr:colOff>
      <xdr:row>53</xdr:row>
      <xdr:rowOff>29844</xdr:rowOff>
    </xdr:to>
    <xdr:graphicFrame macro="">
      <xdr:nvGraphicFramePr>
        <xdr:cNvPr id="17" name="Chart 16">
          <a:extLst>
            <a:ext uri="{FF2B5EF4-FFF2-40B4-BE49-F238E27FC236}">
              <a16:creationId xmlns:a16="http://schemas.microsoft.com/office/drawing/2014/main" id="{412B2494-A4CE-4BDE-A3D3-C2109D9FB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47625</xdr:colOff>
      <xdr:row>9</xdr:row>
      <xdr:rowOff>168274</xdr:rowOff>
    </xdr:from>
    <xdr:to>
      <xdr:col>15</xdr:col>
      <xdr:colOff>81064</xdr:colOff>
      <xdr:row>29</xdr:row>
      <xdr:rowOff>162127</xdr:rowOff>
    </xdr:to>
    <xdr:graphicFrame macro="">
      <xdr:nvGraphicFramePr>
        <xdr:cNvPr id="20" name="Chart 19">
          <a:extLst>
            <a:ext uri="{FF2B5EF4-FFF2-40B4-BE49-F238E27FC236}">
              <a16:creationId xmlns:a16="http://schemas.microsoft.com/office/drawing/2014/main" id="{1DC845D0-7E67-40CE-A1E0-F65105945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224951</xdr:colOff>
      <xdr:row>10</xdr:row>
      <xdr:rowOff>81064</xdr:rowOff>
    </xdr:from>
    <xdr:to>
      <xdr:col>25</xdr:col>
      <xdr:colOff>121595</xdr:colOff>
      <xdr:row>30</xdr:row>
      <xdr:rowOff>39951</xdr:rowOff>
    </xdr:to>
    <xdr:graphicFrame macro="">
      <xdr:nvGraphicFramePr>
        <xdr:cNvPr id="24" name="Chart 23">
          <a:extLst>
            <a:ext uri="{FF2B5EF4-FFF2-40B4-BE49-F238E27FC236}">
              <a16:creationId xmlns:a16="http://schemas.microsoft.com/office/drawing/2014/main" id="{496106AA-AF0C-4769-8C3B-70403A76E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243190</xdr:colOff>
      <xdr:row>30</xdr:row>
      <xdr:rowOff>95249</xdr:rowOff>
    </xdr:from>
    <xdr:to>
      <xdr:col>25</xdr:col>
      <xdr:colOff>134620</xdr:colOff>
      <xdr:row>52</xdr:row>
      <xdr:rowOff>162128</xdr:rowOff>
    </xdr:to>
    <xdr:graphicFrame macro="">
      <xdr:nvGraphicFramePr>
        <xdr:cNvPr id="25" name="Chart 24">
          <a:extLst>
            <a:ext uri="{FF2B5EF4-FFF2-40B4-BE49-F238E27FC236}">
              <a16:creationId xmlns:a16="http://schemas.microsoft.com/office/drawing/2014/main" id="{B088146D-0CF8-49E4-8BEE-8016D0A44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164034</xdr:colOff>
      <xdr:row>53</xdr:row>
      <xdr:rowOff>81064</xdr:rowOff>
    </xdr:from>
    <xdr:to>
      <xdr:col>36</xdr:col>
      <xdr:colOff>506650</xdr:colOff>
      <xdr:row>79</xdr:row>
      <xdr:rowOff>137158</xdr:rowOff>
    </xdr:to>
    <xdr:graphicFrame macro="">
      <xdr:nvGraphicFramePr>
        <xdr:cNvPr id="26" name="Chart 25">
          <a:extLst>
            <a:ext uri="{FF2B5EF4-FFF2-40B4-BE49-F238E27FC236}">
              <a16:creationId xmlns:a16="http://schemas.microsoft.com/office/drawing/2014/main" id="{45E2D803-3F49-4B36-83E2-711D1ED5A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117768</xdr:colOff>
      <xdr:row>16</xdr:row>
      <xdr:rowOff>0</xdr:rowOff>
    </xdr:from>
    <xdr:to>
      <xdr:col>3</xdr:col>
      <xdr:colOff>476250</xdr:colOff>
      <xdr:row>29</xdr:row>
      <xdr:rowOff>99219</xdr:rowOff>
    </xdr:to>
    <mc:AlternateContent xmlns:mc="http://schemas.openxmlformats.org/markup-compatibility/2006">
      <mc:Choice xmlns:a14="http://schemas.microsoft.com/office/drawing/2010/main" Requires="a14">
        <xdr:graphicFrame macro="">
          <xdr:nvGraphicFramePr>
            <xdr:cNvPr id="28" name="Category 1">
              <a:extLst>
                <a:ext uri="{FF2B5EF4-FFF2-40B4-BE49-F238E27FC236}">
                  <a16:creationId xmlns:a16="http://schemas.microsoft.com/office/drawing/2014/main" id="{2D61604B-A9FD-44D8-9810-4E105145ADC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7768" y="2918298"/>
              <a:ext cx="2178608" cy="246652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115253</xdr:colOff>
      <xdr:row>31</xdr:row>
      <xdr:rowOff>16034</xdr:rowOff>
    </xdr:from>
    <xdr:to>
      <xdr:col>3</xdr:col>
      <xdr:colOff>556919</xdr:colOff>
      <xdr:row>47</xdr:row>
      <xdr:rowOff>138907</xdr:rowOff>
    </xdr:to>
    <mc:AlternateContent xmlns:mc="http://schemas.openxmlformats.org/markup-compatibility/2006">
      <mc:Choice xmlns:a14="http://schemas.microsoft.com/office/drawing/2010/main" Requires="a14">
        <xdr:graphicFrame macro="">
          <xdr:nvGraphicFramePr>
            <xdr:cNvPr id="30" name="City 1">
              <a:extLst>
                <a:ext uri="{FF2B5EF4-FFF2-40B4-BE49-F238E27FC236}">
                  <a16:creationId xmlns:a16="http://schemas.microsoft.com/office/drawing/2014/main" id="{DD5C0407-C357-4B02-A6DF-2838682FDC5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15253" y="5674046"/>
              <a:ext cx="2261792" cy="303355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95408</xdr:colOff>
      <xdr:row>49</xdr:row>
      <xdr:rowOff>144621</xdr:rowOff>
    </xdr:from>
    <xdr:to>
      <xdr:col>3</xdr:col>
      <xdr:colOff>535779</xdr:colOff>
      <xdr:row>57</xdr:row>
      <xdr:rowOff>79375</xdr:rowOff>
    </xdr:to>
    <mc:AlternateContent xmlns:mc="http://schemas.openxmlformats.org/markup-compatibility/2006">
      <mc:Choice xmlns:a14="http://schemas.microsoft.com/office/drawing/2010/main" Requires="a14">
        <xdr:graphicFrame macro="">
          <xdr:nvGraphicFramePr>
            <xdr:cNvPr id="31" name="Risk_Level 1">
              <a:extLst>
                <a:ext uri="{FF2B5EF4-FFF2-40B4-BE49-F238E27FC236}">
                  <a16:creationId xmlns:a16="http://schemas.microsoft.com/office/drawing/2014/main" id="{45BC4927-A92F-4CC3-9334-4598E139D6AF}"/>
                </a:ext>
              </a:extLst>
            </xdr:cNvPr>
            <xdr:cNvGraphicFramePr/>
          </xdr:nvGraphicFramePr>
          <xdr:xfrm>
            <a:off x="0" y="0"/>
            <a:ext cx="0" cy="0"/>
          </xdr:xfrm>
          <a:graphic>
            <a:graphicData uri="http://schemas.microsoft.com/office/drawing/2010/slicer">
              <sle:slicer xmlns:sle="http://schemas.microsoft.com/office/drawing/2010/slicer" name="Risk_Level 1"/>
            </a:graphicData>
          </a:graphic>
        </xdr:graphicFrame>
      </mc:Choice>
      <mc:Fallback>
        <xdr:sp macro="" textlink="">
          <xdr:nvSpPr>
            <xdr:cNvPr id="0" name=""/>
            <xdr:cNvSpPr>
              <a:spLocks noTextEdit="1"/>
            </xdr:cNvSpPr>
          </xdr:nvSpPr>
          <xdr:spPr>
            <a:xfrm>
              <a:off x="91598" y="9080003"/>
              <a:ext cx="2268117" cy="139580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75565</xdr:colOff>
      <xdr:row>59</xdr:row>
      <xdr:rowOff>95409</xdr:rowOff>
    </xdr:from>
    <xdr:to>
      <xdr:col>3</xdr:col>
      <xdr:colOff>571658</xdr:colOff>
      <xdr:row>68</xdr:row>
      <xdr:rowOff>16034</xdr:rowOff>
    </xdr:to>
    <mc:AlternateContent xmlns:mc="http://schemas.openxmlformats.org/markup-compatibility/2006">
      <mc:Choice xmlns:a14="http://schemas.microsoft.com/office/drawing/2010/main" Requires="a14">
        <xdr:graphicFrame macro="">
          <xdr:nvGraphicFramePr>
            <xdr:cNvPr id="33" name="Channel 1">
              <a:extLst>
                <a:ext uri="{FF2B5EF4-FFF2-40B4-BE49-F238E27FC236}">
                  <a16:creationId xmlns:a16="http://schemas.microsoft.com/office/drawing/2014/main" id="{470E96D7-5E72-4EC5-969D-6E13007F01EC}"/>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75565" y="10852822"/>
              <a:ext cx="2320029" cy="156978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59532</xdr:colOff>
      <xdr:row>69</xdr:row>
      <xdr:rowOff>138906</xdr:rowOff>
    </xdr:from>
    <xdr:to>
      <xdr:col>3</xdr:col>
      <xdr:colOff>571659</xdr:colOff>
      <xdr:row>76</xdr:row>
      <xdr:rowOff>55722</xdr:rowOff>
    </xdr:to>
    <mc:AlternateContent xmlns:mc="http://schemas.openxmlformats.org/markup-compatibility/2006">
      <mc:Choice xmlns:a14="http://schemas.microsoft.com/office/drawing/2010/main" Requires="a14">
        <xdr:graphicFrame macro="">
          <xdr:nvGraphicFramePr>
            <xdr:cNvPr id="34" name="Card_Network 1">
              <a:extLst>
                <a:ext uri="{FF2B5EF4-FFF2-40B4-BE49-F238E27FC236}">
                  <a16:creationId xmlns:a16="http://schemas.microsoft.com/office/drawing/2014/main" id="{73395F02-62C1-46A5-AED5-C4A7EBC352B0}"/>
                </a:ext>
              </a:extLst>
            </xdr:cNvPr>
            <xdr:cNvGraphicFramePr/>
          </xdr:nvGraphicFramePr>
          <xdr:xfrm>
            <a:off x="0" y="0"/>
            <a:ext cx="0" cy="0"/>
          </xdr:xfrm>
          <a:graphic>
            <a:graphicData uri="http://schemas.microsoft.com/office/drawing/2010/slicer">
              <sle:slicer xmlns:sle="http://schemas.microsoft.com/office/drawing/2010/slicer" name="Card_Network 1"/>
            </a:graphicData>
          </a:graphic>
        </xdr:graphicFrame>
      </mc:Choice>
      <mc:Fallback>
        <xdr:sp macro="" textlink="">
          <xdr:nvSpPr>
            <xdr:cNvPr id="0" name=""/>
            <xdr:cNvSpPr>
              <a:spLocks noTextEdit="1"/>
            </xdr:cNvSpPr>
          </xdr:nvSpPr>
          <xdr:spPr>
            <a:xfrm>
              <a:off x="55722" y="12720256"/>
              <a:ext cx="2339873" cy="120119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78082</xdr:colOff>
      <xdr:row>4</xdr:row>
      <xdr:rowOff>122873</xdr:rowOff>
    </xdr:from>
    <xdr:to>
      <xdr:col>3</xdr:col>
      <xdr:colOff>595312</xdr:colOff>
      <xdr:row>12</xdr:row>
      <xdr:rowOff>79375</xdr:rowOff>
    </xdr:to>
    <mc:AlternateContent xmlns:mc="http://schemas.openxmlformats.org/markup-compatibility/2006">
      <mc:Choice xmlns:tsle="http://schemas.microsoft.com/office/drawing/2012/timeslicer" Requires="tsle">
        <xdr:graphicFrame macro="">
          <xdr:nvGraphicFramePr>
            <xdr:cNvPr id="35" name="Date 2">
              <a:extLst>
                <a:ext uri="{FF2B5EF4-FFF2-40B4-BE49-F238E27FC236}">
                  <a16:creationId xmlns:a16="http://schemas.microsoft.com/office/drawing/2014/main" id="{5965A5CF-6468-42C5-94E2-9A2BEB78422E}"/>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78082" y="854352"/>
              <a:ext cx="2337356" cy="1413746"/>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hlogonolo  Makhafola" refreshedDate="46208.204557986108" createdVersion="8" refreshedVersion="8" minRefreshableVersion="3" recordCount="738" xr:uid="{36616ABC-FC49-4FF7-BDEF-41A6F44E8364}">
  <cacheSource type="worksheet">
    <worksheetSource name="Table1"/>
  </cacheSource>
  <cacheFields count="27">
    <cacheField name="Txn ID" numFmtId="0">
      <sharedItems count="738">
        <s v="TXN500001"/>
        <s v="TXN500002"/>
        <s v="TXN500003"/>
        <s v="TXN500004"/>
        <s v="TXN500005"/>
        <s v="TXN500006"/>
        <s v="TXN500007"/>
        <s v="TXN500008"/>
        <s v="TXN500009"/>
        <s v="TXN500010"/>
        <s v="TXN500011"/>
        <s v="TXN500012"/>
        <s v="TXN500013"/>
        <s v="TXN500014"/>
        <s v="TXN500015"/>
        <s v="TXN500016"/>
        <s v="TXN500017"/>
        <s v="TXN500018"/>
        <s v="TXN500019"/>
        <s v="TXN500020"/>
        <s v="TXN500021"/>
        <s v="TXN500022"/>
        <s v="TXN500023"/>
        <s v="TXN500024"/>
        <s v="TXN500025"/>
        <s v="TXN500026"/>
        <s v="TXN500027"/>
        <s v="TXN500028"/>
        <s v="TXN500029"/>
        <s v="TXN500030"/>
        <s v="TXN500031"/>
        <s v="TXN500032"/>
        <s v="TXN500033"/>
        <s v="TXN500034"/>
        <s v="TXN500035"/>
        <s v="TXN500036"/>
        <s v="TXN500037"/>
        <s v="TXN500038"/>
        <s v="TXN500039"/>
        <s v="TXN500040"/>
        <s v="TXN500041"/>
        <s v="TXN500042"/>
        <s v="TXN500043"/>
        <s v="TXN500044"/>
        <s v="TXN500045"/>
        <s v="TXN500046"/>
        <s v="TXN500047"/>
        <s v="TXN500048"/>
        <s v="TXN500049"/>
        <s v="TXN500050"/>
        <s v="TXN500051"/>
        <s v="TXN500052"/>
        <s v="TXN500053"/>
        <s v="TXN500054"/>
        <s v="TXN500055"/>
        <s v="TXN500056"/>
        <s v="TXN500057"/>
        <s v="TXN500058"/>
        <s v="TXN500059"/>
        <s v="TXN500060"/>
        <s v="TXN500061"/>
        <s v="TXN500062"/>
        <s v="TXN500063"/>
        <s v="TXN500064"/>
        <s v="TXN500065"/>
        <s v="TXN500066"/>
        <s v="TXN500067"/>
        <s v="TXN500068"/>
        <s v="TXN500069"/>
        <s v="TXN500070"/>
        <s v="TXN500071"/>
        <s v="TXN500072"/>
        <s v="TXN500073"/>
        <s v="TXN500074"/>
        <s v="TXN500075"/>
        <s v="TXN500076"/>
        <s v="TXN500077"/>
        <s v="TXN500078"/>
        <s v="TXN500079"/>
        <s v="TXN500080"/>
        <s v="TXN500081"/>
        <s v="TXN500082"/>
        <s v="TXN500083"/>
        <s v="TXN500084"/>
        <s v="TXN500085"/>
        <s v="TXN500086"/>
        <s v="TXN500087"/>
        <s v="TXN500088"/>
        <s v="TXN500089"/>
        <s v="TXN500090"/>
        <s v="TXN500091"/>
        <s v="TXN500092"/>
        <s v="TXN500093"/>
        <s v="TXN500094"/>
        <s v="TXN500095"/>
        <s v="TXN500096"/>
        <s v="TXN500097"/>
        <s v="TXN500098"/>
        <s v="TXN500099"/>
        <s v="TXN500100"/>
        <s v="TXN500101"/>
        <s v="TXN500102"/>
        <s v="TXN500103"/>
        <s v="TXN500104"/>
        <s v="TXN500105"/>
        <s v="TXN500106"/>
        <s v="TXN500107"/>
        <s v="TXN500108"/>
        <s v="TXN500109"/>
        <s v="TXN500110"/>
        <s v="TXN500111"/>
        <s v="TXN500112"/>
        <s v="TXN500113"/>
        <s v="TXN500114"/>
        <s v="TXN500115"/>
        <s v="TXN500116"/>
        <s v="TXN500117"/>
        <s v="TXN500118"/>
        <s v="TXN500119"/>
        <s v="TXN500120"/>
        <s v="TXN500121"/>
        <s v="TXN500122"/>
        <s v="TXN500123"/>
        <s v="TXN500124"/>
        <s v="TXN500125"/>
        <s v="TXN500126"/>
        <s v="TXN500127"/>
        <s v="TXN500128"/>
        <s v="TXN500129"/>
        <s v="TXN500130"/>
        <s v="TXN500131"/>
        <s v="TXN500132"/>
        <s v="TXN500133"/>
        <s v="TXN500134"/>
        <s v="TXN500135"/>
        <s v="TXN500136"/>
        <s v="TXN500137"/>
        <s v="TXN500138"/>
        <s v="TXN500139"/>
        <s v="TXN500140"/>
        <s v="TXN500141"/>
        <s v="TXN500142"/>
        <s v="TXN500143"/>
        <s v="TXN500144"/>
        <s v="TXN500145"/>
        <s v="TXN500146"/>
        <s v="TXN500147"/>
        <s v="TXN500148"/>
        <s v="TXN500149"/>
        <s v="TXN500150"/>
        <s v="TXN500151"/>
        <s v="TXN500152"/>
        <s v="TXN500153"/>
        <s v="TXN500154"/>
        <s v="TXN500155"/>
        <s v="TXN500156"/>
        <s v="TXN500157"/>
        <s v="TXN500158"/>
        <s v="TXN500159"/>
        <s v="TXN500160"/>
        <s v="TXN500161"/>
        <s v="TXN500162"/>
        <s v="TXN500163"/>
        <s v="TXN500164"/>
        <s v="TXN500165"/>
        <s v="TXN500166"/>
        <s v="TXN500167"/>
        <s v="TXN500168"/>
        <s v="TXN500169"/>
        <s v="TXN500170"/>
        <s v="TXN500171"/>
        <s v="TXN500172"/>
        <s v="TXN500173"/>
        <s v="TXN500174"/>
        <s v="TXN500175"/>
        <s v="TXN500176"/>
        <s v="TXN500177"/>
        <s v="TXN500178"/>
        <s v="TXN500179"/>
        <s v="TXN500180"/>
        <s v="TXN500181"/>
        <s v="TXN500182"/>
        <s v="TXN500183"/>
        <s v="TXN500184"/>
        <s v="TXN500185"/>
        <s v="TXN500186"/>
        <s v="TXN500187"/>
        <s v="TXN500188"/>
        <s v="TXN500189"/>
        <s v="TXN500190"/>
        <s v="TXN500191"/>
        <s v="TXN500192"/>
        <s v="TXN500193"/>
        <s v="TXN500194"/>
        <s v="TXN500195"/>
        <s v="TXN500196"/>
        <s v="TXN500197"/>
        <s v="TXN500198"/>
        <s v="TXN500199"/>
        <s v="TXN500200"/>
        <s v="TXN500201"/>
        <s v="TXN500202"/>
        <s v="TXN500203"/>
        <s v="TXN500204"/>
        <s v="TXN500205"/>
        <s v="TXN500206"/>
        <s v="TXN500207"/>
        <s v="TXN500208"/>
        <s v="TXN500209"/>
        <s v="TXN500210"/>
        <s v="TXN500211"/>
        <s v="TXN500212"/>
        <s v="TXN500213"/>
        <s v="TXN500214"/>
        <s v="TXN500215"/>
        <s v="TXN500216"/>
        <s v="TXN500217"/>
        <s v="TXN500218"/>
        <s v="TXN500219"/>
        <s v="TXN500220"/>
        <s v="TXN500221"/>
        <s v="TXN500222"/>
        <s v="TXN500223"/>
        <s v="TXN500224"/>
        <s v="TXN500225"/>
        <s v="TXN500226"/>
        <s v="TXN500227"/>
        <s v="TXN500228"/>
        <s v="TXN500229"/>
        <s v="TXN500230"/>
        <s v="TXN500231"/>
        <s v="TXN500232"/>
        <s v="TXN500233"/>
        <s v="TXN500234"/>
        <s v="TXN500235"/>
        <s v="TXN500236"/>
        <s v="TXN500237"/>
        <s v="TXN500238"/>
        <s v="TXN500239"/>
        <s v="TXN500240"/>
        <s v="TXN500241"/>
        <s v="TXN500242"/>
        <s v="TXN500243"/>
        <s v="TXN500244"/>
        <s v="TXN500245"/>
        <s v="TXN500246"/>
        <s v="TXN500247"/>
        <s v="TXN500248"/>
        <s v="TXN500249"/>
        <s v="TXN500250"/>
        <s v="TXN500251"/>
        <s v="TXN500252"/>
        <s v="TXN500253"/>
        <s v="TXN500254"/>
        <s v="TXN500255"/>
        <s v="TXN500256"/>
        <s v="TXN500257"/>
        <s v="TXN500258"/>
        <s v="TXN500259"/>
        <s v="TXN500260"/>
        <s v="TXN500261"/>
        <s v="TXN500262"/>
        <s v="TXN500263"/>
        <s v="TXN500264"/>
        <s v="TXN500265"/>
        <s v="TXN500266"/>
        <s v="TXN500267"/>
        <s v="TXN500268"/>
        <s v="TXN500269"/>
        <s v="TXN500270"/>
        <s v="TXN500271"/>
        <s v="TXN500272"/>
        <s v="TXN500273"/>
        <s v="TXN500274"/>
        <s v="TXN500275"/>
        <s v="TXN500276"/>
        <s v="TXN500277"/>
        <s v="TXN500278"/>
        <s v="TXN500279"/>
        <s v="TXN500280"/>
        <s v="TXN500281"/>
        <s v="TXN500282"/>
        <s v="TXN500283"/>
        <s v="TXN500284"/>
        <s v="TXN500285"/>
        <s v="TXN500286"/>
        <s v="TXN500287"/>
        <s v="TXN500288"/>
        <s v="TXN500289"/>
        <s v="TXN500290"/>
        <s v="TXN500291"/>
        <s v="TXN500292"/>
        <s v="TXN500293"/>
        <s v="TXN500294"/>
        <s v="TXN500295"/>
        <s v="TXN500296"/>
        <s v="TXN500297"/>
        <s v="TXN500298"/>
        <s v="TXN500299"/>
        <s v="TXN500300"/>
        <s v="TXN500301"/>
        <s v="TXN500302"/>
        <s v="TXN500303"/>
        <s v="TXN500304"/>
        <s v="TXN500305"/>
        <s v="TXN500306"/>
        <s v="TXN500307"/>
        <s v="TXN500308"/>
        <s v="TXN500309"/>
        <s v="TXN500310"/>
        <s v="TXN500311"/>
        <s v="TXN500312"/>
        <s v="TXN500313"/>
        <s v="TXN500314"/>
        <s v="TXN500315"/>
        <s v="TXN500316"/>
        <s v="TXN500317"/>
        <s v="TXN500318"/>
        <s v="TXN500319"/>
        <s v="TXN500320"/>
        <s v="TXN500321"/>
        <s v="TXN500322"/>
        <s v="TXN500323"/>
        <s v="TXN500324"/>
        <s v="TXN500325"/>
        <s v="TXN500326"/>
        <s v="TXN500327"/>
        <s v="TXN500328"/>
        <s v="TXN500329"/>
        <s v="TXN500330"/>
        <s v="TXN500331"/>
        <s v="TXN500332"/>
        <s v="TXN500333"/>
        <s v="TXN500334"/>
        <s v="TXN500335"/>
        <s v="TXN500336"/>
        <s v="TXN500337"/>
        <s v="TXN500338"/>
        <s v="TXN500339"/>
        <s v="TXN500340"/>
        <s v="TXN500341"/>
        <s v="TXN500342"/>
        <s v="TXN500343"/>
        <s v="TXN500344"/>
        <s v="TXN500345"/>
        <s v="TXN500346"/>
        <s v="TXN500347"/>
        <s v="TXN500348"/>
        <s v="TXN500349"/>
        <s v="TXN500350"/>
        <s v="TXN500351"/>
        <s v="TXN500352"/>
        <s v="TXN500353"/>
        <s v="TXN500354"/>
        <s v="TXN500355"/>
        <s v="TXN500356"/>
        <s v="TXN500357"/>
        <s v="TXN500358"/>
        <s v="TXN500359"/>
        <s v="TXN500360"/>
        <s v="TXN500361"/>
        <s v="TXN500362"/>
        <s v="TXN500363"/>
        <s v="TXN500364"/>
        <s v="TXN500365"/>
        <s v="TXN500366"/>
        <s v="TXN500367"/>
        <s v="TXN500368"/>
        <s v="TXN500369"/>
        <s v="TXN500370"/>
        <s v="TXN500371"/>
        <s v="TXN500372"/>
        <s v="TXN500373"/>
        <s v="TXN500374"/>
        <s v="TXN500375"/>
        <s v="TXN500376"/>
        <s v="TXN500377"/>
        <s v="TXN500378"/>
        <s v="TXN500379"/>
        <s v="TXN500380"/>
        <s v="TXN500381"/>
        <s v="TXN500382"/>
        <s v="TXN500383"/>
        <s v="TXN500384"/>
        <s v="TXN500385"/>
        <s v="TXN500386"/>
        <s v="TXN500387"/>
        <s v="TXN500388"/>
        <s v="TXN500389"/>
        <s v="TXN500390"/>
        <s v="TXN500391"/>
        <s v="TXN500392"/>
        <s v="TXN500393"/>
        <s v="TXN500394"/>
        <s v="TXN500395"/>
        <s v="TXN500396"/>
        <s v="TXN500397"/>
        <s v="TXN500398"/>
        <s v="TXN500399"/>
        <s v="TXN500400"/>
        <s v="TXN500401"/>
        <s v="TXN500402"/>
        <s v="TXN500403"/>
        <s v="TXN500404"/>
        <s v="TXN500405"/>
        <s v="TXN500406"/>
        <s v="TXN500407"/>
        <s v="TXN500408"/>
        <s v="TXN500409"/>
        <s v="TXN500410"/>
        <s v="TXN500411"/>
        <s v="TXN500412"/>
        <s v="TXN500413"/>
        <s v="TXN500414"/>
        <s v="TXN500415"/>
        <s v="TXN500416"/>
        <s v="TXN500417"/>
        <s v="TXN500418"/>
        <s v="TXN500419"/>
        <s v="TXN500420"/>
        <s v="TXN500421"/>
        <s v="TXN500422"/>
        <s v="TXN500423"/>
        <s v="TXN500424"/>
        <s v="TXN500425"/>
        <s v="TXN500426"/>
        <s v="TXN500427"/>
        <s v="TXN500428"/>
        <s v="TXN500429"/>
        <s v="TXN500430"/>
        <s v="TXN500431"/>
        <s v="TXN500432"/>
        <s v="TXN500433"/>
        <s v="TXN500434"/>
        <s v="TXN500435"/>
        <s v="TXN500436"/>
        <s v="TXN500437"/>
        <s v="TXN500438"/>
        <s v="TXN500439"/>
        <s v="TXN500440"/>
        <s v="TXN500441"/>
        <s v="TXN500442"/>
        <s v="TXN500443"/>
        <s v="TXN500444"/>
        <s v="TXN500445"/>
        <s v="TXN500446"/>
        <s v="TXN500447"/>
        <s v="TXN500448"/>
        <s v="TXN500449"/>
        <s v="TXN500450"/>
        <s v="TXN500451"/>
        <s v="TXN500452"/>
        <s v="TXN500453"/>
        <s v="TXN500454"/>
        <s v="TXN500455"/>
        <s v="TXN500456"/>
        <s v="TXN500457"/>
        <s v="TXN500458"/>
        <s v="TXN500459"/>
        <s v="TXN500460"/>
        <s v="TXN500461"/>
        <s v="TXN500462"/>
        <s v="TXN500463"/>
        <s v="TXN500464"/>
        <s v="TXN500465"/>
        <s v="TXN500466"/>
        <s v="TXN500467"/>
        <s v="TXN500468"/>
        <s v="TXN500469"/>
        <s v="TXN500470"/>
        <s v="TXN500471"/>
        <s v="TXN500472"/>
        <s v="TXN500473"/>
        <s v="TXN500474"/>
        <s v="TXN500475"/>
        <s v="TXN500476"/>
        <s v="TXN500477"/>
        <s v="TXN500478"/>
        <s v="TXN500479"/>
        <s v="TXN500480"/>
        <s v="TXN500481"/>
        <s v="TXN500482"/>
        <s v="TXN500483"/>
        <s v="TXN500484"/>
        <s v="TXN500485"/>
        <s v="TXN500486"/>
        <s v="TXN500487"/>
        <s v="TXN500488"/>
        <s v="TXN500489"/>
        <s v="TXN500490"/>
        <s v="TXN500491"/>
        <s v="TXN500492"/>
        <s v="TXN500493"/>
        <s v="TXN500494"/>
        <s v="TXN500495"/>
        <s v="TXN500496"/>
        <s v="TXN500497"/>
        <s v="TXN500498"/>
        <s v="TXN500499"/>
        <s v="TXN500500"/>
        <s v="TXN500501"/>
        <s v="TXN500502"/>
        <s v="TXN500503"/>
        <s v="TXN500504"/>
        <s v="TXN500505"/>
        <s v="TXN500506"/>
        <s v="TXN500507"/>
        <s v="TXN500508"/>
        <s v="TXN500509"/>
        <s v="TXN500510"/>
        <s v="TXN500511"/>
        <s v="TXN500512"/>
        <s v="TXN500513"/>
        <s v="TXN500514"/>
        <s v="TXN500515"/>
        <s v="TXN500516"/>
        <s v="TXN500517"/>
        <s v="TXN500518"/>
        <s v="TXN500519"/>
        <s v="TXN500520"/>
        <s v="TXN500521"/>
        <s v="TXN500522"/>
        <s v="TXN500523"/>
        <s v="TXN500524"/>
        <s v="TXN500525"/>
        <s v="TXN500526"/>
        <s v="TXN500527"/>
        <s v="TXN500528"/>
        <s v="TXN500529"/>
        <s v="TXN500530"/>
        <s v="TXN500531"/>
        <s v="TXN500532"/>
        <s v="TXN500533"/>
        <s v="TXN500534"/>
        <s v="TXN500535"/>
        <s v="TXN500536"/>
        <s v="TXN500537"/>
        <s v="TXN500538"/>
        <s v="TXN500539"/>
        <s v="TXN500540"/>
        <s v="TXN500541"/>
        <s v="TXN500542"/>
        <s v="TXN500543"/>
        <s v="TXN500544"/>
        <s v="TXN500545"/>
        <s v="TXN500546"/>
        <s v="TXN500547"/>
        <s v="TXN500548"/>
        <s v="TXN500549"/>
        <s v="TXN500550"/>
        <s v="TXN500551"/>
        <s v="TXN500552"/>
        <s v="TXN500553"/>
        <s v="TXN500554"/>
        <s v="TXN500555"/>
        <s v="TXN500556"/>
        <s v="TXN500557"/>
        <s v="TXN500558"/>
        <s v="TXN500559"/>
        <s v="TXN500560"/>
        <s v="TXN500561"/>
        <s v="TXN500562"/>
        <s v="TXN500563"/>
        <s v="TXN500564"/>
        <s v="TXN500565"/>
        <s v="TXN500566"/>
        <s v="TXN500567"/>
        <s v="TXN500568"/>
        <s v="TXN500569"/>
        <s v="TXN500570"/>
        <s v="TXN500571"/>
        <s v="TXN500572"/>
        <s v="TXN500573"/>
        <s v="TXN500574"/>
        <s v="TXN500575"/>
        <s v="TXN500576"/>
        <s v="TXN500577"/>
        <s v="TXN500578"/>
        <s v="TXN500579"/>
        <s v="TXN500580"/>
        <s v="TXN500581"/>
        <s v="TXN500582"/>
        <s v="TXN500583"/>
        <s v="TXN500584"/>
        <s v="TXN500585"/>
        <s v="TXN500586"/>
        <s v="TXN500587"/>
        <s v="TXN500588"/>
        <s v="TXN500589"/>
        <s v="TXN500590"/>
        <s v="TXN500591"/>
        <s v="TXN500592"/>
        <s v="TXN500593"/>
        <s v="TXN500594"/>
        <s v="TXN500595"/>
        <s v="TXN500596"/>
        <s v="TXN500597"/>
        <s v="TXN500598"/>
        <s v="TXN500599"/>
        <s v="TXN500600"/>
        <s v="TXN500601"/>
        <s v="TXN500602"/>
        <s v="TXN500603"/>
        <s v="TXN500604"/>
        <s v="TXN500605"/>
        <s v="TXN500606"/>
        <s v="TXN500607"/>
        <s v="TXN500608"/>
        <s v="TXN500609"/>
        <s v="TXN500610"/>
        <s v="TXN500611"/>
        <s v="TXN500612"/>
        <s v="TXN500613"/>
        <s v="TXN500614"/>
        <s v="TXN500615"/>
        <s v="TXN500616"/>
        <s v="TXN500617"/>
        <s v="TXN500618"/>
        <s v="TXN500619"/>
        <s v="TXN500620"/>
        <s v="TXN500621"/>
        <s v="TXN500622"/>
        <s v="TXN500623"/>
        <s v="TXN500624"/>
        <s v="TXN500625"/>
        <s v="TXN500626"/>
        <s v="TXN500627"/>
        <s v="TXN500628"/>
        <s v="TXN500629"/>
        <s v="TXN500630"/>
        <s v="TXN500631"/>
        <s v="TXN500632"/>
        <s v="TXN500633"/>
        <s v="TXN500634"/>
        <s v="TXN500635"/>
        <s v="TXN500636"/>
        <s v="TXN500637"/>
        <s v="TXN500638"/>
        <s v="TXN500639"/>
        <s v="TXN500640"/>
        <s v="TXN500641"/>
        <s v="TXN500642"/>
        <s v="TXN500643"/>
        <s v="TXN500644"/>
        <s v="TXN500645"/>
        <s v="TXN500646"/>
        <s v="TXN500647"/>
        <s v="TXN500648"/>
        <s v="TXN500649"/>
        <s v="TXN500650"/>
        <s v="TXN500651"/>
        <s v="TXN500652"/>
        <s v="TXN500653"/>
        <s v="TXN500654"/>
        <s v="TXN500655"/>
        <s v="TXN500656"/>
        <s v="TXN500657"/>
        <s v="TXN500658"/>
        <s v="TXN500659"/>
        <s v="TXN500660"/>
        <s v="TXN500661"/>
        <s v="TXN500662"/>
        <s v="TXN500663"/>
        <s v="TXN500664"/>
        <s v="TXN500665"/>
        <s v="TXN500666"/>
        <s v="TXN500667"/>
        <s v="TXN500668"/>
        <s v="TXN500669"/>
        <s v="TXN500670"/>
        <s v="TXN500671"/>
        <s v="TXN500672"/>
        <s v="TXN500673"/>
        <s v="TXN500674"/>
        <s v="TXN500675"/>
        <s v="TXN500676"/>
        <s v="TXN500677"/>
        <s v="TXN500678"/>
        <s v="TXN500679"/>
        <s v="TXN500680"/>
        <s v="TXN500681"/>
        <s v="TXN500682"/>
        <s v="TXN500683"/>
        <s v="TXN500684"/>
        <s v="TXN500685"/>
        <s v="TXN500686"/>
        <s v="TXN500687"/>
        <s v="TXN500688"/>
        <s v="TXN500689"/>
        <s v="TXN500690"/>
        <s v="TXN500691"/>
        <s v="TXN500692"/>
        <s v="TXN500693"/>
        <s v="TXN500694"/>
        <s v="TXN500695"/>
        <s v="TXN500696"/>
        <s v="TXN500697"/>
        <s v="TXN500698"/>
        <s v="TXN500699"/>
        <s v="TXN500700"/>
        <s v="TXN500701"/>
        <s v="TXN500702"/>
        <s v="TXN500703"/>
        <s v="TXN500704"/>
        <s v="TXN500705"/>
        <s v="TXN500706"/>
        <s v="TXN500707"/>
        <s v="TXN500708"/>
        <s v="TXN500709"/>
        <s v="TXN500710"/>
        <s v="TXN500711"/>
        <s v="TXN500712"/>
        <s v="TXN500713"/>
        <s v="TXN500714"/>
        <s v="TXN500715"/>
        <s v="TXN500716"/>
        <s v="TXN500717"/>
        <s v="TXN500718"/>
        <s v="TXN500719"/>
        <s v="TXN500720"/>
        <s v="TXN500721"/>
        <s v="TXN500722"/>
        <s v="TXN500723"/>
        <s v="TXN500724"/>
        <s v="TXN500725"/>
        <s v="TXN500726"/>
        <s v="TXN500727"/>
        <s v="TXN500728"/>
        <s v="TXN500729"/>
        <s v="TXN500730"/>
        <s v="TXN500731"/>
        <s v="TXN500732"/>
        <s v="TXN500733"/>
        <s v="TXN500734"/>
        <s v="TXN500735"/>
        <s v="TXN500736"/>
        <s v="TXN500737"/>
        <s v="TXN500738"/>
      </sharedItems>
    </cacheField>
    <cacheField name="Card_ID" numFmtId="0">
      <sharedItems/>
    </cacheField>
    <cacheField name="Date" numFmtId="15">
      <sharedItems containsSemiMixedTypes="0" containsNonDate="0" containsDate="1" containsString="0" minDate="2025-01-01T00:00:00" maxDate="2028-04-06T00:00:00" count="432">
        <d v="2026-02-15T00:00:00"/>
        <d v="2026-01-19T00:00:00"/>
        <d v="2025-12-25T00:00:00"/>
        <d v="2025-02-08T00:00:00"/>
        <d v="2025-01-04T00:00:00"/>
        <d v="2027-05-06T00:00:00"/>
        <d v="2026-06-20T00:00:00"/>
        <d v="2025-10-01T00:00:00"/>
        <d v="2025-03-11T00:00:00"/>
        <d v="2026-03-04T00:00:00"/>
        <d v="2025-10-05T00:00:00"/>
        <d v="2026-05-08T00:00:00"/>
        <d v="2025-06-18T00:00:00"/>
        <d v="2026-03-07T00:00:00"/>
        <d v="2025-11-03T00:00:00"/>
        <d v="2025-10-16T00:00:00"/>
        <d v="2025-09-15T00:00:00"/>
        <d v="2025-07-24T00:00:00"/>
        <d v="2025-06-19T00:00:00"/>
        <d v="2025-01-21T00:00:00"/>
        <d v="2025-05-16T00:00:00"/>
        <d v="2025-01-17T00:00:00"/>
        <d v="2026-05-10T00:00:00"/>
        <d v="2025-04-11T00:00:00"/>
        <d v="2026-09-10T00:00:00"/>
        <d v="2026-01-17T00:00:00"/>
        <d v="2025-09-05T00:00:00"/>
        <d v="2025-12-03T00:00:00"/>
        <d v="2025-03-22T00:00:00"/>
        <d v="2025-01-28T00:00:00"/>
        <d v="2025-11-10T00:00:00"/>
        <d v="2025-07-13T00:00:00"/>
        <d v="2026-05-05T00:00:00"/>
        <d v="2026-05-01T00:00:00"/>
        <d v="2025-09-06T00:00:00"/>
        <d v="2025-05-03T00:00:00"/>
        <d v="2025-03-18T00:00:00"/>
        <d v="2025-06-20T00:00:00"/>
        <d v="2025-04-19T00:00:00"/>
        <d v="2026-02-20T00:00:00"/>
        <d v="2026-02-14T00:00:00"/>
        <d v="2026-01-02T00:00:00"/>
        <d v="2026-02-19T00:00:00"/>
        <d v="2025-03-15T00:00:00"/>
        <d v="2026-07-04T00:00:00"/>
        <d v="2025-02-21T00:00:00"/>
        <d v="2025-04-23T00:00:00"/>
        <d v="2025-06-22T00:00:00"/>
        <d v="2028-02-02T00:00:00"/>
        <d v="2026-01-01T00:00:00"/>
        <d v="2026-05-24T00:00:00"/>
        <d v="2026-04-18T00:00:00"/>
        <d v="2028-02-04T00:00:00"/>
        <d v="2025-11-27T00:00:00"/>
        <d v="2025-02-11T00:00:00"/>
        <d v="2025-08-03T00:00:00"/>
        <d v="2026-01-13T00:00:00"/>
        <d v="2025-06-28T00:00:00"/>
        <d v="2025-07-09T00:00:00"/>
        <d v="2025-09-11T00:00:00"/>
        <d v="2025-12-10T00:00:00"/>
        <d v="2025-12-08T00:00:00"/>
        <d v="2025-07-16T00:00:00"/>
        <d v="2025-01-13T00:00:00"/>
        <d v="2026-07-12T00:00:00"/>
        <d v="2026-08-05T00:00:00"/>
        <d v="2026-08-03T00:00:00"/>
        <d v="2025-10-04T00:00:00"/>
        <d v="2025-09-23T00:00:00"/>
        <d v="2027-02-09T00:00:00"/>
        <d v="2026-01-22T00:00:00"/>
        <d v="2025-06-12T00:00:00"/>
        <d v="2026-03-05T00:00:00"/>
        <d v="2025-03-16T00:00:00"/>
        <d v="2025-07-28T00:00:00"/>
        <d v="2026-03-19T00:00:00"/>
        <d v="2025-03-12T00:00:00"/>
        <d v="2025-01-01T00:00:00"/>
        <d v="2025-04-09T00:00:00"/>
        <d v="2026-02-01T00:00:00"/>
        <d v="2026-02-16T00:00:00"/>
        <d v="2026-01-21T00:00:00"/>
        <d v="2026-06-05T00:00:00"/>
        <d v="2025-05-27T00:00:00"/>
        <d v="2025-05-26T00:00:00"/>
        <d v="2026-04-03T00:00:00"/>
        <d v="2025-09-22T00:00:00"/>
        <d v="2025-07-01T00:00:00"/>
        <d v="2026-05-04T00:00:00"/>
        <d v="2026-07-05T00:00:00"/>
        <d v="2025-12-27T00:00:00"/>
        <d v="2028-03-02T00:00:00"/>
        <d v="2025-04-24T00:00:00"/>
        <d v="2025-04-01T00:00:00"/>
        <d v="2025-10-12T00:00:00"/>
        <d v="2026-01-06T00:00:00"/>
        <d v="2026-02-11T00:00:00"/>
        <d v="2026-01-12T00:00:00"/>
        <d v="2025-12-02T00:00:00"/>
        <d v="2025-12-20T00:00:00"/>
        <d v="2026-02-21T00:00:00"/>
        <d v="2025-04-27T00:00:00"/>
        <d v="2025-05-28T00:00:00"/>
        <d v="2025-11-07T00:00:00"/>
        <d v="2026-01-11T00:00:00"/>
        <d v="2026-06-03T00:00:00"/>
        <d v="2027-04-06T00:00:00"/>
        <d v="2025-06-25T00:00:00"/>
        <d v="2026-10-09T00:00:00"/>
        <d v="2025-05-20T00:00:00"/>
        <d v="2026-06-08T00:00:00"/>
        <d v="2026-05-18T00:00:00"/>
        <d v="2026-01-04T00:00:00"/>
        <d v="2025-11-06T00:00:00"/>
        <d v="2025-03-01T00:00:00"/>
        <d v="2025-12-17T00:00:00"/>
        <d v="2025-06-08T00:00:00"/>
        <d v="2025-02-26T00:00:00"/>
        <d v="2025-05-14T00:00:00"/>
        <d v="2025-06-05T00:00:00"/>
        <d v="2025-08-28T00:00:00"/>
        <d v="2027-05-05T00:00:00"/>
        <d v="2025-06-02T00:00:00"/>
        <d v="2026-02-18T00:00:00"/>
        <d v="2026-03-02T00:00:00"/>
        <d v="2026-01-26T00:00:00"/>
        <d v="2026-11-05T00:00:00"/>
        <d v="2026-04-08T00:00:00"/>
        <d v="2025-03-02T00:00:00"/>
        <d v="2025-02-12T00:00:00"/>
        <d v="2028-02-06T00:00:00"/>
        <d v="2025-11-09T00:00:00"/>
        <d v="2026-03-28T00:00:00"/>
        <d v="2026-04-13T00:00:00"/>
        <d v="2025-01-08T00:00:00"/>
        <d v="2025-07-20T00:00:00"/>
        <d v="2025-08-24T00:00:00"/>
        <d v="2025-09-03T00:00:00"/>
        <d v="2026-12-11T00:00:00"/>
        <d v="2025-01-09T00:00:00"/>
        <d v="2025-04-20T00:00:00"/>
        <d v="2025-08-07T00:00:00"/>
        <d v="2025-10-28T00:00:00"/>
        <d v="2025-10-20T00:00:00"/>
        <d v="2025-06-16T00:00:00"/>
        <d v="2025-03-25T00:00:00"/>
        <d v="2026-09-06T00:00:00"/>
        <d v="2026-03-23T00:00:00"/>
        <d v="2025-02-20T00:00:00"/>
        <d v="2025-07-03T00:00:00"/>
        <d v="2027-04-01T00:00:00"/>
        <d v="2026-04-07T00:00:00"/>
        <d v="2026-06-17T00:00:00"/>
        <d v="2025-01-24T00:00:00"/>
        <d v="2028-03-01T00:00:00"/>
        <d v="2025-08-13T00:00:00"/>
        <d v="2026-03-08T00:00:00"/>
        <d v="2026-12-12T00:00:00"/>
        <d v="2026-07-02T00:00:00"/>
        <d v="2026-10-06T00:00:00"/>
        <d v="2025-06-21T00:00:00"/>
        <d v="2025-05-09T00:00:00"/>
        <d v="2025-09-16T00:00:00"/>
        <d v="2026-03-18T00:00:00"/>
        <d v="2025-12-21T00:00:00"/>
        <d v="2025-01-16T00:00:00"/>
        <d v="2027-09-06T00:00:00"/>
        <d v="2026-05-06T00:00:00"/>
        <d v="2027-01-04T00:00:00"/>
        <d v="2027-09-03T00:00:00"/>
        <d v="2026-07-03T00:00:00"/>
        <d v="2025-11-16T00:00:00"/>
        <d v="2026-02-03T00:00:00"/>
        <d v="2025-08-10T00:00:00"/>
        <d v="2025-08-06T00:00:00"/>
        <d v="2026-05-21T00:00:00"/>
        <d v="2026-04-01T00:00:00"/>
        <d v="2025-02-17T00:00:00"/>
        <d v="2025-06-14T00:00:00"/>
        <d v="2025-05-15T00:00:00"/>
        <d v="2026-09-09T00:00:00"/>
        <d v="2026-05-22T00:00:00"/>
        <d v="2025-01-12T00:00:00"/>
        <d v="2025-03-14T00:00:00"/>
        <d v="2026-04-20T00:00:00"/>
        <d v="2025-05-25T00:00:00"/>
        <d v="2025-02-19T00:00:00"/>
        <d v="2026-04-05T00:00:00"/>
        <d v="2027-08-04T00:00:00"/>
        <d v="2025-09-18T00:00:00"/>
        <d v="2025-07-06T00:00:00"/>
        <d v="2027-11-06T00:00:00"/>
        <d v="2025-06-24T00:00:00"/>
        <d v="2026-03-15T00:00:00"/>
        <d v="2025-07-15T00:00:00"/>
        <d v="2026-05-14T00:00:00"/>
        <d v="2026-05-20T00:00:00"/>
        <d v="2025-06-27T00:00:00"/>
        <d v="2025-09-04T00:00:00"/>
        <d v="2025-04-17T00:00:00"/>
        <d v="2025-01-15T00:00:00"/>
        <d v="2026-05-02T00:00:00"/>
        <d v="2025-02-27T00:00:00"/>
        <d v="2025-08-04T00:00:00"/>
        <d v="2026-01-18T00:00:00"/>
        <d v="2026-02-12T00:00:00"/>
        <d v="2027-02-12T00:00:00"/>
        <d v="2026-05-03T00:00:00"/>
        <d v="2025-04-05T00:00:00"/>
        <d v="2025-02-01T00:00:00"/>
        <d v="2025-07-07T00:00:00"/>
        <d v="2025-09-24T00:00:00"/>
        <d v="2025-04-25T00:00:00"/>
        <d v="2025-10-10T00:00:00"/>
        <d v="2026-03-03T00:00:00"/>
        <d v="2025-06-06T00:00:00"/>
        <d v="2027-04-10T00:00:00"/>
        <d v="2026-03-20T00:00:00"/>
        <d v="2025-09-13T00:00:00"/>
        <d v="2025-01-26T00:00:00"/>
        <d v="2025-08-19T00:00:00"/>
        <d v="2026-09-04T00:00:00"/>
        <d v="2025-03-17T00:00:00"/>
        <d v="2025-11-23T00:00:00"/>
        <d v="2027-08-02T00:00:00"/>
        <d v="2027-01-01T00:00:00"/>
        <d v="2025-06-17T00:00:00"/>
        <d v="2025-05-11T00:00:00"/>
        <d v="2025-07-11T00:00:00"/>
        <d v="2025-09-26T00:00:00"/>
        <d v="2025-10-22T00:00:00"/>
        <d v="2026-01-27T00:00:00"/>
        <d v="2025-05-10T00:00:00"/>
        <d v="2025-07-04T00:00:00"/>
        <d v="2025-09-17T00:00:00"/>
        <d v="2025-10-14T00:00:00"/>
        <d v="2026-06-02T00:00:00"/>
        <d v="2025-02-23T00:00:00"/>
        <d v="2025-06-09T00:00:00"/>
        <d v="2025-03-10T00:00:00"/>
        <d v="2025-04-21T00:00:00"/>
        <d v="2025-02-24T00:00:00"/>
        <d v="2026-03-17T00:00:00"/>
        <d v="2025-01-10T00:00:00"/>
        <d v="2026-06-18T00:00:00"/>
        <d v="2025-09-07T00:00:00"/>
        <d v="2025-06-04T00:00:00"/>
        <d v="2026-10-01T00:00:00"/>
        <d v="2025-12-01T00:00:00"/>
        <d v="2025-08-01T00:00:00"/>
        <d v="2025-03-09T00:00:00"/>
        <d v="2025-03-27T00:00:00"/>
        <d v="2025-11-25T00:00:00"/>
        <d v="2026-05-19T00:00:00"/>
        <d v="2025-07-02T00:00:00"/>
        <d v="2025-10-17T00:00:00"/>
        <d v="2025-11-12T00:00:00"/>
        <d v="2025-01-03T00:00:00"/>
        <d v="2026-01-05T00:00:00"/>
        <d v="2025-05-22T00:00:00"/>
        <d v="2025-11-01T00:00:00"/>
        <d v="2025-05-02T00:00:00"/>
        <d v="2028-04-03T00:00:00"/>
        <d v="2026-04-12T00:00:00"/>
        <d v="2026-04-23T00:00:00"/>
        <d v="2025-04-08T00:00:00"/>
        <d v="2026-04-06T00:00:00"/>
        <d v="2025-02-13T00:00:00"/>
        <d v="2026-01-09T00:00:00"/>
        <d v="2026-03-06T00:00:00"/>
        <d v="2026-05-28T00:00:00"/>
        <d v="2027-04-03T00:00:00"/>
        <d v="2025-06-01T00:00:00"/>
        <d v="2025-04-16T00:00:00"/>
        <d v="2027-08-01T00:00:00"/>
        <d v="2025-07-26T00:00:00"/>
        <d v="2025-09-01T00:00:00"/>
        <d v="2026-06-07T00:00:00"/>
        <d v="2025-09-10T00:00:00"/>
        <d v="2026-09-03T00:00:00"/>
        <d v="2026-05-16T00:00:00"/>
        <d v="2025-07-05T00:00:00"/>
        <d v="2028-04-05T00:00:00"/>
        <d v="2025-04-13T00:00:00"/>
        <d v="2025-05-18T00:00:00"/>
        <d v="2025-07-27T00:00:00"/>
        <d v="2026-02-09T00:00:00"/>
        <d v="2026-06-10T00:00:00"/>
        <d v="2025-10-25T00:00:00"/>
        <d v="2025-03-06T00:00:00"/>
        <d v="2026-05-12T00:00:00"/>
        <d v="2027-03-06T00:00:00"/>
        <d v="2026-10-08T00:00:00"/>
        <d v="2025-09-14T00:00:00"/>
        <d v="2025-01-23T00:00:00"/>
        <d v="2028-04-01T00:00:00"/>
        <d v="2025-11-24T00:00:00"/>
        <d v="2025-12-07T00:00:00"/>
        <d v="2025-11-26T00:00:00"/>
        <d v="2025-06-26T00:00:00"/>
        <d v="2025-02-05T00:00:00"/>
        <d v="2025-05-05T00:00:00"/>
        <d v="2026-04-28T00:00:00"/>
        <d v="2026-07-09T00:00:00"/>
        <d v="2026-02-04T00:00:00"/>
        <d v="2025-01-06T00:00:00"/>
        <d v="2025-12-04T00:00:00"/>
        <d v="2025-04-03T00:00:00"/>
        <d v="2026-06-04T00:00:00"/>
        <d v="2026-03-09T00:00:00"/>
        <d v="2026-08-06T00:00:00"/>
        <d v="2026-01-23T00:00:00"/>
        <d v="2026-06-26T00:00:00"/>
        <d v="2025-02-28T00:00:00"/>
        <d v="2025-12-23T00:00:00"/>
        <d v="2028-02-03T00:00:00"/>
        <d v="2026-06-01T00:00:00"/>
        <d v="2027-04-09T00:00:00"/>
        <d v="2025-02-10T00:00:00"/>
        <d v="2026-05-17T00:00:00"/>
        <d v="2025-12-06T00:00:00"/>
        <d v="2026-01-24T00:00:00"/>
        <d v="2025-10-27T00:00:00"/>
        <d v="2026-10-02T00:00:00"/>
        <d v="2025-10-11T00:00:00"/>
        <d v="2026-03-10T00:00:00"/>
        <d v="2025-11-05T00:00:00"/>
        <d v="2026-12-06T00:00:00"/>
        <d v="2026-04-22T00:00:00"/>
        <d v="2025-04-10T00:00:00"/>
        <d v="2026-04-02T00:00:00"/>
        <d v="2027-07-01T00:00:00"/>
        <d v="2025-02-09T00:00:00"/>
        <d v="2025-08-16T00:00:00"/>
        <d v="2025-07-18T00:00:00"/>
        <d v="2026-03-14T00:00:00"/>
        <d v="2025-12-16T00:00:00"/>
        <d v="2025-02-03T00:00:00"/>
        <d v="2025-10-15T00:00:00"/>
        <d v="2026-03-26T00:00:00"/>
        <d v="2026-06-13T00:00:00"/>
        <d v="2026-12-03T00:00:00"/>
        <d v="2027-05-03T00:00:00"/>
        <d v="2025-09-28T00:00:00"/>
        <d v="2025-08-27T00:00:00"/>
        <d v="2025-01-19T00:00:00"/>
        <d v="2025-12-12T00:00:00"/>
        <d v="2025-07-25T00:00:00"/>
        <d v="2026-11-06T00:00:00"/>
        <d v="2026-02-08T00:00:00"/>
        <d v="2026-12-10T00:00:00"/>
        <d v="2025-01-18T00:00:00"/>
        <d v="2025-05-07T00:00:00"/>
        <d v="2025-07-08T00:00:00"/>
        <d v="2025-09-12T00:00:00"/>
        <d v="2027-07-04T00:00:00"/>
        <d v="2026-02-02T00:00:00"/>
        <d v="2026-06-25T00:00:00"/>
        <d v="2025-10-24T00:00:00"/>
        <d v="2025-04-22T00:00:00"/>
        <d v="2026-04-10T00:00:00"/>
        <d v="2026-01-14T00:00:00"/>
        <d v="2026-09-01T00:00:00"/>
        <d v="2026-10-03T00:00:00"/>
        <d v="2026-05-11T00:00:00"/>
        <d v="2026-01-10T00:00:00"/>
        <d v="2025-03-04T00:00:00"/>
        <d v="2027-04-02T00:00:00"/>
        <d v="2026-05-26T00:00:00"/>
        <d v="2026-01-07T00:00:00"/>
        <d v="2026-02-05T00:00:00"/>
        <d v="2026-10-12T00:00:00"/>
        <d v="2025-10-13T00:00:00"/>
        <d v="2025-09-08T00:00:00"/>
        <d v="2025-11-28T00:00:00"/>
        <d v="2026-12-01T00:00:00"/>
        <d v="2025-12-18T00:00:00"/>
        <d v="2025-11-20T00:00:00"/>
        <d v="2026-04-14T00:00:00"/>
        <d v="2027-11-03T00:00:00"/>
        <d v="2025-02-07T00:00:00"/>
        <d v="2026-03-13T00:00:00"/>
        <d v="2026-06-22T00:00:00"/>
        <d v="2025-06-11T00:00:00"/>
        <d v="2027-02-11T00:00:00"/>
        <d v="2026-05-09T00:00:00"/>
        <d v="2026-06-15T00:00:00"/>
        <d v="2026-04-25T00:00:00"/>
        <d v="2026-03-11T00:00:00"/>
        <d v="2025-11-04T00:00:00"/>
        <d v="2026-11-03T00:00:00"/>
        <d v="2025-04-26T00:00:00"/>
        <d v="2025-05-13T00:00:00"/>
        <d v="2025-03-05T00:00:00"/>
        <d v="2025-04-28T00:00:00"/>
        <d v="2025-12-11T00:00:00"/>
        <d v="2027-08-05T00:00:00"/>
        <d v="2026-06-06T00:00:00"/>
        <d v="2027-02-10T00:00:00"/>
        <d v="2025-11-22T00:00:00"/>
        <d v="2026-03-12T00:00:00"/>
        <d v="2026-06-23T00:00:00"/>
        <d v="2026-02-22T00:00:00"/>
        <d v="2025-05-08T00:00:00"/>
        <d v="2025-11-19T00:00:00"/>
        <d v="2025-08-15T00:00:00"/>
        <d v="2025-08-05T00:00:00"/>
        <d v="2025-09-19T00:00:00"/>
        <d v="2026-04-26T00:00:00"/>
        <d v="2025-10-18T00:00:00"/>
        <d v="2025-05-06T00:00:00"/>
        <d v="2025-09-25T00:00:00"/>
        <d v="2025-01-14T00:00:00"/>
        <d v="2025-10-06T00:00:00"/>
        <d v="2026-04-27T00:00:00"/>
        <d v="2026-05-13T00:00:00"/>
        <d v="2025-08-23T00:00:00"/>
        <d v="2025-10-19T00:00:00"/>
        <d v="2025-08-02T00:00:00"/>
        <d v="2027-04-04T00:00:00"/>
        <d v="2025-04-02T00:00:00"/>
        <d v="2026-06-14T00:00:00"/>
        <d v="2025-12-26T00:00:00"/>
        <d v="2026-10-04T00:00:00"/>
        <d v="2026-01-16T00:00:00"/>
        <d v="2025-07-10T00:00:00"/>
        <d v="2026-01-20T00:00:00"/>
        <d v="2026-04-09T00:00:00"/>
        <d v="2025-08-12T00:00:00"/>
        <d v="2026-06-19T00:00:00"/>
        <d v="2027-07-02T00:00:00"/>
        <d v="2025-08-09T00:00:00"/>
      </sharedItems>
      <fieldGroup par="26"/>
    </cacheField>
    <cacheField name="Time" numFmtId="166">
      <sharedItems/>
    </cacheField>
    <cacheField name="Merchant" numFmtId="49">
      <sharedItems count="48">
        <s v="Amazon"/>
        <s v="ABSA ATM"/>
        <s v="Shell"/>
        <s v="BP"/>
        <s v="Mugg &amp; Bean"/>
        <s v="Spotify"/>
        <s v="Engen"/>
        <s v="MTN"/>
        <s v="Spar"/>
        <s v="Mr Delivery"/>
        <s v="FlySafair"/>
        <s v="Hollywoodbets"/>
        <s v="Uber Eats"/>
        <s v="Clicks"/>
        <s v="Superbalist"/>
        <s v="Incredible Connection"/>
        <s v="South African Airways"/>
        <s v="Telkom"/>
        <s v="Mr Price"/>
        <s v="Checkers"/>
        <s v="Woolworths"/>
        <s v="Sportingbet"/>
        <s v="City Power"/>
        <s v="Game"/>
        <s v="KFC"/>
        <s v="Shoprite"/>
        <s v="Sasol"/>
        <s v="Total"/>
        <s v="Showmax"/>
        <s v="Pick n Pay"/>
        <s v="Nandos"/>
        <s v="Edgars"/>
        <s v="Capitec ATM"/>
        <s v="FNB ATM"/>
        <s v="Avis"/>
        <s v="Takealot"/>
        <s v="Zara"/>
        <s v="Makro"/>
        <s v="AliExpress"/>
        <s v="Vodacom"/>
        <s v="Truworths"/>
        <s v="Booking.com"/>
        <s v="DSTV"/>
        <s v="Betway"/>
        <s v="Standard Bank ATM"/>
        <s v="Dis-Chem"/>
        <s v="Nedbank ATM"/>
        <s v="Netflix"/>
      </sharedItems>
    </cacheField>
    <cacheField name="Category" numFmtId="49">
      <sharedItems count="12">
        <s v="Online Retail"/>
        <s v="ATM Withdrawal"/>
        <s v="Fuel"/>
        <s v="Restaurant"/>
        <s v="Subscription Services"/>
        <s v="Utilities"/>
        <s v="Grocery"/>
        <s v="Travel"/>
        <s v="Gambling"/>
        <s v="Pharmacy"/>
        <s v="Electronics"/>
        <s v="Clothing"/>
      </sharedItems>
    </cacheField>
    <cacheField name="City" numFmtId="49">
      <sharedItems count="9">
        <s v="Gqeberha"/>
        <s v="Cape Town"/>
        <s v="Bloemfontein"/>
        <s v="Durban"/>
        <s v="Johannesburg"/>
        <s v="Pretoria"/>
        <s v="Pretoria "/>
        <s v="Cape Town "/>
        <s v="Johannesburg "/>
      </sharedItems>
    </cacheField>
    <cacheField name="Amount (ZAR)" numFmtId="164">
      <sharedItems containsSemiMixedTypes="0" containsString="0" containsNumber="1" minValue="1" maxValue="22447.72" count="735">
        <n v="2404.0100000000002"/>
        <n v="982.64"/>
        <n v="1017.6"/>
        <n v="982.43"/>
        <n v="985.17"/>
        <n v="123.43"/>
        <n v="314.22000000000003"/>
        <n v="979.18"/>
        <n v="1222.8900000000001"/>
        <n v="880.73"/>
        <n v="562.54"/>
        <n v="5562.16"/>
        <n v="1757.45"/>
        <n v="1052.71"/>
        <n v="250.36"/>
        <n v="328.01"/>
        <n v="1267.71"/>
        <n v="3602.55"/>
        <n v="4221.32"/>
        <n v="1152.47"/>
        <n v="1584.47"/>
        <n v="1660.68"/>
        <n v="1219.17"/>
        <n v="2757.58"/>
        <n v="792.61"/>
        <n v="4535.62"/>
        <n v="458.84"/>
        <n v="319.86"/>
        <n v="6031.72"/>
        <n v="8124.09"/>
        <n v="2299.2399999999998"/>
        <n v="132.6"/>
        <n v="169.54"/>
        <n v="1177.99"/>
        <n v="801.48"/>
        <n v="816.74"/>
        <n v="945.27"/>
        <n v="435.24"/>
        <n v="378.11"/>
        <n v="429.93"/>
        <n v="3748"/>
        <n v="362.52"/>
        <n v="1701.4"/>
        <n v="1605.59"/>
        <n v="106.16"/>
        <n v="814.43"/>
        <n v="1611.95"/>
        <n v="1011.44"/>
        <n v="876.57"/>
        <n v="3357.01"/>
        <n v="588.72"/>
        <n v="1014.87"/>
        <n v="1871.12"/>
        <n v="2500.0500000000002"/>
        <n v="1260.81"/>
        <n v="752.19"/>
        <n v="633.84"/>
        <n v="2716.48"/>
        <n v="8903.2900000000009"/>
        <n v="286.81"/>
        <n v="1343.7"/>
        <n v="3140.21"/>
        <n v="1860.93"/>
        <n v="809.34"/>
        <n v="1842.21"/>
        <n v="10964.15"/>
        <n v="277.39999999999998"/>
        <n v="2249.59"/>
        <n v="363.98"/>
        <n v="1133.83"/>
        <n v="3190.16"/>
        <n v="1757.55"/>
        <n v="3076.94"/>
        <n v="1877.56"/>
        <n v="886.8"/>
        <n v="620.82000000000005"/>
        <n v="13132.78"/>
        <n v="400.57"/>
        <n v="84.06"/>
        <n v="1069.6600000000001"/>
        <n v="280.37"/>
        <n v="307.58"/>
        <n v="3686.26"/>
        <n v="1269.79"/>
        <n v="91.86"/>
        <n v="12351.27"/>
        <n v="1387.18"/>
        <n v="381.08"/>
        <n v="3710.08"/>
        <n v="1585.66"/>
        <n v="1089.1099999999999"/>
        <n v="343.72"/>
        <n v="803.97"/>
        <n v="337.22"/>
        <n v="431.64"/>
        <n v="242.38"/>
        <n v="1836.02"/>
        <n v="10053.709999999999"/>
        <n v="1501.56"/>
        <n v="454.03"/>
        <n v="897.02"/>
        <n v="649.38"/>
        <n v="1848.84"/>
        <n v="315.63"/>
        <n v="2753.85"/>
        <n v="5217.8100000000004"/>
        <n v="173.06"/>
        <n v="497.89"/>
        <n v="706.99"/>
        <n v="804.53"/>
        <n v="2805.24"/>
        <n v="1477.97"/>
        <n v="313.55"/>
        <n v="9138.4"/>
        <n v="2472.16"/>
        <n v="407.74"/>
        <n v="182.28"/>
        <n v="522.35"/>
        <n v="398.05"/>
        <n v="545.36"/>
        <n v="2533.88"/>
        <n v="6463.23"/>
        <n v="256.31"/>
        <n v="281.91000000000003"/>
        <n v="197.1"/>
        <n v="575.36"/>
        <n v="225.21"/>
        <n v="2767.86"/>
        <n v="185.18"/>
        <n v="224.12"/>
        <n v="2854.98"/>
        <n v="424.7"/>
        <n v="4428.97"/>
        <n v="303.67"/>
        <n v="612.67999999999995"/>
        <n v="1019.35"/>
        <n v="1946.95"/>
        <n v="2213.96"/>
        <n v="6368.91"/>
        <n v="632.97"/>
        <n v="799.66"/>
        <n v="916.61"/>
        <n v="11244.01"/>
        <n v="1421.32"/>
        <n v="1192.6099999999999"/>
        <n v="1171.96"/>
        <n v="1228.6500000000001"/>
        <n v="721.21"/>
        <n v="183.67"/>
        <n v="1720.59"/>
        <n v="216.78"/>
        <n v="324.26"/>
        <n v="12891.47"/>
        <n v="581.70000000000005"/>
        <n v="785.24"/>
        <n v="100.81"/>
        <n v="312.33"/>
        <n v="384.63"/>
        <n v="623.48"/>
        <n v="1202.98"/>
        <n v="1369.34"/>
        <n v="2472.3000000000002"/>
        <n v="449.03"/>
        <n v="1938.17"/>
        <n v="2780.45"/>
        <n v="498.94"/>
        <n v="898.65"/>
        <n v="1693.07"/>
        <n v="343.81"/>
        <n v="396.99"/>
        <n v="2743.59"/>
        <n v="90.17"/>
        <n v="501.41"/>
        <n v="262.16000000000003"/>
        <n v="641.86"/>
        <n v="583.67999999999995"/>
        <n v="694.54"/>
        <n v="416.55"/>
        <n v="3162.78"/>
        <n v="1062.3800000000001"/>
        <n v="469.07"/>
        <n v="1334.37"/>
        <n v="679.41"/>
        <n v="327.56"/>
        <n v="557.32000000000005"/>
        <n v="13145.83"/>
        <n v="776.78"/>
        <n v="1510.39"/>
        <n v="361.36"/>
        <n v="1427.72"/>
        <n v="135.22"/>
        <n v="2493.8000000000002"/>
        <n v="4008.94"/>
        <n v="1409.59"/>
        <n v="163.26"/>
        <n v="2729.76"/>
        <n v="512.82000000000005"/>
        <n v="115.53"/>
        <n v="3271.63"/>
        <n v="7170.61"/>
        <n v="617.52"/>
        <n v="148.35"/>
        <n v="2669.71"/>
        <n v="4786.92"/>
        <n v="132.65"/>
        <n v="2449.77"/>
        <n v="1306.23"/>
        <n v="11741.81"/>
        <n v="1219.81"/>
        <n v="1303.33"/>
        <n v="353"/>
        <n v="963.15"/>
        <n v="3864.56"/>
        <n v="5499.03"/>
        <n v="279.22000000000003"/>
        <n v="1838.95"/>
        <n v="70.459999999999994"/>
        <n v="2776.89"/>
        <n v="164.43"/>
        <n v="10646.26"/>
        <n v="2762.96"/>
        <n v="544.86"/>
        <n v="3759.36"/>
        <n v="4123.57"/>
        <n v="1461.15"/>
        <n v="515.44000000000005"/>
        <n v="613.94000000000005"/>
        <n v="1217.3699999999999"/>
        <n v="671.92"/>
        <n v="523.33000000000004"/>
        <n v="622.66"/>
        <n v="9431.59"/>
        <n v="4397.71"/>
        <n v="274.49"/>
        <n v="408.25"/>
        <n v="3195.47"/>
        <n v="757.26"/>
        <n v="484.63"/>
        <n v="114.23"/>
        <n v="1328.63"/>
        <n v="17624.12"/>
        <n v="430.58"/>
        <n v="189.77"/>
        <n v="754.72"/>
        <n v="5795.36"/>
        <n v="1683.53"/>
        <n v="11174.71"/>
        <n v="5040.71"/>
        <n v="729.1"/>
        <n v="3148.51"/>
        <n v="2374.66"/>
        <n v="843.62"/>
        <n v="12367.7"/>
        <n v="348.82"/>
        <n v="973.36"/>
        <n v="6731.29"/>
        <n v="4468.8599999999997"/>
        <n v="371.48"/>
        <n v="1649.02"/>
        <n v="531.62"/>
        <n v="646.34"/>
        <n v="1422.53"/>
        <n v="10310.48"/>
        <n v="266.32"/>
        <n v="746.42"/>
        <n v="695.9"/>
        <n v="128.4"/>
        <n v="1333.56"/>
        <n v="1413.2"/>
        <n v="1425.07"/>
        <n v="2028.22"/>
        <n v="960.6"/>
        <n v="705.74"/>
        <n v="966.22"/>
        <n v="398.87"/>
        <n v="592.63"/>
        <n v="309.49"/>
        <n v="622.61"/>
        <n v="891.4"/>
        <n v="361.76"/>
        <n v="410.99"/>
        <n v="3399.31"/>
        <n v="890.66"/>
        <n v="833.61"/>
        <n v="612.94000000000005"/>
        <n v="291.62"/>
        <n v="1801"/>
        <n v="3014.91"/>
        <n v="881.2"/>
        <n v="208.11"/>
        <n v="11922.82"/>
        <n v="1654.67"/>
        <n v="1603.62"/>
        <n v="269.47000000000003"/>
        <n v="1355.11"/>
        <n v="1378.12"/>
        <n v="5013.57"/>
        <n v="1087.22"/>
        <n v="414.94"/>
        <n v="354.69"/>
        <n v="455.72"/>
        <n v="207.18"/>
        <n v="1818.98"/>
        <n v="455.55"/>
        <n v="600.21"/>
        <n v="281.52999999999997"/>
        <n v="3249.26"/>
        <n v="269.22000000000003"/>
        <n v="412.5"/>
        <n v="2859.56"/>
        <n v="2457.33"/>
        <n v="2885.2"/>
        <n v="532.26"/>
        <n v="1492.52"/>
        <n v="2243.37"/>
        <n v="512.98"/>
        <n v="1100.7"/>
        <n v="2597.9499999999998"/>
        <n v="365.24"/>
        <n v="1579.73"/>
        <n v="436.52"/>
        <n v="382.17"/>
        <n v="1221.6600000000001"/>
        <n v="526.54999999999995"/>
        <n v="379.39"/>
        <n v="694.21"/>
        <n v="478.28"/>
        <n v="776.69"/>
        <n v="1092.17"/>
        <n v="2933.05"/>
        <n v="3322.03"/>
        <n v="2239.69"/>
        <n v="3374.05"/>
        <n v="2020.98"/>
        <n v="392.73"/>
        <n v="12877.2"/>
        <n v="4829.03"/>
        <n v="441.56"/>
        <n v="711.04"/>
        <n v="288.37"/>
        <n v="366.82"/>
        <n v="1192.5899999999999"/>
        <n v="1021.75"/>
        <n v="559.23"/>
        <n v="2866.87"/>
        <n v="156.02000000000001"/>
        <n v="1762.86"/>
        <n v="8228.44"/>
        <n v="783.69"/>
        <n v="1028.77"/>
        <n v="2762.83"/>
        <n v="4069.56"/>
        <n v="569.51"/>
        <n v="309.27"/>
        <n v="1178.95"/>
        <n v="1168.27"/>
        <n v="272.62"/>
        <n v="1621.15"/>
        <n v="449.42"/>
        <n v="1560.31"/>
        <n v="1208.42"/>
        <n v="3321.84"/>
        <n v="805.78"/>
        <n v="445.9"/>
        <n v="420.94"/>
        <n v="678.02"/>
        <n v="1060.07"/>
        <n v="1704.6"/>
        <n v="15563.52"/>
        <n v="233.66"/>
        <n v="663.97"/>
        <n v="255.17"/>
        <n v="375.45"/>
        <n v="2869.04"/>
        <n v="343.43"/>
        <n v="927.24"/>
        <n v="504.66"/>
        <n v="1551.4"/>
        <n v="3825.71"/>
        <n v="308.47000000000003"/>
        <n v="226.01"/>
        <n v="1914.05"/>
        <n v="2624.4"/>
        <n v="316.89999999999998"/>
        <n v="2725.6"/>
        <n v="1912.58"/>
        <n v="644.19000000000005"/>
        <n v="177.78"/>
        <n v="908.37"/>
        <n v="9289.0400000000009"/>
        <n v="679.44"/>
        <n v="280.11"/>
        <n v="439.52"/>
        <n v="372.87"/>
        <n v="2459.85"/>
        <n v="500.4"/>
        <n v="682.47"/>
        <n v="2161.58"/>
        <n v="496.9"/>
        <n v="768.07"/>
        <n v="769.86"/>
        <n v="211.68"/>
        <n v="1745.89"/>
        <n v="576.85"/>
        <n v="3967.13"/>
        <n v="2453.1799999999998"/>
        <n v="1697.52"/>
        <n v="1861.03"/>
        <n v="138.74"/>
        <n v="248.57"/>
        <n v="397.25"/>
        <n v="2849"/>
        <n v="338.8"/>
        <n v="911.76"/>
        <n v="409.1"/>
        <n v="234"/>
        <n v="685.84"/>
        <n v="3511.63"/>
        <n v="496.83"/>
        <n v="589.73"/>
        <n v="1480.3"/>
        <n v="6843.53"/>
        <n v="222.29"/>
        <n v="512.01"/>
        <n v="498.23"/>
        <n v="1106.8699999999999"/>
        <n v="13096.73"/>
        <n v="832.21"/>
        <n v="341.65"/>
        <n v="873.52"/>
        <n v="12780.55"/>
        <n v="1740.23"/>
        <n v="379.91"/>
        <n v="2480.4499999999998"/>
        <n v="1377.59"/>
        <n v="213.21"/>
        <n v="1035.96"/>
        <n v="1571.52"/>
        <n v="472.45"/>
        <n v="423.69"/>
        <n v="259"/>
        <n v="1285.7"/>
        <n v="689.71"/>
        <n v="3227.82"/>
        <n v="643.41999999999996"/>
        <n v="311.89999999999998"/>
        <n v="4011.66"/>
        <n v="11654.58"/>
        <n v="3704.61"/>
        <n v="740.85"/>
        <n v="893.66"/>
        <n v="10760.27"/>
        <n v="331.19"/>
        <n v="227.56"/>
        <n v="520.87"/>
        <n v="359.81"/>
        <n v="338.68"/>
        <n v="476.14"/>
        <n v="527.19000000000005"/>
        <n v="1167.99"/>
        <n v="3677.29"/>
        <n v="4109.4399999999996"/>
        <n v="8784.6299999999992"/>
        <n v="7443.01"/>
        <n v="498.92"/>
        <n v="2453.44"/>
        <n v="3227.42"/>
        <n v="374.79"/>
        <n v="5238.28"/>
        <n v="1555.64"/>
        <n v="106.35"/>
        <n v="1791.49"/>
        <n v="575.51"/>
        <n v="2700.88"/>
        <n v="888.32"/>
        <n v="295.5"/>
        <n v="416.33"/>
        <n v="2030.46"/>
        <n v="414.59"/>
        <n v="407.24"/>
        <n v="2073.16"/>
        <n v="1242.28"/>
        <n v="421.83"/>
        <n v="3362.14"/>
        <n v="2844.72"/>
        <n v="770.25"/>
        <n v="837.16"/>
        <n v="791.59"/>
        <n v="2534.7399999999998"/>
        <n v="1656.12"/>
        <n v="1062.6500000000001"/>
        <n v="1100.05"/>
        <n v="1908.13"/>
        <n v="548.9"/>
        <n v="594.24"/>
        <n v="1221.0899999999999"/>
        <n v="4891.34"/>
        <n v="390.9"/>
        <n v="3488.87"/>
        <n v="3884.84"/>
        <n v="4220.1899999999996"/>
        <n v="448.37"/>
        <n v="2111.7600000000002"/>
        <n v="7237.26"/>
        <n v="1213"/>
        <n v="13082.86"/>
        <n v="3420.02"/>
        <n v="124.59"/>
        <n v="1774.93"/>
        <n v="1346.1"/>
        <n v="2923.5"/>
        <n v="3408.85"/>
        <n v="386.64"/>
        <n v="2117.1799999999998"/>
        <n v="975.16"/>
        <n v="375.12"/>
        <n v="367.35"/>
        <n v="341.69"/>
        <n v="8472.89"/>
        <n v="422.3"/>
        <n v="2739.42"/>
        <n v="296.95999999999998"/>
        <n v="371.17"/>
        <n v="372.59"/>
        <n v="1637.74"/>
        <n v="920.06"/>
        <n v="598.91999999999996"/>
        <n v="264.12"/>
        <n v="1941.46"/>
        <n v="305.02"/>
        <n v="3763"/>
        <n v="962.95"/>
        <n v="1031.83"/>
        <n v="547.08000000000004"/>
        <n v="422.52"/>
        <n v="271.98"/>
        <n v="138.96"/>
        <n v="2651.18"/>
        <n v="1451.72"/>
        <n v="14249.58"/>
        <n v="488.61"/>
        <n v="388.86"/>
        <n v="1210.8599999999999"/>
        <n v="163.86"/>
        <n v="564.63"/>
        <n v="280.04000000000002"/>
        <n v="5163.9799999999996"/>
        <n v="439.39"/>
        <n v="1406.07"/>
        <n v="984.78"/>
        <n v="2763.58"/>
        <n v="2049.59"/>
        <n v="590.21"/>
        <n v="340.08"/>
        <n v="1927.62"/>
        <n v="671.59"/>
        <n v="336.05"/>
        <n v="611.52"/>
        <n v="16535.080000000002"/>
        <n v="1090.21"/>
        <n v="645.95000000000005"/>
        <n v="482.95"/>
        <n v="489.7"/>
        <n v="692.92"/>
        <n v="1561.7"/>
        <n v="392.18"/>
        <n v="1224.19"/>
        <n v="272.13"/>
        <n v="1290.29"/>
        <n v="195.86"/>
        <n v="1096.93"/>
        <n v="3837.46"/>
        <n v="330.7"/>
        <n v="399.56"/>
        <n v="589.6"/>
        <n v="202.43"/>
        <n v="542.66"/>
        <n v="588.70000000000005"/>
        <n v="1654.22"/>
        <n v="3106.59"/>
        <n v="626.89"/>
        <n v="1793.31"/>
        <n v="518.53"/>
        <n v="1497.37"/>
        <n v="361.48"/>
        <n v="950.04"/>
        <n v="3358.36"/>
        <n v="521.37"/>
        <n v="1262.01"/>
        <n v="273.06"/>
        <n v="319.39999999999998"/>
        <n v="2118.94"/>
        <n v="575.30999999999995"/>
        <n v="561.48"/>
        <n v="2449.29"/>
        <n v="796.27"/>
        <n v="11494.94"/>
        <n v="732.33"/>
        <n v="589.57000000000005"/>
        <n v="1492.85"/>
        <n v="559.04"/>
        <n v="1424.3"/>
        <n v="9729.01"/>
        <n v="1087.52"/>
        <n v="238.04"/>
        <n v="320.63"/>
        <n v="308.10000000000002"/>
        <n v="3776.52"/>
        <n v="1533.36"/>
        <n v="150.19"/>
        <n v="1027.1199999999999"/>
        <n v="6842.85"/>
        <n v="1682.93"/>
        <n v="553.91999999999996"/>
        <n v="1580.97"/>
        <n v="637.6"/>
        <n v="1773.74"/>
        <n v="4080.81"/>
        <n v="454.15"/>
        <n v="6552.27"/>
        <n v="919.73"/>
        <n v="1675.67"/>
        <n v="264.5"/>
        <n v="311.72000000000003"/>
        <n v="801.06"/>
        <n v="423.21"/>
        <n v="247.55"/>
        <n v="252.57"/>
        <n v="245.73"/>
        <n v="1446.57"/>
        <n v="136.63"/>
        <n v="406.71"/>
        <n v="918.78"/>
        <n v="833.66"/>
        <n v="2747.26"/>
        <n v="431.18"/>
        <n v="1688.65"/>
        <n v="526.89"/>
        <n v="1757.44"/>
        <n v="307.70999999999998"/>
        <n v="524.41"/>
        <n v="658.49"/>
        <n v="4492.24"/>
        <n v="2106.16"/>
        <n v="430.86"/>
        <n v="3651.31"/>
        <n v="682.29"/>
        <n v="580.77"/>
        <n v="540.39"/>
        <n v="149.08000000000001"/>
        <n v="769.95"/>
        <n v="376.47"/>
        <n v="913.26"/>
        <n v="4559.95"/>
        <n v="2748.55"/>
        <n v="5781.94"/>
        <n v="888.47"/>
        <n v="4508.16"/>
        <n v="563.67999999999995"/>
        <n v="2076.61"/>
        <n v="4516.97"/>
        <n v="229.89"/>
        <n v="991.88"/>
        <n v="623.59"/>
        <n v="1598.35"/>
        <n v="620.39"/>
        <n v="198.74"/>
        <n v="795.4"/>
        <n v="408.21"/>
        <n v="227.28"/>
        <n v="573.6"/>
        <n v="613.04"/>
        <n v="4568.74"/>
        <n v="250.61"/>
        <n v="1550.38"/>
        <n v="518.63"/>
        <n v="1139.68"/>
        <n v="9240.84"/>
        <n v="3243.18"/>
        <n v="2476.1"/>
        <n v="106.99"/>
        <n v="219.04"/>
        <n v="4038.69"/>
        <n v="3971.38"/>
        <n v="51.31"/>
        <n v="1706.89"/>
        <n v="1052.3900000000001"/>
        <n v="856.81"/>
        <n v="638.57000000000005"/>
        <n v="1497.06"/>
        <n v="297.58"/>
        <n v="2103.6799999999998"/>
        <n v="130.84"/>
        <n v="1276.99"/>
        <n v="591.27"/>
        <n v="4346.45"/>
        <n v="3304.51"/>
        <n v="1774.04"/>
        <n v="1766.62"/>
        <n v="557.98"/>
        <n v="3246.76"/>
        <n v="100.08"/>
        <n v="3873.5"/>
        <n v="1362.34"/>
        <n v="555.67999999999995"/>
        <n v="3291.46"/>
        <n v="1070.8900000000001"/>
        <n v="2119.21"/>
        <n v="1704.55"/>
        <n v="1941.8"/>
        <n v="2319.7800000000002"/>
        <n v="2981.3"/>
        <n v="278.51"/>
        <n v="2093.94"/>
        <n v="4382.08"/>
        <n v="1496.81"/>
        <n v="702.21"/>
        <n v="1"/>
        <n v="5"/>
        <n v="10"/>
        <n v="19635.990000000002"/>
        <n v="598.46"/>
        <n v="22447.72"/>
        <n v="2472.23"/>
        <n v="5009.46"/>
        <n v="4847.18"/>
        <n v="5626.33"/>
        <n v="4109.6899999999996"/>
        <n v="8872.84"/>
        <n v="579.84"/>
        <n v="2445.88"/>
        <n v="5445.46"/>
        <n v="4935.99"/>
        <n v="3380.56"/>
        <n v="2581.0300000000002"/>
      </sharedItems>
    </cacheField>
    <cacheField name="Channel" numFmtId="49">
      <sharedItems count="4">
        <s v="Card Present"/>
        <s v="Card Not Present (Phone)"/>
        <s v="Contactless"/>
        <s v="Online"/>
      </sharedItems>
    </cacheField>
    <cacheField name="Status" numFmtId="49">
      <sharedItems count="2">
        <s v="Approved"/>
        <s v="Declined"/>
      </sharedItems>
    </cacheField>
    <cacheField name="Notes" numFmtId="0">
      <sharedItems containsBlank="1"/>
    </cacheField>
    <cacheField name="Cardholder_name" numFmtId="0">
      <sharedItems/>
    </cacheField>
    <cacheField name="Credit_Limit" numFmtId="165">
      <sharedItems containsSemiMixedTypes="0" containsString="0" containsNumber="1" containsInteger="1" minValue="15000" maxValue="100000"/>
    </cacheField>
    <cacheField name="Bank" numFmtId="49">
      <sharedItems count="5">
        <s v="Capitec"/>
        <s v="Standard Bank"/>
        <s v="Nedbank"/>
        <s v="FNB"/>
        <s v="ABSA"/>
      </sharedItems>
    </cacheField>
    <cacheField name="Card_Network" numFmtId="49">
      <sharedItems count="2">
        <s v="Mastercard"/>
        <s v="Visa"/>
      </sharedItems>
    </cacheField>
    <cacheField name="Percentage-Limit_Utilized" numFmtId="10">
      <sharedItems containsSemiMixedTypes="0" containsString="0" containsNumber="1" minValue="1.2500000000000001E-5" maxValue="1.1223860000000001"/>
    </cacheField>
    <cacheField name="City_Check" numFmtId="0">
      <sharedItems containsSemiMixedTypes="0" containsString="0" containsNumber="1" containsInteger="1" minValue="0" maxValue="1"/>
    </cacheField>
    <cacheField name="Hour_Check" numFmtId="0">
      <sharedItems containsSemiMixedTypes="0" containsString="0" containsNumber="1" containsInteger="1" minValue="0" maxValue="1"/>
    </cacheField>
    <cacheField name="Velocity_Check" numFmtId="0">
      <sharedItems containsSemiMixedTypes="0" containsString="0" containsNumber="1" containsInteger="1" minValue="0" maxValue="0"/>
    </cacheField>
    <cacheField name="Limit_Check" numFmtId="0">
      <sharedItems containsSemiMixedTypes="0" containsString="0" containsNumber="1" containsInteger="1" minValue="0" maxValue="1"/>
    </cacheField>
    <cacheField name="Category_Check" numFmtId="0">
      <sharedItems containsSemiMixedTypes="0" containsString="0" containsNumber="1" containsInteger="1" minValue="0" maxValue="1"/>
    </cacheField>
    <cacheField name="Channel_Check" numFmtId="0">
      <sharedItems containsSemiMixedTypes="0" containsString="0" containsNumber="1" containsInteger="1" minValue="0" maxValue="1"/>
    </cacheField>
    <cacheField name="Risk_Score" numFmtId="0">
      <sharedItems containsSemiMixedTypes="0" containsString="0" containsNumber="1" containsInteger="1" minValue="0" maxValue="3" count="4">
        <n v="1"/>
        <n v="0"/>
        <n v="3"/>
        <n v="2"/>
      </sharedItems>
    </cacheField>
    <cacheField name="Risk_Level" numFmtId="0">
      <sharedItems count="3">
        <s v="Low"/>
        <s v="High"/>
        <s v="Medium"/>
      </sharedItems>
    </cacheField>
    <cacheField name="Months (Date)" numFmtId="0" databaseField="0">
      <fieldGroup base="2">
        <rangePr groupBy="months" startDate="2025-01-01T00:00:00" endDate="2028-04-06T00:00:00"/>
        <groupItems count="14">
          <s v="&lt;2025/01/01"/>
          <s v="Jan"/>
          <s v="Feb"/>
          <s v="Mar"/>
          <s v="Apr"/>
          <s v="May"/>
          <s v="Jun"/>
          <s v="Jul"/>
          <s v="Aug"/>
          <s v="Sept"/>
          <s v="Oct"/>
          <s v="Nov"/>
          <s v="Dec"/>
          <s v="&gt;2028/04/06"/>
        </groupItems>
      </fieldGroup>
    </cacheField>
    <cacheField name="Quarters (Date)" numFmtId="0" databaseField="0">
      <fieldGroup base="2">
        <rangePr groupBy="quarters" startDate="2025-01-01T00:00:00" endDate="2028-04-06T00:00:00"/>
        <groupItems count="6">
          <s v="&lt;2025/01/01"/>
          <s v="Qtr1"/>
          <s v="Qtr2"/>
          <s v="Qtr3"/>
          <s v="Qtr4"/>
          <s v="&gt;2028/04/06"/>
        </groupItems>
      </fieldGroup>
    </cacheField>
    <cacheField name="Years (Date)" numFmtId="0" databaseField="0">
      <fieldGroup base="2">
        <rangePr groupBy="years" startDate="2025-01-01T00:00:00" endDate="2028-04-06T00:00:00"/>
        <groupItems count="6">
          <s v="&lt;2025/01/01"/>
          <s v="2025"/>
          <s v="2026"/>
          <s v="2027"/>
          <s v="2028"/>
          <s v="&gt;2028/04/06"/>
        </groupItems>
      </fieldGroup>
    </cacheField>
  </cacheFields>
  <extLst>
    <ext xmlns:x14="http://schemas.microsoft.com/office/spreadsheetml/2009/9/main" uri="{725AE2AE-9491-48be-B2B4-4EB974FC3084}">
      <x14:pivotCacheDefinition pivotCacheId="2119604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8">
  <r>
    <x v="0"/>
    <s v="CC-10000"/>
    <x v="0"/>
    <s v="18:47"/>
    <x v="0"/>
    <x v="0"/>
    <x v="0"/>
    <x v="0"/>
    <x v="0"/>
    <x v="0"/>
    <m/>
    <s v="Carlos Maseko"/>
    <n v="25000"/>
    <x v="0"/>
    <x v="0"/>
    <n v="9.6160400000000007E-2"/>
    <n v="0"/>
    <n v="0"/>
    <n v="0"/>
    <n v="1"/>
    <n v="0"/>
    <n v="0"/>
    <x v="0"/>
    <x v="0"/>
  </r>
  <r>
    <x v="1"/>
    <s v="CC-10000"/>
    <x v="1"/>
    <s v="13:32"/>
    <x v="1"/>
    <x v="1"/>
    <x v="0"/>
    <x v="1"/>
    <x v="0"/>
    <x v="0"/>
    <m/>
    <s v="Carlos Maseko"/>
    <n v="25000"/>
    <x v="0"/>
    <x v="0"/>
    <n v="3.9305599999999996E-2"/>
    <n v="0"/>
    <n v="0"/>
    <n v="0"/>
    <n v="0"/>
    <n v="0"/>
    <n v="0"/>
    <x v="1"/>
    <x v="0"/>
  </r>
  <r>
    <x v="2"/>
    <s v="CC-10000"/>
    <x v="2"/>
    <s v="Unknown"/>
    <x v="2"/>
    <x v="2"/>
    <x v="0"/>
    <x v="2"/>
    <x v="1"/>
    <x v="0"/>
    <m/>
    <s v="Carlos Maseko"/>
    <n v="25000"/>
    <x v="0"/>
    <x v="0"/>
    <n v="4.0704000000000004E-2"/>
    <n v="0"/>
    <n v="1"/>
    <n v="0"/>
    <n v="0"/>
    <n v="1"/>
    <n v="1"/>
    <x v="2"/>
    <x v="1"/>
  </r>
  <r>
    <x v="3"/>
    <s v="CC-10000"/>
    <x v="3"/>
    <s v="15:42"/>
    <x v="0"/>
    <x v="0"/>
    <x v="0"/>
    <x v="3"/>
    <x v="0"/>
    <x v="0"/>
    <m/>
    <s v="Carlos Maseko"/>
    <n v="25000"/>
    <x v="0"/>
    <x v="0"/>
    <n v="3.9297199999999997E-2"/>
    <n v="0"/>
    <n v="0"/>
    <n v="0"/>
    <n v="0"/>
    <n v="0"/>
    <n v="0"/>
    <x v="1"/>
    <x v="0"/>
  </r>
  <r>
    <x v="4"/>
    <s v="CC-10000"/>
    <x v="4"/>
    <s v="10:47"/>
    <x v="3"/>
    <x v="2"/>
    <x v="0"/>
    <x v="4"/>
    <x v="2"/>
    <x v="0"/>
    <m/>
    <s v="Carlos Maseko"/>
    <n v="25000"/>
    <x v="0"/>
    <x v="0"/>
    <n v="3.9406799999999999E-2"/>
    <n v="0"/>
    <n v="0"/>
    <n v="0"/>
    <n v="0"/>
    <n v="0"/>
    <n v="0"/>
    <x v="1"/>
    <x v="0"/>
  </r>
  <r>
    <x v="5"/>
    <s v="CC-10000"/>
    <x v="5"/>
    <s v="20:33"/>
    <x v="4"/>
    <x v="3"/>
    <x v="0"/>
    <x v="5"/>
    <x v="0"/>
    <x v="0"/>
    <m/>
    <s v="Carlos Maseko"/>
    <n v="25000"/>
    <x v="0"/>
    <x v="0"/>
    <n v="4.9372000000000001E-3"/>
    <n v="0"/>
    <n v="0"/>
    <n v="0"/>
    <n v="0"/>
    <n v="0"/>
    <n v="0"/>
    <x v="1"/>
    <x v="0"/>
  </r>
  <r>
    <x v="6"/>
    <s v="CC-10000"/>
    <x v="6"/>
    <s v="08:27"/>
    <x v="5"/>
    <x v="4"/>
    <x v="0"/>
    <x v="6"/>
    <x v="1"/>
    <x v="1"/>
    <m/>
    <s v="Carlos Maseko"/>
    <n v="25000"/>
    <x v="0"/>
    <x v="0"/>
    <n v="1.2568800000000001E-2"/>
    <n v="0"/>
    <n v="0"/>
    <n v="0"/>
    <n v="0"/>
    <n v="0"/>
    <n v="1"/>
    <x v="0"/>
    <x v="0"/>
  </r>
  <r>
    <x v="7"/>
    <s v="CC-10000"/>
    <x v="7"/>
    <s v="07:49"/>
    <x v="6"/>
    <x v="2"/>
    <x v="0"/>
    <x v="7"/>
    <x v="2"/>
    <x v="0"/>
    <m/>
    <s v="Carlos Maseko"/>
    <n v="25000"/>
    <x v="0"/>
    <x v="0"/>
    <n v="3.9167199999999999E-2"/>
    <n v="0"/>
    <n v="0"/>
    <n v="0"/>
    <n v="0"/>
    <n v="0"/>
    <n v="0"/>
    <x v="1"/>
    <x v="0"/>
  </r>
  <r>
    <x v="8"/>
    <s v="CC-10000"/>
    <x v="8"/>
    <s v="14:27"/>
    <x v="7"/>
    <x v="5"/>
    <x v="1"/>
    <x v="8"/>
    <x v="2"/>
    <x v="0"/>
    <m/>
    <s v="Carlos Maseko"/>
    <n v="25000"/>
    <x v="0"/>
    <x v="0"/>
    <n v="4.8915600000000004E-2"/>
    <n v="0"/>
    <n v="0"/>
    <n v="0"/>
    <n v="0"/>
    <n v="0"/>
    <n v="0"/>
    <x v="1"/>
    <x v="0"/>
  </r>
  <r>
    <x v="9"/>
    <s v="CC-10000"/>
    <x v="9"/>
    <s v="13:55"/>
    <x v="8"/>
    <x v="6"/>
    <x v="0"/>
    <x v="9"/>
    <x v="2"/>
    <x v="0"/>
    <m/>
    <s v="Carlos Maseko"/>
    <n v="25000"/>
    <x v="0"/>
    <x v="0"/>
    <n v="3.5229200000000002E-2"/>
    <n v="1"/>
    <n v="0"/>
    <n v="0"/>
    <n v="0"/>
    <n v="0"/>
    <n v="0"/>
    <x v="0"/>
    <x v="0"/>
  </r>
  <r>
    <x v="10"/>
    <s v="CC-10001"/>
    <x v="10"/>
    <s v="11:15"/>
    <x v="9"/>
    <x v="3"/>
    <x v="0"/>
    <x v="10"/>
    <x v="1"/>
    <x v="0"/>
    <m/>
    <s v="Fatima Adams"/>
    <n v="20000"/>
    <x v="1"/>
    <x v="1"/>
    <n v="2.8126999999999999E-2"/>
    <n v="0"/>
    <n v="0"/>
    <n v="0"/>
    <n v="0"/>
    <n v="0"/>
    <n v="1"/>
    <x v="0"/>
    <x v="0"/>
  </r>
  <r>
    <x v="11"/>
    <s v="CC-10001"/>
    <x v="11"/>
    <s v="13:56"/>
    <x v="10"/>
    <x v="7"/>
    <x v="0"/>
    <x v="11"/>
    <x v="0"/>
    <x v="0"/>
    <m/>
    <s v="Fatima Adams"/>
    <n v="20000"/>
    <x v="1"/>
    <x v="1"/>
    <n v="0.27810799999999997"/>
    <n v="0"/>
    <n v="0"/>
    <n v="0"/>
    <n v="0"/>
    <n v="0"/>
    <n v="0"/>
    <x v="1"/>
    <x v="0"/>
  </r>
  <r>
    <x v="12"/>
    <s v="CC-10001"/>
    <x v="12"/>
    <s v="14:40"/>
    <x v="11"/>
    <x v="8"/>
    <x v="0"/>
    <x v="12"/>
    <x v="2"/>
    <x v="0"/>
    <m/>
    <s v="Fatima Adams"/>
    <n v="20000"/>
    <x v="1"/>
    <x v="1"/>
    <n v="8.7872500000000006E-2"/>
    <n v="0"/>
    <n v="0"/>
    <n v="0"/>
    <n v="0"/>
    <n v="0"/>
    <n v="0"/>
    <x v="1"/>
    <x v="0"/>
  </r>
  <r>
    <x v="13"/>
    <s v="CC-10001"/>
    <x v="13"/>
    <s v="20:47"/>
    <x v="2"/>
    <x v="2"/>
    <x v="0"/>
    <x v="13"/>
    <x v="1"/>
    <x v="0"/>
    <m/>
    <s v="Fatima Adams"/>
    <n v="20000"/>
    <x v="1"/>
    <x v="1"/>
    <n v="5.2635500000000002E-2"/>
    <n v="0"/>
    <n v="0"/>
    <n v="0"/>
    <n v="0"/>
    <n v="1"/>
    <n v="1"/>
    <x v="3"/>
    <x v="2"/>
  </r>
  <r>
    <x v="14"/>
    <s v="CC-10001"/>
    <x v="14"/>
    <s v="09:27"/>
    <x v="12"/>
    <x v="3"/>
    <x v="0"/>
    <x v="14"/>
    <x v="0"/>
    <x v="0"/>
    <m/>
    <s v="Fatima Adams"/>
    <n v="20000"/>
    <x v="1"/>
    <x v="1"/>
    <n v="1.2518000000000001E-2"/>
    <n v="0"/>
    <n v="0"/>
    <n v="0"/>
    <n v="0"/>
    <n v="0"/>
    <n v="0"/>
    <x v="1"/>
    <x v="0"/>
  </r>
  <r>
    <x v="15"/>
    <s v="CC-10001"/>
    <x v="15"/>
    <s v="17:18"/>
    <x v="13"/>
    <x v="9"/>
    <x v="0"/>
    <x v="15"/>
    <x v="0"/>
    <x v="0"/>
    <m/>
    <s v="Fatima Adams"/>
    <n v="20000"/>
    <x v="1"/>
    <x v="1"/>
    <n v="1.6400499999999998E-2"/>
    <n v="0"/>
    <n v="0"/>
    <n v="0"/>
    <n v="0"/>
    <n v="0"/>
    <n v="0"/>
    <x v="1"/>
    <x v="0"/>
  </r>
  <r>
    <x v="16"/>
    <s v="CC-10001"/>
    <x v="16"/>
    <s v="16:29"/>
    <x v="14"/>
    <x v="0"/>
    <x v="2"/>
    <x v="16"/>
    <x v="1"/>
    <x v="0"/>
    <m/>
    <s v="Fatima Adams"/>
    <n v="20000"/>
    <x v="1"/>
    <x v="1"/>
    <n v="6.3385499999999997E-2"/>
    <n v="0"/>
    <n v="0"/>
    <n v="0"/>
    <n v="0"/>
    <n v="0"/>
    <n v="1"/>
    <x v="0"/>
    <x v="0"/>
  </r>
  <r>
    <x v="17"/>
    <s v="CC-10001"/>
    <x v="17"/>
    <s v="18:51"/>
    <x v="15"/>
    <x v="10"/>
    <x v="0"/>
    <x v="17"/>
    <x v="0"/>
    <x v="0"/>
    <m/>
    <s v="Fatima Adams"/>
    <n v="20000"/>
    <x v="1"/>
    <x v="1"/>
    <n v="0.1801275"/>
    <n v="1"/>
    <n v="0"/>
    <n v="0"/>
    <n v="0"/>
    <n v="0"/>
    <n v="0"/>
    <x v="0"/>
    <x v="0"/>
  </r>
  <r>
    <x v="18"/>
    <s v="CC-10001"/>
    <x v="18"/>
    <s v="16:01"/>
    <x v="16"/>
    <x v="7"/>
    <x v="0"/>
    <x v="18"/>
    <x v="0"/>
    <x v="0"/>
    <m/>
    <s v="Fatima Adams"/>
    <n v="20000"/>
    <x v="1"/>
    <x v="1"/>
    <n v="0.21106599999999998"/>
    <n v="0"/>
    <n v="0"/>
    <n v="0"/>
    <n v="0"/>
    <n v="0"/>
    <n v="0"/>
    <x v="1"/>
    <x v="0"/>
  </r>
  <r>
    <x v="19"/>
    <s v="CC-10001"/>
    <x v="19"/>
    <s v="11:06"/>
    <x v="17"/>
    <x v="5"/>
    <x v="0"/>
    <x v="19"/>
    <x v="1"/>
    <x v="0"/>
    <m/>
    <s v="Fatima Adams"/>
    <n v="20000"/>
    <x v="1"/>
    <x v="1"/>
    <n v="5.7623500000000001E-2"/>
    <n v="0"/>
    <n v="0"/>
    <n v="0"/>
    <n v="0"/>
    <n v="0"/>
    <n v="1"/>
    <x v="0"/>
    <x v="0"/>
  </r>
  <r>
    <x v="20"/>
    <s v="CC-10001"/>
    <x v="20"/>
    <s v="22:34"/>
    <x v="18"/>
    <x v="11"/>
    <x v="0"/>
    <x v="20"/>
    <x v="1"/>
    <x v="0"/>
    <m/>
    <s v="Fatima Adams"/>
    <n v="20000"/>
    <x v="1"/>
    <x v="1"/>
    <n v="7.9223500000000002E-2"/>
    <n v="0"/>
    <n v="0"/>
    <n v="0"/>
    <n v="0"/>
    <n v="0"/>
    <n v="1"/>
    <x v="0"/>
    <x v="0"/>
  </r>
  <r>
    <x v="21"/>
    <s v="CC-10001"/>
    <x v="21"/>
    <s v="18:45"/>
    <x v="19"/>
    <x v="6"/>
    <x v="0"/>
    <x v="21"/>
    <x v="3"/>
    <x v="0"/>
    <m/>
    <s v="Fatima Adams"/>
    <n v="20000"/>
    <x v="1"/>
    <x v="1"/>
    <n v="8.3033999999999997E-2"/>
    <n v="0"/>
    <n v="0"/>
    <n v="0"/>
    <n v="0"/>
    <n v="0"/>
    <n v="1"/>
    <x v="0"/>
    <x v="0"/>
  </r>
  <r>
    <x v="22"/>
    <s v="CC-10001"/>
    <x v="22"/>
    <s v="Unknown"/>
    <x v="20"/>
    <x v="6"/>
    <x v="0"/>
    <x v="22"/>
    <x v="3"/>
    <x v="0"/>
    <m/>
    <s v="Fatima Adams"/>
    <n v="20000"/>
    <x v="1"/>
    <x v="1"/>
    <n v="6.0958500000000006E-2"/>
    <n v="0"/>
    <n v="1"/>
    <n v="0"/>
    <n v="0"/>
    <n v="0"/>
    <n v="1"/>
    <x v="3"/>
    <x v="2"/>
  </r>
  <r>
    <x v="23"/>
    <s v="CC-10001"/>
    <x v="23"/>
    <s v="13:11"/>
    <x v="0"/>
    <x v="0"/>
    <x v="0"/>
    <x v="23"/>
    <x v="3"/>
    <x v="0"/>
    <m/>
    <s v="Fatima Adams"/>
    <n v="20000"/>
    <x v="1"/>
    <x v="1"/>
    <n v="0.137879"/>
    <n v="0"/>
    <n v="0"/>
    <n v="0"/>
    <n v="0"/>
    <n v="0"/>
    <n v="1"/>
    <x v="0"/>
    <x v="0"/>
  </r>
  <r>
    <x v="24"/>
    <s v="CC-10001"/>
    <x v="24"/>
    <s v="22:54"/>
    <x v="3"/>
    <x v="2"/>
    <x v="3"/>
    <x v="24"/>
    <x v="0"/>
    <x v="0"/>
    <m/>
    <s v="Fatima Adams"/>
    <n v="20000"/>
    <x v="1"/>
    <x v="1"/>
    <n v="3.9630499999999999E-2"/>
    <n v="0"/>
    <n v="0"/>
    <n v="0"/>
    <n v="0"/>
    <n v="0"/>
    <n v="0"/>
    <x v="1"/>
    <x v="0"/>
  </r>
  <r>
    <x v="25"/>
    <s v="CC-10001"/>
    <x v="25"/>
    <s v="15:50"/>
    <x v="21"/>
    <x v="8"/>
    <x v="4"/>
    <x v="25"/>
    <x v="2"/>
    <x v="0"/>
    <m/>
    <s v="Fatima Adams"/>
    <n v="20000"/>
    <x v="1"/>
    <x v="1"/>
    <n v="0.22678099999999998"/>
    <n v="1"/>
    <n v="0"/>
    <n v="0"/>
    <n v="0"/>
    <n v="0"/>
    <n v="0"/>
    <x v="0"/>
    <x v="0"/>
  </r>
  <r>
    <x v="26"/>
    <s v="CC-10002"/>
    <x v="26"/>
    <s v="11:40"/>
    <x v="7"/>
    <x v="5"/>
    <x v="5"/>
    <x v="26"/>
    <x v="3"/>
    <x v="0"/>
    <m/>
    <s v="Mahlangu Lerato"/>
    <n v="100000"/>
    <x v="0"/>
    <x v="1"/>
    <n v="4.5883999999999994E-3"/>
    <n v="1"/>
    <n v="0"/>
    <n v="0"/>
    <n v="0"/>
    <n v="1"/>
    <n v="1"/>
    <x v="2"/>
    <x v="1"/>
  </r>
  <r>
    <x v="27"/>
    <s v="CC-10002"/>
    <x v="27"/>
    <s v="15:39"/>
    <x v="22"/>
    <x v="5"/>
    <x v="2"/>
    <x v="27"/>
    <x v="1"/>
    <x v="0"/>
    <m/>
    <s v="Mahlangu Lerato"/>
    <n v="100000"/>
    <x v="0"/>
    <x v="1"/>
    <n v="3.1986000000000002E-3"/>
    <n v="0"/>
    <n v="0"/>
    <n v="0"/>
    <n v="0"/>
    <n v="0"/>
    <n v="1"/>
    <x v="0"/>
    <x v="0"/>
  </r>
  <r>
    <x v="28"/>
    <s v="CC-10002"/>
    <x v="13"/>
    <s v="08:34"/>
    <x v="23"/>
    <x v="10"/>
    <x v="5"/>
    <x v="28"/>
    <x v="2"/>
    <x v="0"/>
    <m/>
    <s v="Mahlangu Lerato"/>
    <n v="100000"/>
    <x v="0"/>
    <x v="1"/>
    <n v="6.0317200000000001E-2"/>
    <n v="1"/>
    <n v="0"/>
    <n v="0"/>
    <n v="0"/>
    <n v="0"/>
    <n v="0"/>
    <x v="0"/>
    <x v="0"/>
  </r>
  <r>
    <x v="29"/>
    <s v="CC-10002"/>
    <x v="28"/>
    <s v="11:06"/>
    <x v="16"/>
    <x v="7"/>
    <x v="5"/>
    <x v="29"/>
    <x v="0"/>
    <x v="0"/>
    <m/>
    <s v="Mahlangu Lerato"/>
    <n v="100000"/>
    <x v="0"/>
    <x v="1"/>
    <n v="8.1240900000000005E-2"/>
    <n v="0"/>
    <n v="0"/>
    <n v="0"/>
    <n v="0"/>
    <n v="0"/>
    <n v="0"/>
    <x v="1"/>
    <x v="0"/>
  </r>
  <r>
    <x v="30"/>
    <s v="CC-10002"/>
    <x v="29"/>
    <s v="13:57"/>
    <x v="1"/>
    <x v="1"/>
    <x v="6"/>
    <x v="30"/>
    <x v="1"/>
    <x v="0"/>
    <m/>
    <s v="Mahlangu Lerato"/>
    <n v="100000"/>
    <x v="0"/>
    <x v="1"/>
    <n v="2.2992399999999996E-2"/>
    <n v="0"/>
    <n v="0"/>
    <n v="0"/>
    <n v="0"/>
    <n v="0"/>
    <n v="1"/>
    <x v="0"/>
    <x v="0"/>
  </r>
  <r>
    <x v="31"/>
    <s v="CC-10002"/>
    <x v="30"/>
    <s v="15:36"/>
    <x v="24"/>
    <x v="3"/>
    <x v="5"/>
    <x v="31"/>
    <x v="3"/>
    <x v="1"/>
    <m/>
    <s v="Mahlangu Lerato"/>
    <n v="100000"/>
    <x v="0"/>
    <x v="1"/>
    <n v="1.3259999999999999E-3"/>
    <n v="1"/>
    <n v="0"/>
    <n v="0"/>
    <n v="0"/>
    <n v="1"/>
    <n v="1"/>
    <x v="2"/>
    <x v="1"/>
  </r>
  <r>
    <x v="32"/>
    <s v="CC-10002"/>
    <x v="31"/>
    <s v="08:53"/>
    <x v="4"/>
    <x v="3"/>
    <x v="5"/>
    <x v="32"/>
    <x v="0"/>
    <x v="0"/>
    <m/>
    <s v="Mahlangu Lerato"/>
    <n v="100000"/>
    <x v="0"/>
    <x v="1"/>
    <n v="1.6953999999999999E-3"/>
    <n v="0"/>
    <n v="0"/>
    <n v="0"/>
    <n v="0"/>
    <n v="0"/>
    <n v="0"/>
    <x v="1"/>
    <x v="0"/>
  </r>
  <r>
    <x v="33"/>
    <s v="CC-10002"/>
    <x v="32"/>
    <s v="13:49"/>
    <x v="25"/>
    <x v="6"/>
    <x v="5"/>
    <x v="33"/>
    <x v="2"/>
    <x v="1"/>
    <m/>
    <s v="Mahlangu Lerato"/>
    <n v="100000"/>
    <x v="0"/>
    <x v="1"/>
    <n v="1.1779899999999999E-2"/>
    <n v="0"/>
    <n v="0"/>
    <n v="0"/>
    <n v="0"/>
    <n v="0"/>
    <n v="0"/>
    <x v="1"/>
    <x v="0"/>
  </r>
  <r>
    <x v="34"/>
    <s v="CC-10002"/>
    <x v="33"/>
    <s v="15:21"/>
    <x v="26"/>
    <x v="2"/>
    <x v="5"/>
    <x v="34"/>
    <x v="3"/>
    <x v="1"/>
    <m/>
    <s v="Mahlangu Lerato"/>
    <n v="100000"/>
    <x v="0"/>
    <x v="1"/>
    <n v="8.0148000000000007E-3"/>
    <n v="0"/>
    <n v="0"/>
    <n v="0"/>
    <n v="0"/>
    <n v="0"/>
    <n v="1"/>
    <x v="0"/>
    <x v="0"/>
  </r>
  <r>
    <x v="35"/>
    <s v="CC-10002"/>
    <x v="34"/>
    <s v="16:35"/>
    <x v="27"/>
    <x v="2"/>
    <x v="5"/>
    <x v="35"/>
    <x v="3"/>
    <x v="1"/>
    <m/>
    <s v="Mahlangu Lerato"/>
    <n v="100000"/>
    <x v="0"/>
    <x v="1"/>
    <n v="8.1674E-3"/>
    <n v="0"/>
    <n v="0"/>
    <n v="0"/>
    <n v="0"/>
    <n v="0"/>
    <n v="1"/>
    <x v="0"/>
    <x v="0"/>
  </r>
  <r>
    <x v="36"/>
    <s v="CC-10002"/>
    <x v="35"/>
    <s v="14:30"/>
    <x v="1"/>
    <x v="1"/>
    <x v="5"/>
    <x v="36"/>
    <x v="0"/>
    <x v="0"/>
    <m/>
    <s v="Mahlangu Lerato"/>
    <n v="100000"/>
    <x v="0"/>
    <x v="1"/>
    <n v="9.4526999999999996E-3"/>
    <n v="0"/>
    <n v="0"/>
    <n v="0"/>
    <n v="0"/>
    <n v="0"/>
    <n v="0"/>
    <x v="1"/>
    <x v="0"/>
  </r>
  <r>
    <x v="37"/>
    <s v="CC-10002"/>
    <x v="36"/>
    <s v="15:10"/>
    <x v="28"/>
    <x v="4"/>
    <x v="5"/>
    <x v="37"/>
    <x v="0"/>
    <x v="0"/>
    <m/>
    <s v="Mahlangu Lerato"/>
    <n v="100000"/>
    <x v="0"/>
    <x v="1"/>
    <n v="4.3524000000000002E-3"/>
    <n v="0"/>
    <n v="0"/>
    <n v="0"/>
    <n v="0"/>
    <n v="1"/>
    <n v="0"/>
    <x v="0"/>
    <x v="0"/>
  </r>
  <r>
    <x v="38"/>
    <s v="CC-10002"/>
    <x v="37"/>
    <s v="09:29"/>
    <x v="29"/>
    <x v="6"/>
    <x v="6"/>
    <x v="38"/>
    <x v="2"/>
    <x v="1"/>
    <s v="verified via OTP call"/>
    <s v="Mahlangu Lerato"/>
    <n v="100000"/>
    <x v="0"/>
    <x v="1"/>
    <n v="3.7811000000000003E-3"/>
    <n v="0"/>
    <n v="0"/>
    <n v="0"/>
    <n v="0"/>
    <n v="0"/>
    <n v="0"/>
    <x v="1"/>
    <x v="0"/>
  </r>
  <r>
    <x v="39"/>
    <s v="CC-10003"/>
    <x v="38"/>
    <s v="19:11"/>
    <x v="0"/>
    <x v="0"/>
    <x v="7"/>
    <x v="39"/>
    <x v="0"/>
    <x v="0"/>
    <m/>
    <s v="Lerato Dlamini"/>
    <n v="30000"/>
    <x v="2"/>
    <x v="1"/>
    <n v="1.4331E-2"/>
    <n v="1"/>
    <n v="0"/>
    <n v="0"/>
    <n v="0"/>
    <n v="0"/>
    <n v="0"/>
    <x v="0"/>
    <x v="0"/>
  </r>
  <r>
    <x v="40"/>
    <s v="CC-10003"/>
    <x v="39"/>
    <s v="20:48"/>
    <x v="14"/>
    <x v="0"/>
    <x v="1"/>
    <x v="40"/>
    <x v="0"/>
    <x v="1"/>
    <m/>
    <s v="Lerato Dlamini"/>
    <n v="30000"/>
    <x v="2"/>
    <x v="1"/>
    <n v="0.12493333333333333"/>
    <n v="1"/>
    <n v="0"/>
    <n v="0"/>
    <n v="0"/>
    <n v="0"/>
    <n v="0"/>
    <x v="0"/>
    <x v="0"/>
  </r>
  <r>
    <x v="41"/>
    <s v="CC-10003"/>
    <x v="40"/>
    <s v="07:20"/>
    <x v="28"/>
    <x v="4"/>
    <x v="1"/>
    <x v="41"/>
    <x v="1"/>
    <x v="0"/>
    <m/>
    <s v="Lerato Dlamini"/>
    <n v="30000"/>
    <x v="2"/>
    <x v="1"/>
    <n v="1.2083999999999999E-2"/>
    <n v="0"/>
    <n v="0"/>
    <n v="0"/>
    <n v="0"/>
    <n v="0"/>
    <n v="1"/>
    <x v="0"/>
    <x v="0"/>
  </r>
  <r>
    <x v="42"/>
    <s v="CC-10003"/>
    <x v="41"/>
    <s v="22:44"/>
    <x v="29"/>
    <x v="6"/>
    <x v="1"/>
    <x v="42"/>
    <x v="0"/>
    <x v="0"/>
    <m/>
    <s v="Lerato Dlamini"/>
    <n v="30000"/>
    <x v="2"/>
    <x v="1"/>
    <n v="5.6713333333333338E-2"/>
    <n v="0"/>
    <n v="0"/>
    <n v="0"/>
    <n v="0"/>
    <n v="0"/>
    <n v="0"/>
    <x v="1"/>
    <x v="0"/>
  </r>
  <r>
    <x v="43"/>
    <s v="CC-10003"/>
    <x v="42"/>
    <s v="10:57"/>
    <x v="8"/>
    <x v="6"/>
    <x v="1"/>
    <x v="43"/>
    <x v="2"/>
    <x v="0"/>
    <m/>
    <s v="Lerato Dlamini"/>
    <n v="30000"/>
    <x v="2"/>
    <x v="1"/>
    <n v="5.3519666666666667E-2"/>
    <n v="0"/>
    <n v="0"/>
    <n v="0"/>
    <n v="0"/>
    <n v="0"/>
    <n v="0"/>
    <x v="1"/>
    <x v="0"/>
  </r>
  <r>
    <x v="44"/>
    <s v="CC-10003"/>
    <x v="43"/>
    <s v="21:52"/>
    <x v="30"/>
    <x v="3"/>
    <x v="1"/>
    <x v="44"/>
    <x v="0"/>
    <x v="0"/>
    <m/>
    <s v="Lerato Dlamini"/>
    <n v="30000"/>
    <x v="2"/>
    <x v="1"/>
    <n v="3.5386666666666665E-3"/>
    <n v="0"/>
    <n v="0"/>
    <n v="0"/>
    <n v="0"/>
    <n v="0"/>
    <n v="0"/>
    <x v="1"/>
    <x v="0"/>
  </r>
  <r>
    <x v="45"/>
    <s v="CC-10003"/>
    <x v="44"/>
    <s v="13:18"/>
    <x v="13"/>
    <x v="9"/>
    <x v="7"/>
    <x v="45"/>
    <x v="0"/>
    <x v="0"/>
    <m/>
    <s v="Lerato Dlamini"/>
    <n v="30000"/>
    <x v="2"/>
    <x v="1"/>
    <n v="2.7147666666666664E-2"/>
    <n v="0"/>
    <n v="0"/>
    <n v="0"/>
    <n v="0"/>
    <n v="0"/>
    <n v="0"/>
    <x v="1"/>
    <x v="0"/>
  </r>
  <r>
    <x v="46"/>
    <s v="CC-10003"/>
    <x v="45"/>
    <s v="10:19"/>
    <x v="7"/>
    <x v="5"/>
    <x v="3"/>
    <x v="46"/>
    <x v="3"/>
    <x v="0"/>
    <m/>
    <s v="Lerato Dlamini"/>
    <n v="30000"/>
    <x v="2"/>
    <x v="1"/>
    <n v="5.3731666666666671E-2"/>
    <n v="1"/>
    <n v="0"/>
    <n v="0"/>
    <n v="0"/>
    <n v="0"/>
    <n v="1"/>
    <x v="3"/>
    <x v="2"/>
  </r>
  <r>
    <x v="47"/>
    <s v="CC-10003"/>
    <x v="46"/>
    <s v="13:17"/>
    <x v="2"/>
    <x v="2"/>
    <x v="7"/>
    <x v="47"/>
    <x v="1"/>
    <x v="1"/>
    <m/>
    <s v="Lerato Dlamini"/>
    <n v="30000"/>
    <x v="2"/>
    <x v="1"/>
    <n v="3.3714666666666671E-2"/>
    <n v="1"/>
    <n v="0"/>
    <n v="0"/>
    <n v="0"/>
    <n v="0"/>
    <n v="1"/>
    <x v="3"/>
    <x v="2"/>
  </r>
  <r>
    <x v="48"/>
    <s v="CC-10003"/>
    <x v="47"/>
    <s v="Unknown"/>
    <x v="19"/>
    <x v="6"/>
    <x v="1"/>
    <x v="48"/>
    <x v="0"/>
    <x v="1"/>
    <m/>
    <s v="Lerato Dlamini"/>
    <n v="30000"/>
    <x v="2"/>
    <x v="1"/>
    <n v="2.9219000000000002E-2"/>
    <n v="1"/>
    <n v="1"/>
    <n v="0"/>
    <n v="0"/>
    <n v="0"/>
    <n v="0"/>
    <x v="3"/>
    <x v="2"/>
  </r>
  <r>
    <x v="49"/>
    <s v="CC-10003"/>
    <x v="48"/>
    <s v="09:10"/>
    <x v="0"/>
    <x v="0"/>
    <x v="7"/>
    <x v="49"/>
    <x v="0"/>
    <x v="0"/>
    <m/>
    <s v="Lerato Dlamini"/>
    <n v="30000"/>
    <x v="2"/>
    <x v="1"/>
    <n v="0.11190033333333334"/>
    <n v="0"/>
    <n v="0"/>
    <n v="0"/>
    <n v="0"/>
    <n v="0"/>
    <n v="0"/>
    <x v="1"/>
    <x v="0"/>
  </r>
  <r>
    <x v="50"/>
    <s v="CC-10003"/>
    <x v="49"/>
    <s v="22:03"/>
    <x v="27"/>
    <x v="2"/>
    <x v="7"/>
    <x v="50"/>
    <x v="2"/>
    <x v="0"/>
    <m/>
    <s v="Lerato Dlamini"/>
    <n v="30000"/>
    <x v="2"/>
    <x v="1"/>
    <n v="1.9624000000000003E-2"/>
    <n v="1"/>
    <n v="0"/>
    <n v="0"/>
    <n v="0"/>
    <n v="0"/>
    <n v="0"/>
    <x v="0"/>
    <x v="0"/>
  </r>
  <r>
    <x v="51"/>
    <s v="CC-10003"/>
    <x v="50"/>
    <s v="12:38"/>
    <x v="31"/>
    <x v="11"/>
    <x v="1"/>
    <x v="51"/>
    <x v="2"/>
    <x v="1"/>
    <m/>
    <s v="Lerato Dlamini"/>
    <n v="30000"/>
    <x v="2"/>
    <x v="1"/>
    <n v="3.3828999999999998E-2"/>
    <n v="1"/>
    <n v="0"/>
    <n v="0"/>
    <n v="0"/>
    <n v="0"/>
    <n v="0"/>
    <x v="0"/>
    <x v="0"/>
  </r>
  <r>
    <x v="52"/>
    <s v="CC-10003"/>
    <x v="51"/>
    <s v="14:54"/>
    <x v="32"/>
    <x v="1"/>
    <x v="1"/>
    <x v="52"/>
    <x v="0"/>
    <x v="1"/>
    <m/>
    <s v="Lerato Dlamini"/>
    <n v="30000"/>
    <x v="2"/>
    <x v="1"/>
    <n v="6.2370666666666665E-2"/>
    <n v="0"/>
    <n v="0"/>
    <n v="0"/>
    <n v="0"/>
    <n v="0"/>
    <n v="0"/>
    <x v="1"/>
    <x v="0"/>
  </r>
  <r>
    <x v="53"/>
    <s v="CC-10004"/>
    <x v="52"/>
    <s v="20:32"/>
    <x v="23"/>
    <x v="10"/>
    <x v="4"/>
    <x v="53"/>
    <x v="3"/>
    <x v="1"/>
    <m/>
    <s v="Rachel Sithole"/>
    <n v="20000"/>
    <x v="3"/>
    <x v="0"/>
    <n v="0.12500250000000002"/>
    <n v="0"/>
    <n v="0"/>
    <n v="0"/>
    <n v="0"/>
    <n v="1"/>
    <n v="1"/>
    <x v="3"/>
    <x v="2"/>
  </r>
  <r>
    <x v="54"/>
    <s v="CC-10004"/>
    <x v="53"/>
    <s v="15:48"/>
    <x v="33"/>
    <x v="1"/>
    <x v="4"/>
    <x v="54"/>
    <x v="3"/>
    <x v="0"/>
    <m/>
    <s v="Rachel Sithole"/>
    <n v="20000"/>
    <x v="3"/>
    <x v="0"/>
    <n v="6.3040499999999999E-2"/>
    <n v="0"/>
    <n v="0"/>
    <n v="0"/>
    <n v="0"/>
    <n v="0"/>
    <n v="1"/>
    <x v="0"/>
    <x v="0"/>
  </r>
  <r>
    <x v="55"/>
    <s v="CC-10004"/>
    <x v="54"/>
    <s v="20:29"/>
    <x v="0"/>
    <x v="0"/>
    <x v="4"/>
    <x v="55"/>
    <x v="3"/>
    <x v="0"/>
    <s v="chargeback initiated"/>
    <s v="Rachel Sithole"/>
    <n v="20000"/>
    <x v="3"/>
    <x v="0"/>
    <n v="3.7609500000000004E-2"/>
    <n v="0"/>
    <n v="0"/>
    <n v="0"/>
    <n v="0"/>
    <n v="1"/>
    <n v="1"/>
    <x v="3"/>
    <x v="2"/>
  </r>
  <r>
    <x v="56"/>
    <s v="CC-10004"/>
    <x v="32"/>
    <s v="09:25"/>
    <x v="12"/>
    <x v="3"/>
    <x v="4"/>
    <x v="56"/>
    <x v="3"/>
    <x v="0"/>
    <m/>
    <s v="Rachel Sithole"/>
    <n v="20000"/>
    <x v="3"/>
    <x v="0"/>
    <n v="3.1692000000000005E-2"/>
    <n v="0"/>
    <n v="0"/>
    <n v="0"/>
    <n v="0"/>
    <n v="0"/>
    <n v="1"/>
    <x v="0"/>
    <x v="0"/>
  </r>
  <r>
    <x v="57"/>
    <s v="CC-10004"/>
    <x v="55"/>
    <s v="18:19"/>
    <x v="0"/>
    <x v="0"/>
    <x v="4"/>
    <x v="57"/>
    <x v="0"/>
    <x v="0"/>
    <m/>
    <s v="Rachel Sithole"/>
    <n v="20000"/>
    <x v="3"/>
    <x v="0"/>
    <n v="0.135824"/>
    <n v="0"/>
    <n v="0"/>
    <n v="0"/>
    <n v="0"/>
    <n v="0"/>
    <n v="0"/>
    <x v="1"/>
    <x v="0"/>
  </r>
  <r>
    <x v="58"/>
    <s v="CC-10004"/>
    <x v="56"/>
    <s v="08:13"/>
    <x v="15"/>
    <x v="10"/>
    <x v="4"/>
    <x v="58"/>
    <x v="2"/>
    <x v="0"/>
    <m/>
    <s v="Rachel Sithole"/>
    <n v="20000"/>
    <x v="3"/>
    <x v="0"/>
    <n v="0.44516450000000002"/>
    <n v="0"/>
    <n v="0"/>
    <n v="0"/>
    <n v="0"/>
    <n v="0"/>
    <n v="0"/>
    <x v="1"/>
    <x v="0"/>
  </r>
  <r>
    <x v="59"/>
    <s v="CC-10004"/>
    <x v="57"/>
    <s v="22:13"/>
    <x v="12"/>
    <x v="3"/>
    <x v="8"/>
    <x v="59"/>
    <x v="1"/>
    <x v="1"/>
    <m/>
    <s v="Rachel Sithole"/>
    <n v="20000"/>
    <x v="3"/>
    <x v="0"/>
    <n v="1.4340500000000001E-2"/>
    <n v="0"/>
    <n v="0"/>
    <n v="0"/>
    <n v="1"/>
    <n v="0"/>
    <n v="1"/>
    <x v="3"/>
    <x v="2"/>
  </r>
  <r>
    <x v="60"/>
    <s v="CC-10004"/>
    <x v="58"/>
    <s v="10:23"/>
    <x v="20"/>
    <x v="6"/>
    <x v="4"/>
    <x v="60"/>
    <x v="0"/>
    <x v="0"/>
    <m/>
    <s v="Rachel Sithole"/>
    <n v="20000"/>
    <x v="3"/>
    <x v="0"/>
    <n v="6.7185000000000009E-2"/>
    <n v="1"/>
    <n v="0"/>
    <n v="0"/>
    <n v="0"/>
    <n v="0"/>
    <n v="0"/>
    <x v="0"/>
    <x v="0"/>
  </r>
  <r>
    <x v="61"/>
    <s v="CC-10005"/>
    <x v="59"/>
    <s v="08:19"/>
    <x v="15"/>
    <x v="10"/>
    <x v="1"/>
    <x v="61"/>
    <x v="3"/>
    <x v="0"/>
    <m/>
    <s v="Sanele Fourie"/>
    <n v="20000"/>
    <x v="2"/>
    <x v="0"/>
    <n v="0.1570105"/>
    <n v="0"/>
    <n v="0"/>
    <n v="0"/>
    <n v="0"/>
    <n v="0"/>
    <n v="1"/>
    <x v="0"/>
    <x v="0"/>
  </r>
  <r>
    <x v="62"/>
    <s v="CC-10005"/>
    <x v="32"/>
    <s v="15:20"/>
    <x v="17"/>
    <x v="5"/>
    <x v="1"/>
    <x v="62"/>
    <x v="2"/>
    <x v="0"/>
    <m/>
    <s v="Sanele Fourie"/>
    <n v="20000"/>
    <x v="2"/>
    <x v="0"/>
    <n v="9.3046500000000004E-2"/>
    <n v="0"/>
    <n v="0"/>
    <n v="0"/>
    <n v="0"/>
    <n v="0"/>
    <n v="0"/>
    <x v="1"/>
    <x v="0"/>
  </r>
  <r>
    <x v="63"/>
    <s v="CC-10005"/>
    <x v="60"/>
    <s v="18:39"/>
    <x v="6"/>
    <x v="2"/>
    <x v="1"/>
    <x v="63"/>
    <x v="1"/>
    <x v="0"/>
    <m/>
    <s v="Sanele Fourie"/>
    <n v="20000"/>
    <x v="2"/>
    <x v="0"/>
    <n v="4.0467000000000003E-2"/>
    <n v="0"/>
    <n v="0"/>
    <n v="0"/>
    <n v="0"/>
    <n v="0"/>
    <n v="1"/>
    <x v="0"/>
    <x v="0"/>
  </r>
  <r>
    <x v="64"/>
    <s v="CC-10005"/>
    <x v="61"/>
    <s v="15:05"/>
    <x v="18"/>
    <x v="11"/>
    <x v="1"/>
    <x v="64"/>
    <x v="1"/>
    <x v="0"/>
    <m/>
    <s v="Sanele Fourie"/>
    <n v="20000"/>
    <x v="2"/>
    <x v="0"/>
    <n v="9.2110499999999998E-2"/>
    <n v="0"/>
    <n v="0"/>
    <n v="0"/>
    <n v="0"/>
    <n v="0"/>
    <n v="1"/>
    <x v="0"/>
    <x v="0"/>
  </r>
  <r>
    <x v="65"/>
    <s v="CC-10005"/>
    <x v="62"/>
    <s v="12:22"/>
    <x v="34"/>
    <x v="7"/>
    <x v="7"/>
    <x v="65"/>
    <x v="3"/>
    <x v="0"/>
    <m/>
    <s v="Sanele Fourie"/>
    <n v="20000"/>
    <x v="2"/>
    <x v="0"/>
    <n v="0.54820749999999996"/>
    <n v="0"/>
    <n v="0"/>
    <n v="0"/>
    <n v="0"/>
    <n v="0"/>
    <n v="1"/>
    <x v="0"/>
    <x v="0"/>
  </r>
  <r>
    <x v="66"/>
    <s v="CC-10005"/>
    <x v="63"/>
    <s v="10:23"/>
    <x v="5"/>
    <x v="4"/>
    <x v="1"/>
    <x v="66"/>
    <x v="1"/>
    <x v="0"/>
    <s v="chargeback initiated"/>
    <s v="Sanele Fourie"/>
    <n v="20000"/>
    <x v="2"/>
    <x v="0"/>
    <n v="1.3869999999999999E-2"/>
    <n v="1"/>
    <n v="0"/>
    <n v="0"/>
    <n v="1"/>
    <n v="0"/>
    <n v="1"/>
    <x v="2"/>
    <x v="1"/>
  </r>
  <r>
    <x v="67"/>
    <s v="CC-10005"/>
    <x v="64"/>
    <s v="16:16"/>
    <x v="31"/>
    <x v="11"/>
    <x v="1"/>
    <x v="67"/>
    <x v="1"/>
    <x v="0"/>
    <m/>
    <s v="Sanele Fourie"/>
    <n v="20000"/>
    <x v="2"/>
    <x v="0"/>
    <n v="0.11247950000000001"/>
    <n v="0"/>
    <n v="0"/>
    <n v="0"/>
    <n v="0"/>
    <n v="0"/>
    <n v="1"/>
    <x v="0"/>
    <x v="0"/>
  </r>
  <r>
    <x v="68"/>
    <s v="CC-10005"/>
    <x v="39"/>
    <s v="20:04"/>
    <x v="14"/>
    <x v="0"/>
    <x v="5"/>
    <x v="68"/>
    <x v="3"/>
    <x v="1"/>
    <m/>
    <s v="Sanele Fourie"/>
    <n v="20000"/>
    <x v="2"/>
    <x v="0"/>
    <n v="1.8199E-2"/>
    <n v="0"/>
    <n v="0"/>
    <n v="0"/>
    <n v="0"/>
    <n v="0"/>
    <n v="1"/>
    <x v="0"/>
    <x v="0"/>
  </r>
  <r>
    <x v="69"/>
    <s v="CC-10005"/>
    <x v="65"/>
    <s v="13:17"/>
    <x v="2"/>
    <x v="2"/>
    <x v="1"/>
    <x v="69"/>
    <x v="2"/>
    <x v="0"/>
    <m/>
    <s v="Sanele Fourie"/>
    <n v="20000"/>
    <x v="2"/>
    <x v="0"/>
    <n v="5.6691499999999999E-2"/>
    <n v="1"/>
    <n v="0"/>
    <n v="0"/>
    <n v="0"/>
    <n v="0"/>
    <n v="0"/>
    <x v="0"/>
    <x v="0"/>
  </r>
  <r>
    <x v="70"/>
    <s v="CC-10005"/>
    <x v="66"/>
    <s v="17:16"/>
    <x v="35"/>
    <x v="0"/>
    <x v="1"/>
    <x v="70"/>
    <x v="3"/>
    <x v="0"/>
    <m/>
    <s v="Sanele Fourie"/>
    <n v="20000"/>
    <x v="2"/>
    <x v="0"/>
    <n v="0.15950799999999998"/>
    <n v="0"/>
    <n v="0"/>
    <n v="0"/>
    <n v="0"/>
    <n v="0"/>
    <n v="1"/>
    <x v="0"/>
    <x v="0"/>
  </r>
  <r>
    <x v="71"/>
    <s v="CC-10005"/>
    <x v="60"/>
    <s v="20:18"/>
    <x v="14"/>
    <x v="0"/>
    <x v="1"/>
    <x v="71"/>
    <x v="3"/>
    <x v="1"/>
    <m/>
    <s v="Sanele Fourie"/>
    <n v="20000"/>
    <x v="2"/>
    <x v="0"/>
    <n v="8.7877499999999997E-2"/>
    <n v="0"/>
    <n v="0"/>
    <n v="0"/>
    <n v="0"/>
    <n v="0"/>
    <n v="1"/>
    <x v="0"/>
    <x v="0"/>
  </r>
  <r>
    <x v="72"/>
    <s v="CC-10005"/>
    <x v="67"/>
    <s v="21:32"/>
    <x v="36"/>
    <x v="11"/>
    <x v="1"/>
    <x v="72"/>
    <x v="0"/>
    <x v="0"/>
    <m/>
    <s v="Sanele Fourie"/>
    <n v="20000"/>
    <x v="2"/>
    <x v="0"/>
    <n v="0.15384700000000001"/>
    <n v="0"/>
    <n v="0"/>
    <n v="0"/>
    <n v="0"/>
    <n v="0"/>
    <n v="0"/>
    <x v="1"/>
    <x v="0"/>
  </r>
  <r>
    <x v="73"/>
    <s v="CC-10005"/>
    <x v="68"/>
    <s v="15:23"/>
    <x v="7"/>
    <x v="5"/>
    <x v="1"/>
    <x v="73"/>
    <x v="3"/>
    <x v="1"/>
    <m/>
    <s v="Sanele Fourie"/>
    <n v="20000"/>
    <x v="2"/>
    <x v="0"/>
    <n v="9.3878000000000003E-2"/>
    <n v="0"/>
    <n v="0"/>
    <n v="0"/>
    <n v="0"/>
    <n v="0"/>
    <n v="1"/>
    <x v="0"/>
    <x v="0"/>
  </r>
  <r>
    <x v="74"/>
    <s v="CC-10005"/>
    <x v="69"/>
    <s v="12:08"/>
    <x v="27"/>
    <x v="2"/>
    <x v="1"/>
    <x v="74"/>
    <x v="0"/>
    <x v="0"/>
    <m/>
    <s v="Sanele Fourie"/>
    <n v="20000"/>
    <x v="2"/>
    <x v="0"/>
    <n v="4.4339999999999997E-2"/>
    <n v="0"/>
    <n v="0"/>
    <n v="0"/>
    <n v="0"/>
    <n v="0"/>
    <n v="0"/>
    <x v="1"/>
    <x v="0"/>
  </r>
  <r>
    <x v="75"/>
    <s v="CC-10006"/>
    <x v="70"/>
    <s v="11:03"/>
    <x v="6"/>
    <x v="2"/>
    <x v="7"/>
    <x v="75"/>
    <x v="0"/>
    <x v="0"/>
    <m/>
    <s v="Rachel Pretorius"/>
    <n v="80000"/>
    <x v="3"/>
    <x v="1"/>
    <n v="7.7602500000000007E-3"/>
    <n v="0"/>
    <n v="0"/>
    <n v="0"/>
    <n v="0"/>
    <n v="0"/>
    <n v="0"/>
    <x v="1"/>
    <x v="0"/>
  </r>
  <r>
    <x v="76"/>
    <s v="CC-10006"/>
    <x v="71"/>
    <s v="09:19"/>
    <x v="37"/>
    <x v="10"/>
    <x v="4"/>
    <x v="76"/>
    <x v="2"/>
    <x v="0"/>
    <m/>
    <s v="Rachel Pretorius"/>
    <n v="80000"/>
    <x v="3"/>
    <x v="1"/>
    <n v="0.16415975000000002"/>
    <n v="1"/>
    <n v="0"/>
    <n v="0"/>
    <n v="0"/>
    <n v="0"/>
    <n v="0"/>
    <x v="0"/>
    <x v="0"/>
  </r>
  <r>
    <x v="77"/>
    <s v="CC-10006"/>
    <x v="72"/>
    <s v="12:53"/>
    <x v="20"/>
    <x v="6"/>
    <x v="5"/>
    <x v="77"/>
    <x v="0"/>
    <x v="0"/>
    <m/>
    <s v="Rachel Pretorius"/>
    <n v="80000"/>
    <x v="3"/>
    <x v="1"/>
    <n v="5.0071250000000003E-3"/>
    <n v="0"/>
    <n v="0"/>
    <n v="0"/>
    <n v="0"/>
    <n v="0"/>
    <n v="0"/>
    <x v="1"/>
    <x v="0"/>
  </r>
  <r>
    <x v="78"/>
    <s v="CC-10006"/>
    <x v="73"/>
    <s v="13:23"/>
    <x v="9"/>
    <x v="3"/>
    <x v="4"/>
    <x v="78"/>
    <x v="1"/>
    <x v="0"/>
    <m/>
    <s v="Rachel Pretorius"/>
    <n v="80000"/>
    <x v="3"/>
    <x v="1"/>
    <n v="1.05075E-3"/>
    <n v="1"/>
    <n v="0"/>
    <n v="0"/>
    <n v="0"/>
    <n v="0"/>
    <n v="1"/>
    <x v="3"/>
    <x v="2"/>
  </r>
  <r>
    <x v="79"/>
    <s v="CC-10006"/>
    <x v="74"/>
    <s v="20:30"/>
    <x v="20"/>
    <x v="6"/>
    <x v="4"/>
    <x v="79"/>
    <x v="3"/>
    <x v="1"/>
    <m/>
    <s v="Rachel Pretorius"/>
    <n v="80000"/>
    <x v="3"/>
    <x v="1"/>
    <n v="1.3370750000000001E-2"/>
    <n v="0"/>
    <n v="0"/>
    <n v="0"/>
    <n v="0"/>
    <n v="0"/>
    <n v="1"/>
    <x v="0"/>
    <x v="0"/>
  </r>
  <r>
    <x v="80"/>
    <s v="CC-10006"/>
    <x v="75"/>
    <s v="08:11"/>
    <x v="13"/>
    <x v="9"/>
    <x v="4"/>
    <x v="80"/>
    <x v="0"/>
    <x v="1"/>
    <m/>
    <s v="Rachel Pretorius"/>
    <n v="80000"/>
    <x v="3"/>
    <x v="1"/>
    <n v="3.5046249999999999E-3"/>
    <n v="0"/>
    <n v="0"/>
    <n v="0"/>
    <n v="0"/>
    <n v="0"/>
    <n v="0"/>
    <x v="1"/>
    <x v="0"/>
  </r>
  <r>
    <x v="81"/>
    <s v="CC-10006"/>
    <x v="76"/>
    <s v="07:49"/>
    <x v="30"/>
    <x v="3"/>
    <x v="4"/>
    <x v="81"/>
    <x v="0"/>
    <x v="0"/>
    <m/>
    <s v="Rachel Pretorius"/>
    <n v="80000"/>
    <x v="3"/>
    <x v="1"/>
    <n v="3.8447499999999996E-3"/>
    <n v="0"/>
    <n v="0"/>
    <n v="0"/>
    <n v="0"/>
    <n v="0"/>
    <n v="0"/>
    <x v="1"/>
    <x v="0"/>
  </r>
  <r>
    <x v="82"/>
    <s v="CC-10006"/>
    <x v="77"/>
    <s v="11:14"/>
    <x v="38"/>
    <x v="0"/>
    <x v="8"/>
    <x v="82"/>
    <x v="1"/>
    <x v="0"/>
    <m/>
    <s v="Rachel Pretorius"/>
    <n v="80000"/>
    <x v="3"/>
    <x v="1"/>
    <n v="4.6078250000000001E-2"/>
    <n v="0"/>
    <n v="0"/>
    <n v="0"/>
    <n v="0"/>
    <n v="0"/>
    <n v="1"/>
    <x v="0"/>
    <x v="0"/>
  </r>
  <r>
    <x v="83"/>
    <s v="CC-10006"/>
    <x v="78"/>
    <s v="17:13"/>
    <x v="39"/>
    <x v="5"/>
    <x v="4"/>
    <x v="83"/>
    <x v="3"/>
    <x v="0"/>
    <m/>
    <s v="Rachel Pretorius"/>
    <n v="80000"/>
    <x v="3"/>
    <x v="1"/>
    <n v="1.5872375000000001E-2"/>
    <n v="1"/>
    <n v="0"/>
    <n v="0"/>
    <n v="0"/>
    <n v="0"/>
    <n v="1"/>
    <x v="3"/>
    <x v="2"/>
  </r>
  <r>
    <x v="84"/>
    <s v="CC-10006"/>
    <x v="79"/>
    <s v="07:25"/>
    <x v="12"/>
    <x v="3"/>
    <x v="4"/>
    <x v="84"/>
    <x v="3"/>
    <x v="0"/>
    <m/>
    <s v="Rachel Pretorius"/>
    <n v="80000"/>
    <x v="3"/>
    <x v="1"/>
    <n v="1.14825E-3"/>
    <n v="0"/>
    <n v="0"/>
    <n v="0"/>
    <n v="0"/>
    <n v="0"/>
    <n v="1"/>
    <x v="0"/>
    <x v="0"/>
  </r>
  <r>
    <x v="85"/>
    <s v="CC-10006"/>
    <x v="80"/>
    <s v="14:31"/>
    <x v="37"/>
    <x v="10"/>
    <x v="3"/>
    <x v="85"/>
    <x v="1"/>
    <x v="0"/>
    <m/>
    <s v="Rachel Pretorius"/>
    <n v="80000"/>
    <x v="3"/>
    <x v="1"/>
    <n v="0.15439087500000001"/>
    <n v="0"/>
    <n v="0"/>
    <n v="0"/>
    <n v="0"/>
    <n v="0"/>
    <n v="1"/>
    <x v="0"/>
    <x v="0"/>
  </r>
  <r>
    <x v="86"/>
    <s v="CC-10006"/>
    <x v="81"/>
    <s v="08:13"/>
    <x v="1"/>
    <x v="1"/>
    <x v="2"/>
    <x v="86"/>
    <x v="0"/>
    <x v="0"/>
    <m/>
    <s v="Rachel Pretorius"/>
    <n v="80000"/>
    <x v="3"/>
    <x v="1"/>
    <n v="1.7339750000000001E-2"/>
    <n v="1"/>
    <n v="0"/>
    <n v="0"/>
    <n v="0"/>
    <n v="0"/>
    <n v="0"/>
    <x v="0"/>
    <x v="0"/>
  </r>
  <r>
    <x v="87"/>
    <s v="CC-10006"/>
    <x v="11"/>
    <s v="19:38"/>
    <x v="4"/>
    <x v="3"/>
    <x v="4"/>
    <x v="87"/>
    <x v="2"/>
    <x v="0"/>
    <m/>
    <s v="Rachel Pretorius"/>
    <n v="80000"/>
    <x v="3"/>
    <x v="1"/>
    <n v="4.7634999999999995E-3"/>
    <n v="1"/>
    <n v="0"/>
    <n v="0"/>
    <n v="0"/>
    <n v="1"/>
    <n v="0"/>
    <x v="3"/>
    <x v="2"/>
  </r>
  <r>
    <x v="88"/>
    <s v="CC-10006"/>
    <x v="82"/>
    <s v="21:21"/>
    <x v="21"/>
    <x v="8"/>
    <x v="4"/>
    <x v="88"/>
    <x v="2"/>
    <x v="0"/>
    <m/>
    <s v="Rachel Pretorius"/>
    <n v="80000"/>
    <x v="3"/>
    <x v="1"/>
    <n v="4.6376000000000001E-2"/>
    <n v="0"/>
    <n v="0"/>
    <n v="0"/>
    <n v="0"/>
    <n v="0"/>
    <n v="0"/>
    <x v="1"/>
    <x v="0"/>
  </r>
  <r>
    <x v="89"/>
    <s v="CC-10007"/>
    <x v="83"/>
    <s v="10:51"/>
    <x v="20"/>
    <x v="6"/>
    <x v="4"/>
    <x v="89"/>
    <x v="1"/>
    <x v="0"/>
    <m/>
    <s v="Bongani Pretorius"/>
    <n v="40000"/>
    <x v="2"/>
    <x v="1"/>
    <n v="3.9641500000000003E-2"/>
    <n v="0"/>
    <n v="0"/>
    <n v="0"/>
    <n v="0"/>
    <n v="1"/>
    <n v="1"/>
    <x v="3"/>
    <x v="2"/>
  </r>
  <r>
    <x v="90"/>
    <s v="CC-10007"/>
    <x v="62"/>
    <s v="15:41"/>
    <x v="6"/>
    <x v="2"/>
    <x v="4"/>
    <x v="90"/>
    <x v="0"/>
    <x v="0"/>
    <m/>
    <s v="Bongani Pretorius"/>
    <n v="40000"/>
    <x v="2"/>
    <x v="1"/>
    <n v="2.7227749999999998E-2"/>
    <n v="0"/>
    <n v="0"/>
    <n v="0"/>
    <n v="0"/>
    <n v="0"/>
    <n v="0"/>
    <x v="1"/>
    <x v="0"/>
  </r>
  <r>
    <x v="91"/>
    <s v="CC-10007"/>
    <x v="84"/>
    <s v="Unknown"/>
    <x v="19"/>
    <x v="6"/>
    <x v="7"/>
    <x v="91"/>
    <x v="3"/>
    <x v="1"/>
    <m/>
    <s v="Bongani Pretorius"/>
    <n v="40000"/>
    <x v="2"/>
    <x v="1"/>
    <n v="8.5929999999999999E-3"/>
    <n v="0"/>
    <n v="1"/>
    <n v="0"/>
    <n v="0"/>
    <n v="0"/>
    <n v="1"/>
    <x v="3"/>
    <x v="2"/>
  </r>
  <r>
    <x v="92"/>
    <s v="CC-10007"/>
    <x v="85"/>
    <s v="09:41"/>
    <x v="26"/>
    <x v="2"/>
    <x v="2"/>
    <x v="92"/>
    <x v="2"/>
    <x v="0"/>
    <m/>
    <s v="Bongani Pretorius"/>
    <n v="40000"/>
    <x v="2"/>
    <x v="1"/>
    <n v="2.0099249999999999E-2"/>
    <n v="1"/>
    <n v="0"/>
    <n v="0"/>
    <n v="0"/>
    <n v="0"/>
    <n v="0"/>
    <x v="0"/>
    <x v="0"/>
  </r>
  <r>
    <x v="93"/>
    <s v="CC-10007"/>
    <x v="86"/>
    <s v="13:44"/>
    <x v="2"/>
    <x v="2"/>
    <x v="4"/>
    <x v="93"/>
    <x v="1"/>
    <x v="0"/>
    <m/>
    <s v="Bongani Pretorius"/>
    <n v="40000"/>
    <x v="2"/>
    <x v="1"/>
    <n v="8.4305000000000005E-3"/>
    <n v="1"/>
    <n v="0"/>
    <n v="0"/>
    <n v="0"/>
    <n v="0"/>
    <n v="1"/>
    <x v="3"/>
    <x v="2"/>
  </r>
  <r>
    <x v="94"/>
    <s v="CC-10007"/>
    <x v="87"/>
    <s v="09:44"/>
    <x v="26"/>
    <x v="2"/>
    <x v="5"/>
    <x v="94"/>
    <x v="1"/>
    <x v="0"/>
    <m/>
    <s v="Bongani Pretorius"/>
    <n v="40000"/>
    <x v="2"/>
    <x v="1"/>
    <n v="1.0791E-2"/>
    <n v="0"/>
    <n v="0"/>
    <n v="0"/>
    <n v="0"/>
    <n v="0"/>
    <n v="1"/>
    <x v="0"/>
    <x v="0"/>
  </r>
  <r>
    <x v="95"/>
    <s v="CC-10007"/>
    <x v="88"/>
    <s v="10:22"/>
    <x v="12"/>
    <x v="3"/>
    <x v="4"/>
    <x v="95"/>
    <x v="1"/>
    <x v="0"/>
    <m/>
    <s v="Bongani Pretorius"/>
    <n v="40000"/>
    <x v="2"/>
    <x v="1"/>
    <n v="6.0594999999999998E-3"/>
    <n v="1"/>
    <n v="0"/>
    <n v="0"/>
    <n v="0"/>
    <n v="0"/>
    <n v="1"/>
    <x v="3"/>
    <x v="2"/>
  </r>
  <r>
    <x v="96"/>
    <s v="CC-10007"/>
    <x v="39"/>
    <s v="14:28"/>
    <x v="1"/>
    <x v="1"/>
    <x v="8"/>
    <x v="96"/>
    <x v="1"/>
    <x v="0"/>
    <m/>
    <s v="Bongani Pretorius"/>
    <n v="40000"/>
    <x v="2"/>
    <x v="1"/>
    <n v="4.5900499999999997E-2"/>
    <n v="0"/>
    <n v="0"/>
    <n v="0"/>
    <n v="0"/>
    <n v="0"/>
    <n v="1"/>
    <x v="0"/>
    <x v="0"/>
  </r>
  <r>
    <x v="97"/>
    <s v="CC-10007"/>
    <x v="89"/>
    <s v="15:24"/>
    <x v="23"/>
    <x v="10"/>
    <x v="4"/>
    <x v="97"/>
    <x v="0"/>
    <x v="0"/>
    <m/>
    <s v="Bongani Pretorius"/>
    <n v="40000"/>
    <x v="2"/>
    <x v="1"/>
    <n v="0.25134275"/>
    <n v="1"/>
    <n v="0"/>
    <n v="0"/>
    <n v="0"/>
    <n v="1"/>
    <n v="0"/>
    <x v="3"/>
    <x v="2"/>
  </r>
  <r>
    <x v="98"/>
    <s v="CC-10007"/>
    <x v="90"/>
    <s v="07:42"/>
    <x v="32"/>
    <x v="1"/>
    <x v="4"/>
    <x v="98"/>
    <x v="1"/>
    <x v="0"/>
    <m/>
    <s v="Bongani Pretorius"/>
    <n v="40000"/>
    <x v="2"/>
    <x v="1"/>
    <n v="3.7538999999999996E-2"/>
    <n v="0"/>
    <n v="0"/>
    <n v="0"/>
    <n v="0"/>
    <n v="0"/>
    <n v="1"/>
    <x v="0"/>
    <x v="0"/>
  </r>
  <r>
    <x v="99"/>
    <s v="CC-10008"/>
    <x v="91"/>
    <s v="14:41"/>
    <x v="4"/>
    <x v="3"/>
    <x v="4"/>
    <x v="99"/>
    <x v="3"/>
    <x v="1"/>
    <m/>
    <s v="Fourie Lindiwe"/>
    <n v="80000"/>
    <x v="1"/>
    <x v="1"/>
    <n v="5.6753749999999999E-3"/>
    <n v="0"/>
    <n v="0"/>
    <n v="0"/>
    <n v="0"/>
    <n v="1"/>
    <n v="1"/>
    <x v="3"/>
    <x v="2"/>
  </r>
  <r>
    <x v="100"/>
    <s v="CC-10008"/>
    <x v="92"/>
    <s v="09:00"/>
    <x v="27"/>
    <x v="2"/>
    <x v="8"/>
    <x v="100"/>
    <x v="2"/>
    <x v="0"/>
    <m/>
    <s v="Fourie Lindiwe"/>
    <n v="80000"/>
    <x v="1"/>
    <x v="1"/>
    <n v="1.121275E-2"/>
    <n v="0"/>
    <n v="0"/>
    <n v="0"/>
    <n v="0"/>
    <n v="0"/>
    <n v="0"/>
    <x v="1"/>
    <x v="0"/>
  </r>
  <r>
    <x v="101"/>
    <s v="CC-10008"/>
    <x v="93"/>
    <s v="18:26"/>
    <x v="9"/>
    <x v="3"/>
    <x v="8"/>
    <x v="101"/>
    <x v="0"/>
    <x v="0"/>
    <m/>
    <s v="Fourie Lindiwe"/>
    <n v="80000"/>
    <x v="1"/>
    <x v="1"/>
    <n v="8.1172499999999995E-3"/>
    <n v="1"/>
    <n v="0"/>
    <n v="0"/>
    <n v="0"/>
    <n v="0"/>
    <n v="0"/>
    <x v="0"/>
    <x v="0"/>
  </r>
  <r>
    <x v="102"/>
    <s v="CC-10008"/>
    <x v="94"/>
    <s v="14:15"/>
    <x v="32"/>
    <x v="1"/>
    <x v="4"/>
    <x v="102"/>
    <x v="3"/>
    <x v="1"/>
    <m/>
    <s v="Fourie Lindiwe"/>
    <n v="80000"/>
    <x v="1"/>
    <x v="1"/>
    <n v="2.3110499999999999E-2"/>
    <n v="1"/>
    <n v="0"/>
    <n v="0"/>
    <n v="0"/>
    <n v="0"/>
    <n v="1"/>
    <x v="3"/>
    <x v="2"/>
  </r>
  <r>
    <x v="103"/>
    <s v="CC-10008"/>
    <x v="32"/>
    <s v="11:36"/>
    <x v="12"/>
    <x v="3"/>
    <x v="4"/>
    <x v="103"/>
    <x v="0"/>
    <x v="0"/>
    <m/>
    <s v="Fourie Lindiwe"/>
    <n v="80000"/>
    <x v="1"/>
    <x v="1"/>
    <n v="3.9453750000000001E-3"/>
    <n v="0"/>
    <n v="0"/>
    <n v="0"/>
    <n v="0"/>
    <n v="1"/>
    <n v="0"/>
    <x v="0"/>
    <x v="0"/>
  </r>
  <r>
    <x v="104"/>
    <s v="CC-10008"/>
    <x v="95"/>
    <s v="16:33"/>
    <x v="32"/>
    <x v="1"/>
    <x v="8"/>
    <x v="104"/>
    <x v="0"/>
    <x v="0"/>
    <m/>
    <s v="Fourie Lindiwe"/>
    <n v="80000"/>
    <x v="1"/>
    <x v="1"/>
    <n v="3.4423124999999999E-2"/>
    <n v="0"/>
    <n v="0"/>
    <n v="0"/>
    <n v="0"/>
    <n v="0"/>
    <n v="0"/>
    <x v="1"/>
    <x v="0"/>
  </r>
  <r>
    <x v="105"/>
    <s v="CC-10008"/>
    <x v="96"/>
    <s v="22:13"/>
    <x v="34"/>
    <x v="7"/>
    <x v="4"/>
    <x v="105"/>
    <x v="1"/>
    <x v="0"/>
    <m/>
    <s v="Fourie Lindiwe"/>
    <n v="80000"/>
    <x v="1"/>
    <x v="1"/>
    <n v="6.5222625000000006E-2"/>
    <n v="1"/>
    <n v="0"/>
    <n v="0"/>
    <n v="0"/>
    <n v="1"/>
    <n v="1"/>
    <x v="2"/>
    <x v="1"/>
  </r>
  <r>
    <x v="106"/>
    <s v="CC-10008"/>
    <x v="97"/>
    <s v="20:21"/>
    <x v="4"/>
    <x v="3"/>
    <x v="4"/>
    <x v="106"/>
    <x v="2"/>
    <x v="1"/>
    <m/>
    <s v="Fourie Lindiwe"/>
    <n v="80000"/>
    <x v="1"/>
    <x v="1"/>
    <n v="2.1632500000000002E-3"/>
    <n v="0"/>
    <n v="0"/>
    <n v="0"/>
    <n v="0"/>
    <n v="0"/>
    <n v="0"/>
    <x v="1"/>
    <x v="0"/>
  </r>
  <r>
    <x v="107"/>
    <s v="CC-10008"/>
    <x v="98"/>
    <s v="Unknown"/>
    <x v="30"/>
    <x v="3"/>
    <x v="4"/>
    <x v="107"/>
    <x v="1"/>
    <x v="0"/>
    <m/>
    <s v="Fourie Lindiwe"/>
    <n v="80000"/>
    <x v="1"/>
    <x v="1"/>
    <n v="6.223625E-3"/>
    <n v="0"/>
    <n v="1"/>
    <n v="0"/>
    <n v="0"/>
    <n v="0"/>
    <n v="1"/>
    <x v="3"/>
    <x v="2"/>
  </r>
  <r>
    <x v="108"/>
    <s v="CC-10008"/>
    <x v="99"/>
    <s v="18:53"/>
    <x v="35"/>
    <x v="0"/>
    <x v="4"/>
    <x v="108"/>
    <x v="1"/>
    <x v="0"/>
    <m/>
    <s v="Fourie Lindiwe"/>
    <n v="80000"/>
    <x v="1"/>
    <x v="1"/>
    <n v="8.8373749999999997E-3"/>
    <n v="0"/>
    <n v="0"/>
    <n v="0"/>
    <n v="0"/>
    <n v="0"/>
    <n v="1"/>
    <x v="0"/>
    <x v="0"/>
  </r>
  <r>
    <x v="109"/>
    <s v="CC-10008"/>
    <x v="100"/>
    <s v="Unknown"/>
    <x v="8"/>
    <x v="6"/>
    <x v="4"/>
    <x v="109"/>
    <x v="3"/>
    <x v="0"/>
    <m/>
    <s v="Fourie Lindiwe"/>
    <n v="80000"/>
    <x v="1"/>
    <x v="1"/>
    <n v="1.0056625E-2"/>
    <n v="0"/>
    <n v="1"/>
    <n v="0"/>
    <n v="0"/>
    <n v="0"/>
    <n v="1"/>
    <x v="3"/>
    <x v="2"/>
  </r>
  <r>
    <x v="110"/>
    <s v="CC-10008"/>
    <x v="24"/>
    <s v="16:03"/>
    <x v="11"/>
    <x v="8"/>
    <x v="4"/>
    <x v="110"/>
    <x v="1"/>
    <x v="0"/>
    <m/>
    <s v="Fourie Lindiwe"/>
    <n v="80000"/>
    <x v="1"/>
    <x v="1"/>
    <n v="3.5065499999999999E-2"/>
    <n v="0"/>
    <n v="0"/>
    <n v="0"/>
    <n v="0"/>
    <n v="0"/>
    <n v="1"/>
    <x v="0"/>
    <x v="0"/>
  </r>
  <r>
    <x v="111"/>
    <s v="CC-10008"/>
    <x v="96"/>
    <s v="09:11"/>
    <x v="36"/>
    <x v="11"/>
    <x v="4"/>
    <x v="111"/>
    <x v="2"/>
    <x v="0"/>
    <m/>
    <s v="Fourie Lindiwe"/>
    <n v="80000"/>
    <x v="1"/>
    <x v="1"/>
    <n v="1.8474625000000001E-2"/>
    <n v="0"/>
    <n v="0"/>
    <n v="0"/>
    <n v="0"/>
    <n v="1"/>
    <n v="0"/>
    <x v="0"/>
    <x v="0"/>
  </r>
  <r>
    <x v="112"/>
    <s v="CC-10008"/>
    <x v="101"/>
    <s v="18:42"/>
    <x v="13"/>
    <x v="9"/>
    <x v="4"/>
    <x v="112"/>
    <x v="0"/>
    <x v="0"/>
    <m/>
    <s v="Fourie Lindiwe"/>
    <n v="80000"/>
    <x v="1"/>
    <x v="1"/>
    <n v="3.9193750000000001E-3"/>
    <n v="0"/>
    <n v="0"/>
    <n v="0"/>
    <n v="0"/>
    <n v="0"/>
    <n v="0"/>
    <x v="1"/>
    <x v="0"/>
  </r>
  <r>
    <x v="113"/>
    <s v="CC-10009"/>
    <x v="102"/>
    <s v="15:30"/>
    <x v="23"/>
    <x v="10"/>
    <x v="1"/>
    <x v="113"/>
    <x v="2"/>
    <x v="1"/>
    <m/>
    <s v="Aisha Adams"/>
    <n v="25000"/>
    <x v="1"/>
    <x v="0"/>
    <n v="0.36553599999999997"/>
    <n v="0"/>
    <n v="0"/>
    <n v="0"/>
    <n v="0"/>
    <n v="0"/>
    <n v="0"/>
    <x v="1"/>
    <x v="0"/>
  </r>
  <r>
    <x v="114"/>
    <s v="CC-10009"/>
    <x v="103"/>
    <s v="07:22"/>
    <x v="40"/>
    <x v="11"/>
    <x v="0"/>
    <x v="114"/>
    <x v="2"/>
    <x v="1"/>
    <m/>
    <s v="Aisha Adams"/>
    <n v="25000"/>
    <x v="1"/>
    <x v="0"/>
    <n v="9.8886399999999999E-2"/>
    <n v="1"/>
    <n v="0"/>
    <n v="0"/>
    <n v="0"/>
    <n v="0"/>
    <n v="0"/>
    <x v="0"/>
    <x v="0"/>
  </r>
  <r>
    <x v="115"/>
    <s v="CC-10009"/>
    <x v="104"/>
    <s v="09:44"/>
    <x v="24"/>
    <x v="3"/>
    <x v="0"/>
    <x v="115"/>
    <x v="1"/>
    <x v="0"/>
    <m/>
    <s v="Aisha Adams"/>
    <n v="25000"/>
    <x v="1"/>
    <x v="0"/>
    <n v="1.63096E-2"/>
    <n v="0"/>
    <n v="0"/>
    <n v="0"/>
    <n v="0"/>
    <n v="0"/>
    <n v="1"/>
    <x v="0"/>
    <x v="0"/>
  </r>
  <r>
    <x v="116"/>
    <s v="CC-10009"/>
    <x v="105"/>
    <s v="Unknown"/>
    <x v="5"/>
    <x v="4"/>
    <x v="0"/>
    <x v="116"/>
    <x v="0"/>
    <x v="0"/>
    <m/>
    <s v="Aisha Adams"/>
    <n v="25000"/>
    <x v="1"/>
    <x v="0"/>
    <n v="7.2912000000000003E-3"/>
    <n v="0"/>
    <n v="1"/>
    <n v="0"/>
    <n v="0"/>
    <n v="0"/>
    <n v="0"/>
    <x v="0"/>
    <x v="0"/>
  </r>
  <r>
    <x v="117"/>
    <s v="CC-10009"/>
    <x v="106"/>
    <s v="17:31"/>
    <x v="26"/>
    <x v="2"/>
    <x v="0"/>
    <x v="117"/>
    <x v="3"/>
    <x v="0"/>
    <m/>
    <s v="Aisha Adams"/>
    <n v="25000"/>
    <x v="1"/>
    <x v="0"/>
    <n v="2.0893999999999999E-2"/>
    <n v="0"/>
    <n v="0"/>
    <n v="0"/>
    <n v="0"/>
    <n v="0"/>
    <n v="1"/>
    <x v="0"/>
    <x v="0"/>
  </r>
  <r>
    <x v="118"/>
    <s v="CC-10009"/>
    <x v="107"/>
    <s v="13:37"/>
    <x v="26"/>
    <x v="2"/>
    <x v="0"/>
    <x v="118"/>
    <x v="1"/>
    <x v="1"/>
    <m/>
    <s v="Aisha Adams"/>
    <n v="25000"/>
    <x v="1"/>
    <x v="0"/>
    <n v="1.5922000000000002E-2"/>
    <n v="0"/>
    <n v="0"/>
    <n v="0"/>
    <n v="0"/>
    <n v="0"/>
    <n v="1"/>
    <x v="0"/>
    <x v="0"/>
  </r>
  <r>
    <x v="119"/>
    <s v="CC-10009"/>
    <x v="108"/>
    <s v="16:18"/>
    <x v="2"/>
    <x v="2"/>
    <x v="0"/>
    <x v="119"/>
    <x v="1"/>
    <x v="0"/>
    <m/>
    <s v="Aisha Adams"/>
    <n v="25000"/>
    <x v="1"/>
    <x v="0"/>
    <n v="2.1814400000000001E-2"/>
    <n v="0"/>
    <n v="0"/>
    <n v="0"/>
    <n v="0"/>
    <n v="0"/>
    <n v="1"/>
    <x v="0"/>
    <x v="0"/>
  </r>
  <r>
    <x v="120"/>
    <s v="CC-10009"/>
    <x v="109"/>
    <s v="09:34"/>
    <x v="31"/>
    <x v="11"/>
    <x v="0"/>
    <x v="120"/>
    <x v="1"/>
    <x v="0"/>
    <m/>
    <s v="Aisha Adams"/>
    <n v="25000"/>
    <x v="1"/>
    <x v="0"/>
    <n v="0.10135520000000001"/>
    <n v="0"/>
    <n v="0"/>
    <n v="0"/>
    <n v="0"/>
    <n v="0"/>
    <n v="1"/>
    <x v="0"/>
    <x v="0"/>
  </r>
  <r>
    <x v="121"/>
    <s v="CC-10009"/>
    <x v="110"/>
    <s v="22:28"/>
    <x v="41"/>
    <x v="7"/>
    <x v="0"/>
    <x v="121"/>
    <x v="1"/>
    <x v="0"/>
    <m/>
    <s v="Aisha Adams"/>
    <n v="25000"/>
    <x v="1"/>
    <x v="0"/>
    <n v="0.25852919999999996"/>
    <n v="0"/>
    <n v="0"/>
    <n v="0"/>
    <n v="0"/>
    <n v="0"/>
    <n v="1"/>
    <x v="0"/>
    <x v="0"/>
  </r>
  <r>
    <x v="122"/>
    <s v="CC-10010"/>
    <x v="7"/>
    <s v="10:59"/>
    <x v="4"/>
    <x v="3"/>
    <x v="5"/>
    <x v="122"/>
    <x v="3"/>
    <x v="0"/>
    <m/>
    <s v="Bongani Nkosi"/>
    <n v="40000"/>
    <x v="0"/>
    <x v="1"/>
    <n v="6.4077500000000003E-3"/>
    <n v="0"/>
    <n v="0"/>
    <n v="0"/>
    <n v="0"/>
    <n v="0"/>
    <n v="1"/>
    <x v="0"/>
    <x v="0"/>
  </r>
  <r>
    <x v="123"/>
    <s v="CC-10010"/>
    <x v="111"/>
    <s v="09:27"/>
    <x v="30"/>
    <x v="3"/>
    <x v="6"/>
    <x v="123"/>
    <x v="2"/>
    <x v="0"/>
    <m/>
    <s v="Bongani Nkosi"/>
    <n v="40000"/>
    <x v="0"/>
    <x v="1"/>
    <n v="7.0477500000000002E-3"/>
    <n v="0"/>
    <n v="0"/>
    <n v="0"/>
    <n v="0"/>
    <n v="0"/>
    <n v="0"/>
    <x v="1"/>
    <x v="0"/>
  </r>
  <r>
    <x v="124"/>
    <s v="CC-10010"/>
    <x v="112"/>
    <s v="09:08"/>
    <x v="28"/>
    <x v="4"/>
    <x v="6"/>
    <x v="124"/>
    <x v="3"/>
    <x v="1"/>
    <s v="chargeback initiated"/>
    <s v="Bongani Nkosi"/>
    <n v="40000"/>
    <x v="0"/>
    <x v="1"/>
    <n v="4.9274999999999996E-3"/>
    <n v="1"/>
    <n v="0"/>
    <n v="0"/>
    <n v="0"/>
    <n v="0"/>
    <n v="1"/>
    <x v="3"/>
    <x v="2"/>
  </r>
  <r>
    <x v="125"/>
    <s v="CC-10010"/>
    <x v="113"/>
    <s v="09:49"/>
    <x v="4"/>
    <x v="3"/>
    <x v="5"/>
    <x v="125"/>
    <x v="0"/>
    <x v="0"/>
    <m/>
    <s v="Bongani Nkosi"/>
    <n v="40000"/>
    <x v="0"/>
    <x v="1"/>
    <n v="1.4384000000000001E-2"/>
    <n v="1"/>
    <n v="0"/>
    <n v="0"/>
    <n v="0"/>
    <n v="0"/>
    <n v="0"/>
    <x v="0"/>
    <x v="0"/>
  </r>
  <r>
    <x v="126"/>
    <s v="CC-10010"/>
    <x v="114"/>
    <s v="Unknown"/>
    <x v="42"/>
    <x v="4"/>
    <x v="1"/>
    <x v="126"/>
    <x v="3"/>
    <x v="0"/>
    <m/>
    <s v="Bongani Nkosi"/>
    <n v="40000"/>
    <x v="0"/>
    <x v="1"/>
    <n v="5.6302499999999998E-3"/>
    <n v="0"/>
    <n v="1"/>
    <n v="0"/>
    <n v="0"/>
    <n v="0"/>
    <n v="1"/>
    <x v="3"/>
    <x v="2"/>
  </r>
  <r>
    <x v="127"/>
    <s v="CC-10010"/>
    <x v="115"/>
    <s v="17:33"/>
    <x v="16"/>
    <x v="7"/>
    <x v="5"/>
    <x v="127"/>
    <x v="3"/>
    <x v="0"/>
    <m/>
    <s v="Bongani Nkosi"/>
    <n v="40000"/>
    <x v="0"/>
    <x v="1"/>
    <n v="6.9196500000000008E-2"/>
    <n v="1"/>
    <n v="0"/>
    <n v="0"/>
    <n v="0"/>
    <n v="0"/>
    <n v="1"/>
    <x v="3"/>
    <x v="2"/>
  </r>
  <r>
    <x v="128"/>
    <s v="CC-10010"/>
    <x v="116"/>
    <s v="15:38"/>
    <x v="24"/>
    <x v="3"/>
    <x v="5"/>
    <x v="128"/>
    <x v="3"/>
    <x v="0"/>
    <m/>
    <s v="Bongani Nkosi"/>
    <n v="40000"/>
    <x v="0"/>
    <x v="1"/>
    <n v="4.6294999999999999E-3"/>
    <n v="0"/>
    <n v="0"/>
    <n v="0"/>
    <n v="0"/>
    <n v="0"/>
    <n v="1"/>
    <x v="0"/>
    <x v="0"/>
  </r>
  <r>
    <x v="129"/>
    <s v="CC-10010"/>
    <x v="117"/>
    <s v="14:34"/>
    <x v="8"/>
    <x v="6"/>
    <x v="5"/>
    <x v="129"/>
    <x v="3"/>
    <x v="0"/>
    <m/>
    <s v="Bongani Nkosi"/>
    <n v="40000"/>
    <x v="0"/>
    <x v="1"/>
    <n v="5.6030000000000003E-3"/>
    <n v="0"/>
    <n v="0"/>
    <n v="0"/>
    <n v="0"/>
    <n v="0"/>
    <n v="1"/>
    <x v="0"/>
    <x v="0"/>
  </r>
  <r>
    <x v="130"/>
    <s v="CC-10010"/>
    <x v="118"/>
    <s v="14:21"/>
    <x v="43"/>
    <x v="8"/>
    <x v="5"/>
    <x v="130"/>
    <x v="0"/>
    <x v="0"/>
    <m/>
    <s v="Bongani Nkosi"/>
    <n v="40000"/>
    <x v="0"/>
    <x v="1"/>
    <n v="7.1374500000000007E-2"/>
    <n v="0"/>
    <n v="0"/>
    <n v="0"/>
    <n v="0"/>
    <n v="0"/>
    <n v="0"/>
    <x v="1"/>
    <x v="0"/>
  </r>
  <r>
    <x v="131"/>
    <s v="CC-10011"/>
    <x v="119"/>
    <s v="09:13"/>
    <x v="3"/>
    <x v="2"/>
    <x v="3"/>
    <x v="131"/>
    <x v="3"/>
    <x v="0"/>
    <m/>
    <s v="Thabo Dlamini"/>
    <n v="80000"/>
    <x v="0"/>
    <x v="1"/>
    <n v="5.3087500000000001E-3"/>
    <n v="0"/>
    <n v="0"/>
    <n v="0"/>
    <n v="0"/>
    <n v="1"/>
    <n v="1"/>
    <x v="3"/>
    <x v="2"/>
  </r>
  <r>
    <x v="132"/>
    <s v="CC-10011"/>
    <x v="120"/>
    <s v="21:23"/>
    <x v="35"/>
    <x v="0"/>
    <x v="1"/>
    <x v="132"/>
    <x v="1"/>
    <x v="0"/>
    <m/>
    <s v="Thabo Dlamini"/>
    <n v="80000"/>
    <x v="0"/>
    <x v="1"/>
    <n v="5.5362125000000005E-2"/>
    <n v="1"/>
    <n v="0"/>
    <n v="0"/>
    <n v="0"/>
    <n v="0"/>
    <n v="1"/>
    <x v="3"/>
    <x v="2"/>
  </r>
  <r>
    <x v="133"/>
    <s v="CC-10011"/>
    <x v="121"/>
    <s v="21:48"/>
    <x v="40"/>
    <x v="11"/>
    <x v="4"/>
    <x v="133"/>
    <x v="1"/>
    <x v="1"/>
    <m/>
    <s v="Thabo Dlamini"/>
    <n v="80000"/>
    <x v="0"/>
    <x v="1"/>
    <n v="3.7958750000000002E-3"/>
    <n v="0"/>
    <n v="0"/>
    <n v="0"/>
    <n v="0"/>
    <n v="0"/>
    <n v="1"/>
    <x v="0"/>
    <x v="0"/>
  </r>
  <r>
    <x v="134"/>
    <s v="CC-10011"/>
    <x v="15"/>
    <s v="21:22"/>
    <x v="32"/>
    <x v="1"/>
    <x v="1"/>
    <x v="134"/>
    <x v="2"/>
    <x v="0"/>
    <m/>
    <s v="Thabo Dlamini"/>
    <n v="80000"/>
    <x v="0"/>
    <x v="1"/>
    <n v="7.6584999999999995E-3"/>
    <n v="1"/>
    <n v="0"/>
    <n v="0"/>
    <n v="0"/>
    <n v="0"/>
    <n v="0"/>
    <x v="0"/>
    <x v="0"/>
  </r>
  <r>
    <x v="135"/>
    <s v="CC-10011"/>
    <x v="122"/>
    <s v="12:25"/>
    <x v="39"/>
    <x v="5"/>
    <x v="4"/>
    <x v="135"/>
    <x v="2"/>
    <x v="1"/>
    <s v="chargeback initiated"/>
    <s v="Thabo Dlamini"/>
    <n v="80000"/>
    <x v="0"/>
    <x v="1"/>
    <n v="1.2741875E-2"/>
    <n v="0"/>
    <n v="0"/>
    <n v="0"/>
    <n v="0"/>
    <n v="1"/>
    <n v="0"/>
    <x v="0"/>
    <x v="0"/>
  </r>
  <r>
    <x v="136"/>
    <s v="CC-10011"/>
    <x v="54"/>
    <s v="15:54"/>
    <x v="1"/>
    <x v="1"/>
    <x v="7"/>
    <x v="136"/>
    <x v="1"/>
    <x v="0"/>
    <m/>
    <s v="Thabo Dlamini"/>
    <n v="80000"/>
    <x v="0"/>
    <x v="1"/>
    <n v="2.4336875000000001E-2"/>
    <n v="1"/>
    <n v="0"/>
    <n v="0"/>
    <n v="0"/>
    <n v="0"/>
    <n v="1"/>
    <x v="3"/>
    <x v="2"/>
  </r>
  <r>
    <x v="137"/>
    <s v="CC-10011"/>
    <x v="123"/>
    <s v="21:16"/>
    <x v="14"/>
    <x v="0"/>
    <x v="1"/>
    <x v="137"/>
    <x v="1"/>
    <x v="0"/>
    <m/>
    <s v="Thabo Dlamini"/>
    <n v="80000"/>
    <x v="0"/>
    <x v="1"/>
    <n v="2.7674500000000001E-2"/>
    <n v="1"/>
    <n v="0"/>
    <n v="0"/>
    <n v="0"/>
    <n v="1"/>
    <n v="1"/>
    <x v="2"/>
    <x v="1"/>
  </r>
  <r>
    <x v="138"/>
    <s v="CC-10011"/>
    <x v="30"/>
    <s v="10:40"/>
    <x v="41"/>
    <x v="7"/>
    <x v="1"/>
    <x v="138"/>
    <x v="2"/>
    <x v="0"/>
    <m/>
    <s v="Thabo Dlamini"/>
    <n v="80000"/>
    <x v="0"/>
    <x v="1"/>
    <n v="7.9611374999999998E-2"/>
    <n v="0"/>
    <n v="0"/>
    <n v="0"/>
    <n v="0"/>
    <n v="0"/>
    <n v="0"/>
    <x v="1"/>
    <x v="0"/>
  </r>
  <r>
    <x v="139"/>
    <s v="CC-10011"/>
    <x v="124"/>
    <s v="09:20"/>
    <x v="12"/>
    <x v="3"/>
    <x v="1"/>
    <x v="139"/>
    <x v="1"/>
    <x v="1"/>
    <m/>
    <s v="Thabo Dlamini"/>
    <n v="80000"/>
    <x v="0"/>
    <x v="1"/>
    <n v="7.9121250000000008E-3"/>
    <n v="0"/>
    <n v="0"/>
    <n v="0"/>
    <n v="0"/>
    <n v="0"/>
    <n v="1"/>
    <x v="0"/>
    <x v="0"/>
  </r>
  <r>
    <x v="140"/>
    <s v="CC-10011"/>
    <x v="125"/>
    <s v="08:16"/>
    <x v="27"/>
    <x v="2"/>
    <x v="7"/>
    <x v="140"/>
    <x v="0"/>
    <x v="0"/>
    <m/>
    <s v="Thabo Dlamini"/>
    <n v="80000"/>
    <x v="0"/>
    <x v="1"/>
    <n v="9.9957499999999994E-3"/>
    <n v="0"/>
    <n v="0"/>
    <n v="0"/>
    <n v="0"/>
    <n v="0"/>
    <n v="0"/>
    <x v="1"/>
    <x v="0"/>
  </r>
  <r>
    <x v="141"/>
    <s v="CC-10011"/>
    <x v="126"/>
    <s v="13:41"/>
    <x v="3"/>
    <x v="2"/>
    <x v="1"/>
    <x v="141"/>
    <x v="1"/>
    <x v="0"/>
    <m/>
    <s v="Thabo Dlamini"/>
    <n v="80000"/>
    <x v="0"/>
    <x v="1"/>
    <n v="1.1457625000000001E-2"/>
    <n v="1"/>
    <n v="0"/>
    <n v="0"/>
    <n v="0"/>
    <n v="0"/>
    <n v="1"/>
    <x v="3"/>
    <x v="2"/>
  </r>
  <r>
    <x v="142"/>
    <s v="CC-10011"/>
    <x v="117"/>
    <s v="07:32"/>
    <x v="16"/>
    <x v="7"/>
    <x v="1"/>
    <x v="142"/>
    <x v="0"/>
    <x v="0"/>
    <m/>
    <s v="Thabo Dlamini"/>
    <n v="80000"/>
    <x v="0"/>
    <x v="1"/>
    <n v="0.140550125"/>
    <n v="0"/>
    <n v="0"/>
    <n v="0"/>
    <n v="0"/>
    <n v="0"/>
    <n v="0"/>
    <x v="1"/>
    <x v="0"/>
  </r>
  <r>
    <x v="143"/>
    <s v="CC-10011"/>
    <x v="34"/>
    <s v="15:45"/>
    <x v="44"/>
    <x v="1"/>
    <x v="1"/>
    <x v="143"/>
    <x v="2"/>
    <x v="0"/>
    <m/>
    <s v="Thabo Dlamini"/>
    <n v="80000"/>
    <x v="0"/>
    <x v="1"/>
    <n v="1.7766499999999998E-2"/>
    <n v="0"/>
    <n v="0"/>
    <n v="0"/>
    <n v="0"/>
    <n v="0"/>
    <n v="0"/>
    <x v="1"/>
    <x v="0"/>
  </r>
  <r>
    <x v="144"/>
    <s v="CC-10011"/>
    <x v="127"/>
    <s v="19:45"/>
    <x v="35"/>
    <x v="0"/>
    <x v="5"/>
    <x v="144"/>
    <x v="0"/>
    <x v="0"/>
    <m/>
    <s v="Thabo Dlamini"/>
    <n v="80000"/>
    <x v="0"/>
    <x v="1"/>
    <n v="1.4907624999999999E-2"/>
    <n v="0"/>
    <n v="0"/>
    <n v="0"/>
    <n v="0"/>
    <n v="1"/>
    <n v="0"/>
    <x v="0"/>
    <x v="0"/>
  </r>
  <r>
    <x v="145"/>
    <s v="CC-10012"/>
    <x v="23"/>
    <s v="17:59"/>
    <x v="19"/>
    <x v="6"/>
    <x v="3"/>
    <x v="145"/>
    <x v="2"/>
    <x v="0"/>
    <m/>
    <s v="Precious Khumalo"/>
    <n v="30000"/>
    <x v="0"/>
    <x v="1"/>
    <n v="3.9065333333333334E-2"/>
    <n v="1"/>
    <n v="0"/>
    <n v="0"/>
    <n v="0"/>
    <n v="0"/>
    <n v="0"/>
    <x v="0"/>
    <x v="0"/>
  </r>
  <r>
    <x v="146"/>
    <s v="CC-10012"/>
    <x v="128"/>
    <s v="10:55"/>
    <x v="22"/>
    <x v="5"/>
    <x v="3"/>
    <x v="146"/>
    <x v="1"/>
    <x v="0"/>
    <m/>
    <s v="Precious Khumalo"/>
    <n v="30000"/>
    <x v="0"/>
    <x v="1"/>
    <n v="4.0955000000000005E-2"/>
    <n v="0"/>
    <n v="0"/>
    <n v="0"/>
    <n v="0"/>
    <n v="0"/>
    <n v="1"/>
    <x v="0"/>
    <x v="0"/>
  </r>
  <r>
    <x v="147"/>
    <s v="CC-10012"/>
    <x v="129"/>
    <s v="16:33"/>
    <x v="45"/>
    <x v="9"/>
    <x v="3"/>
    <x v="147"/>
    <x v="0"/>
    <x v="0"/>
    <m/>
    <s v="Precious Khumalo"/>
    <n v="30000"/>
    <x v="0"/>
    <x v="1"/>
    <n v="2.4040333333333334E-2"/>
    <n v="0"/>
    <n v="0"/>
    <n v="0"/>
    <n v="0"/>
    <n v="0"/>
    <n v="0"/>
    <x v="1"/>
    <x v="0"/>
  </r>
  <r>
    <x v="148"/>
    <s v="CC-10012"/>
    <x v="130"/>
    <s v="15:37"/>
    <x v="4"/>
    <x v="3"/>
    <x v="3"/>
    <x v="148"/>
    <x v="0"/>
    <x v="1"/>
    <m/>
    <s v="Precious Khumalo"/>
    <n v="30000"/>
    <x v="0"/>
    <x v="1"/>
    <n v="6.1223333333333329E-3"/>
    <n v="0"/>
    <n v="0"/>
    <n v="0"/>
    <n v="0"/>
    <n v="0"/>
    <n v="0"/>
    <x v="1"/>
    <x v="0"/>
  </r>
  <r>
    <x v="149"/>
    <s v="CC-10012"/>
    <x v="131"/>
    <s v="08:45"/>
    <x v="19"/>
    <x v="6"/>
    <x v="3"/>
    <x v="149"/>
    <x v="3"/>
    <x v="0"/>
    <m/>
    <s v="Precious Khumalo"/>
    <n v="30000"/>
    <x v="0"/>
    <x v="1"/>
    <n v="5.7352999999999994E-2"/>
    <n v="0"/>
    <n v="0"/>
    <n v="0"/>
    <n v="0"/>
    <n v="0"/>
    <n v="1"/>
    <x v="0"/>
    <x v="0"/>
  </r>
  <r>
    <x v="150"/>
    <s v="CC-10012"/>
    <x v="132"/>
    <s v="11:27"/>
    <x v="30"/>
    <x v="3"/>
    <x v="3"/>
    <x v="150"/>
    <x v="2"/>
    <x v="0"/>
    <m/>
    <s v="Precious Khumalo"/>
    <n v="30000"/>
    <x v="0"/>
    <x v="1"/>
    <n v="7.2259999999999998E-3"/>
    <n v="0"/>
    <n v="0"/>
    <n v="0"/>
    <n v="0"/>
    <n v="0"/>
    <n v="0"/>
    <x v="1"/>
    <x v="0"/>
  </r>
  <r>
    <x v="151"/>
    <s v="CC-10012"/>
    <x v="133"/>
    <s v="07:24"/>
    <x v="25"/>
    <x v="6"/>
    <x v="3"/>
    <x v="151"/>
    <x v="3"/>
    <x v="0"/>
    <m/>
    <s v="Precious Khumalo"/>
    <n v="30000"/>
    <x v="0"/>
    <x v="1"/>
    <n v="1.0808666666666666E-2"/>
    <n v="0"/>
    <n v="0"/>
    <n v="0"/>
    <n v="0"/>
    <n v="0"/>
    <n v="1"/>
    <x v="0"/>
    <x v="0"/>
  </r>
  <r>
    <x v="152"/>
    <s v="CC-10012"/>
    <x v="134"/>
    <s v="20:47"/>
    <x v="15"/>
    <x v="10"/>
    <x v="3"/>
    <x v="152"/>
    <x v="2"/>
    <x v="0"/>
    <m/>
    <s v="Precious Khumalo"/>
    <n v="30000"/>
    <x v="0"/>
    <x v="1"/>
    <n v="0.42971566666666666"/>
    <n v="0"/>
    <n v="0"/>
    <n v="0"/>
    <n v="0"/>
    <n v="0"/>
    <n v="0"/>
    <x v="1"/>
    <x v="0"/>
  </r>
  <r>
    <x v="153"/>
    <s v="CC-10012"/>
    <x v="135"/>
    <s v="07:26"/>
    <x v="13"/>
    <x v="9"/>
    <x v="3"/>
    <x v="153"/>
    <x v="2"/>
    <x v="0"/>
    <m/>
    <s v="Precious Khumalo"/>
    <n v="30000"/>
    <x v="0"/>
    <x v="1"/>
    <n v="1.9390000000000001E-2"/>
    <n v="0"/>
    <n v="0"/>
    <n v="0"/>
    <n v="1"/>
    <n v="0"/>
    <n v="0"/>
    <x v="0"/>
    <x v="0"/>
  </r>
  <r>
    <x v="154"/>
    <s v="CC-10012"/>
    <x v="136"/>
    <s v="Unknown"/>
    <x v="26"/>
    <x v="2"/>
    <x v="3"/>
    <x v="154"/>
    <x v="1"/>
    <x v="1"/>
    <m/>
    <s v="Precious Khumalo"/>
    <n v="30000"/>
    <x v="0"/>
    <x v="1"/>
    <n v="2.6174666666666666E-2"/>
    <n v="0"/>
    <n v="1"/>
    <n v="0"/>
    <n v="0"/>
    <n v="0"/>
    <n v="1"/>
    <x v="3"/>
    <x v="2"/>
  </r>
  <r>
    <x v="155"/>
    <s v="CC-10012"/>
    <x v="137"/>
    <s v="19:14"/>
    <x v="45"/>
    <x v="9"/>
    <x v="1"/>
    <x v="155"/>
    <x v="0"/>
    <x v="0"/>
    <m/>
    <s v="Precious Khumalo"/>
    <n v="30000"/>
    <x v="0"/>
    <x v="1"/>
    <n v="3.3603333333333332E-3"/>
    <n v="0"/>
    <n v="0"/>
    <n v="0"/>
    <n v="0"/>
    <n v="0"/>
    <n v="0"/>
    <x v="1"/>
    <x v="0"/>
  </r>
  <r>
    <x v="156"/>
    <s v="CC-10012"/>
    <x v="138"/>
    <s v="18:37"/>
    <x v="24"/>
    <x v="3"/>
    <x v="3"/>
    <x v="156"/>
    <x v="3"/>
    <x v="0"/>
    <m/>
    <s v="Precious Khumalo"/>
    <n v="30000"/>
    <x v="0"/>
    <x v="1"/>
    <n v="1.0411E-2"/>
    <n v="1"/>
    <n v="0"/>
    <n v="0"/>
    <n v="0"/>
    <n v="0"/>
    <n v="1"/>
    <x v="3"/>
    <x v="2"/>
  </r>
  <r>
    <x v="157"/>
    <s v="CC-10013"/>
    <x v="139"/>
    <s v="17:33"/>
    <x v="28"/>
    <x v="4"/>
    <x v="0"/>
    <x v="157"/>
    <x v="2"/>
    <x v="0"/>
    <m/>
    <s v="Mariam Khumalo"/>
    <n v="25000"/>
    <x v="0"/>
    <x v="1"/>
    <n v="1.53852E-2"/>
    <n v="0"/>
    <n v="0"/>
    <n v="0"/>
    <n v="0"/>
    <n v="0"/>
    <n v="0"/>
    <x v="1"/>
    <x v="0"/>
  </r>
  <r>
    <x v="158"/>
    <s v="CC-10013"/>
    <x v="140"/>
    <s v="08:29"/>
    <x v="9"/>
    <x v="3"/>
    <x v="0"/>
    <x v="158"/>
    <x v="1"/>
    <x v="0"/>
    <m/>
    <s v="Mariam Khumalo"/>
    <n v="25000"/>
    <x v="0"/>
    <x v="1"/>
    <n v="2.4939200000000002E-2"/>
    <n v="0"/>
    <n v="0"/>
    <n v="0"/>
    <n v="0"/>
    <n v="0"/>
    <n v="1"/>
    <x v="0"/>
    <x v="0"/>
  </r>
  <r>
    <x v="159"/>
    <s v="CC-10013"/>
    <x v="90"/>
    <s v="13:24"/>
    <x v="39"/>
    <x v="5"/>
    <x v="0"/>
    <x v="159"/>
    <x v="1"/>
    <x v="0"/>
    <m/>
    <s v="Mariam Khumalo"/>
    <n v="25000"/>
    <x v="0"/>
    <x v="1"/>
    <n v="4.8119200000000001E-2"/>
    <n v="0"/>
    <n v="0"/>
    <n v="0"/>
    <n v="0"/>
    <n v="0"/>
    <n v="1"/>
    <x v="0"/>
    <x v="0"/>
  </r>
  <r>
    <x v="160"/>
    <s v="CC-10013"/>
    <x v="141"/>
    <s v="12:01"/>
    <x v="19"/>
    <x v="6"/>
    <x v="0"/>
    <x v="160"/>
    <x v="1"/>
    <x v="0"/>
    <m/>
    <s v="Mariam Khumalo"/>
    <n v="25000"/>
    <x v="0"/>
    <x v="1"/>
    <n v="5.4773599999999999E-2"/>
    <n v="0"/>
    <n v="0"/>
    <n v="0"/>
    <n v="0"/>
    <n v="0"/>
    <n v="1"/>
    <x v="0"/>
    <x v="0"/>
  </r>
  <r>
    <x v="161"/>
    <s v="CC-10013"/>
    <x v="142"/>
    <s v="Unknown"/>
    <x v="1"/>
    <x v="1"/>
    <x v="0"/>
    <x v="161"/>
    <x v="3"/>
    <x v="0"/>
    <m/>
    <s v="Mariam Khumalo"/>
    <n v="25000"/>
    <x v="0"/>
    <x v="1"/>
    <n v="9.8892000000000008E-2"/>
    <n v="0"/>
    <n v="1"/>
    <n v="0"/>
    <n v="0"/>
    <n v="0"/>
    <n v="1"/>
    <x v="3"/>
    <x v="2"/>
  </r>
  <r>
    <x v="162"/>
    <s v="CC-10013"/>
    <x v="143"/>
    <s v="18:14"/>
    <x v="9"/>
    <x v="3"/>
    <x v="0"/>
    <x v="162"/>
    <x v="1"/>
    <x v="0"/>
    <m/>
    <s v="Mariam Khumalo"/>
    <n v="25000"/>
    <x v="0"/>
    <x v="1"/>
    <n v="1.79612E-2"/>
    <n v="0"/>
    <n v="0"/>
    <n v="0"/>
    <n v="0"/>
    <n v="1"/>
    <n v="1"/>
    <x v="3"/>
    <x v="2"/>
  </r>
  <r>
    <x v="163"/>
    <s v="CC-10013"/>
    <x v="144"/>
    <s v="18:38"/>
    <x v="39"/>
    <x v="5"/>
    <x v="0"/>
    <x v="163"/>
    <x v="3"/>
    <x v="0"/>
    <m/>
    <s v="Mariam Khumalo"/>
    <n v="25000"/>
    <x v="0"/>
    <x v="1"/>
    <n v="7.7526800000000007E-2"/>
    <n v="0"/>
    <n v="0"/>
    <n v="0"/>
    <n v="0"/>
    <n v="0"/>
    <n v="1"/>
    <x v="0"/>
    <x v="0"/>
  </r>
  <r>
    <x v="164"/>
    <s v="CC-10013"/>
    <x v="145"/>
    <s v="07:06"/>
    <x v="38"/>
    <x v="0"/>
    <x v="0"/>
    <x v="164"/>
    <x v="2"/>
    <x v="0"/>
    <m/>
    <s v="Mariam Khumalo"/>
    <n v="25000"/>
    <x v="0"/>
    <x v="1"/>
    <n v="0.111218"/>
    <n v="0"/>
    <n v="0"/>
    <n v="0"/>
    <n v="0"/>
    <n v="0"/>
    <n v="0"/>
    <x v="1"/>
    <x v="0"/>
  </r>
  <r>
    <x v="165"/>
    <s v="CC-10013"/>
    <x v="146"/>
    <s v="08:42"/>
    <x v="26"/>
    <x v="2"/>
    <x v="0"/>
    <x v="165"/>
    <x v="0"/>
    <x v="0"/>
    <m/>
    <s v="Mariam Khumalo"/>
    <n v="25000"/>
    <x v="0"/>
    <x v="1"/>
    <n v="1.9957599999999999E-2"/>
    <n v="0"/>
    <n v="0"/>
    <n v="0"/>
    <n v="0"/>
    <n v="0"/>
    <n v="0"/>
    <x v="1"/>
    <x v="0"/>
  </r>
  <r>
    <x v="166"/>
    <s v="CC-10013"/>
    <x v="139"/>
    <s v="07:23"/>
    <x v="0"/>
    <x v="0"/>
    <x v="0"/>
    <x v="166"/>
    <x v="0"/>
    <x v="0"/>
    <m/>
    <s v="Mariam Khumalo"/>
    <n v="25000"/>
    <x v="0"/>
    <x v="1"/>
    <n v="3.5945999999999999E-2"/>
    <n v="0"/>
    <n v="0"/>
    <n v="0"/>
    <n v="0"/>
    <n v="0"/>
    <n v="0"/>
    <x v="1"/>
    <x v="0"/>
  </r>
  <r>
    <x v="167"/>
    <s v="CC-10013"/>
    <x v="147"/>
    <s v="14:26"/>
    <x v="40"/>
    <x v="11"/>
    <x v="0"/>
    <x v="167"/>
    <x v="3"/>
    <x v="0"/>
    <m/>
    <s v="Mariam Khumalo"/>
    <n v="25000"/>
    <x v="0"/>
    <x v="1"/>
    <n v="6.77228E-2"/>
    <n v="0"/>
    <n v="0"/>
    <n v="0"/>
    <n v="0"/>
    <n v="0"/>
    <n v="1"/>
    <x v="0"/>
    <x v="0"/>
  </r>
  <r>
    <x v="168"/>
    <s v="CC-10013"/>
    <x v="148"/>
    <s v="21:18"/>
    <x v="24"/>
    <x v="3"/>
    <x v="0"/>
    <x v="168"/>
    <x v="1"/>
    <x v="0"/>
    <m/>
    <s v="Mariam Khumalo"/>
    <n v="25000"/>
    <x v="0"/>
    <x v="1"/>
    <n v="1.37524E-2"/>
    <n v="0"/>
    <n v="0"/>
    <n v="0"/>
    <n v="0"/>
    <n v="0"/>
    <n v="1"/>
    <x v="0"/>
    <x v="0"/>
  </r>
  <r>
    <x v="169"/>
    <s v="CC-10013"/>
    <x v="149"/>
    <s v="10:15"/>
    <x v="24"/>
    <x v="3"/>
    <x v="0"/>
    <x v="169"/>
    <x v="0"/>
    <x v="0"/>
    <m/>
    <s v="Mariam Khumalo"/>
    <n v="25000"/>
    <x v="0"/>
    <x v="1"/>
    <n v="1.5879600000000001E-2"/>
    <n v="0"/>
    <n v="0"/>
    <n v="0"/>
    <n v="0"/>
    <n v="0"/>
    <n v="0"/>
    <x v="1"/>
    <x v="0"/>
  </r>
  <r>
    <x v="170"/>
    <s v="CC-10013"/>
    <x v="150"/>
    <s v="11:51"/>
    <x v="35"/>
    <x v="0"/>
    <x v="0"/>
    <x v="170"/>
    <x v="0"/>
    <x v="1"/>
    <m/>
    <s v="Mariam Khumalo"/>
    <n v="25000"/>
    <x v="0"/>
    <x v="1"/>
    <n v="0.10974360000000001"/>
    <n v="0"/>
    <n v="0"/>
    <n v="0"/>
    <n v="0"/>
    <n v="0"/>
    <n v="0"/>
    <x v="1"/>
    <x v="0"/>
  </r>
  <r>
    <x v="171"/>
    <s v="CC-10013"/>
    <x v="151"/>
    <s v="21:41"/>
    <x v="24"/>
    <x v="3"/>
    <x v="2"/>
    <x v="171"/>
    <x v="3"/>
    <x v="0"/>
    <m/>
    <s v="Mariam Khumalo"/>
    <n v="25000"/>
    <x v="0"/>
    <x v="1"/>
    <n v="3.6068000000000003E-3"/>
    <n v="0"/>
    <n v="0"/>
    <n v="0"/>
    <n v="0"/>
    <n v="0"/>
    <n v="1"/>
    <x v="0"/>
    <x v="0"/>
  </r>
  <r>
    <x v="172"/>
    <s v="CC-10013"/>
    <x v="152"/>
    <s v="Unknown"/>
    <x v="2"/>
    <x v="2"/>
    <x v="0"/>
    <x v="172"/>
    <x v="3"/>
    <x v="0"/>
    <m/>
    <s v="Mariam Khumalo"/>
    <n v="25000"/>
    <x v="0"/>
    <x v="1"/>
    <n v="2.0056400000000002E-2"/>
    <n v="1"/>
    <n v="1"/>
    <n v="0"/>
    <n v="0"/>
    <n v="0"/>
    <n v="1"/>
    <x v="2"/>
    <x v="1"/>
  </r>
  <r>
    <x v="173"/>
    <s v="CC-10014"/>
    <x v="153"/>
    <s v="12:56"/>
    <x v="24"/>
    <x v="3"/>
    <x v="1"/>
    <x v="173"/>
    <x v="0"/>
    <x v="1"/>
    <m/>
    <s v="Adams Aisha"/>
    <n v="30000"/>
    <x v="4"/>
    <x v="1"/>
    <n v="8.7386666666666672E-3"/>
    <n v="0"/>
    <n v="0"/>
    <n v="0"/>
    <n v="0"/>
    <n v="0"/>
    <n v="0"/>
    <x v="1"/>
    <x v="0"/>
  </r>
  <r>
    <x v="174"/>
    <s v="CC-10014"/>
    <x v="154"/>
    <s v="15:24"/>
    <x v="39"/>
    <x v="5"/>
    <x v="1"/>
    <x v="174"/>
    <x v="1"/>
    <x v="0"/>
    <m/>
    <s v="Adams Aisha"/>
    <n v="30000"/>
    <x v="4"/>
    <x v="1"/>
    <n v="2.1395333333333332E-2"/>
    <n v="0"/>
    <n v="0"/>
    <n v="0"/>
    <n v="0"/>
    <n v="0"/>
    <n v="1"/>
    <x v="0"/>
    <x v="0"/>
  </r>
  <r>
    <x v="175"/>
    <s v="CC-10014"/>
    <x v="155"/>
    <s v="Unknown"/>
    <x v="13"/>
    <x v="9"/>
    <x v="2"/>
    <x v="175"/>
    <x v="2"/>
    <x v="0"/>
    <m/>
    <s v="Adams Aisha"/>
    <n v="30000"/>
    <x v="4"/>
    <x v="1"/>
    <n v="1.9455999999999998E-2"/>
    <n v="0"/>
    <n v="1"/>
    <n v="0"/>
    <n v="0"/>
    <n v="0"/>
    <n v="0"/>
    <x v="0"/>
    <x v="0"/>
  </r>
  <r>
    <x v="176"/>
    <s v="CC-10014"/>
    <x v="88"/>
    <s v="15:03"/>
    <x v="20"/>
    <x v="6"/>
    <x v="3"/>
    <x v="176"/>
    <x v="3"/>
    <x v="1"/>
    <m/>
    <s v="Adams Aisha"/>
    <n v="30000"/>
    <x v="4"/>
    <x v="1"/>
    <n v="2.3151333333333333E-2"/>
    <n v="1"/>
    <n v="0"/>
    <n v="0"/>
    <n v="0"/>
    <n v="0"/>
    <n v="1"/>
    <x v="3"/>
    <x v="2"/>
  </r>
  <r>
    <x v="177"/>
    <s v="CC-10014"/>
    <x v="156"/>
    <s v="13:31"/>
    <x v="22"/>
    <x v="5"/>
    <x v="1"/>
    <x v="177"/>
    <x v="2"/>
    <x v="0"/>
    <m/>
    <s v="Adams Aisha"/>
    <n v="30000"/>
    <x v="4"/>
    <x v="1"/>
    <n v="1.3885E-2"/>
    <n v="1"/>
    <n v="0"/>
    <n v="0"/>
    <n v="0"/>
    <n v="0"/>
    <n v="0"/>
    <x v="0"/>
    <x v="0"/>
  </r>
  <r>
    <x v="178"/>
    <s v="CC-10014"/>
    <x v="157"/>
    <s v="08:22"/>
    <x v="31"/>
    <x v="11"/>
    <x v="1"/>
    <x v="178"/>
    <x v="3"/>
    <x v="0"/>
    <m/>
    <s v="Adams Aisha"/>
    <n v="30000"/>
    <x v="4"/>
    <x v="1"/>
    <n v="0.10542600000000001"/>
    <n v="0"/>
    <n v="0"/>
    <n v="0"/>
    <n v="0"/>
    <n v="0"/>
    <n v="1"/>
    <x v="0"/>
    <x v="0"/>
  </r>
  <r>
    <x v="179"/>
    <s v="CC-10014"/>
    <x v="158"/>
    <s v="10:14"/>
    <x v="0"/>
    <x v="0"/>
    <x v="1"/>
    <x v="179"/>
    <x v="3"/>
    <x v="0"/>
    <m/>
    <s v="Adams Aisha"/>
    <n v="30000"/>
    <x v="4"/>
    <x v="1"/>
    <n v="3.5412666666666669E-2"/>
    <n v="0"/>
    <n v="0"/>
    <n v="0"/>
    <n v="0"/>
    <n v="0"/>
    <n v="1"/>
    <x v="0"/>
    <x v="0"/>
  </r>
  <r>
    <x v="180"/>
    <s v="CC-10014"/>
    <x v="1"/>
    <s v="10:24"/>
    <x v="20"/>
    <x v="6"/>
    <x v="1"/>
    <x v="180"/>
    <x v="1"/>
    <x v="0"/>
    <m/>
    <s v="Adams Aisha"/>
    <n v="30000"/>
    <x v="4"/>
    <x v="1"/>
    <n v="1.5635666666666666E-2"/>
    <n v="0"/>
    <n v="0"/>
    <n v="0"/>
    <n v="0"/>
    <n v="0"/>
    <n v="1"/>
    <x v="0"/>
    <x v="0"/>
  </r>
  <r>
    <x v="181"/>
    <s v="CC-10014"/>
    <x v="159"/>
    <s v="11:10"/>
    <x v="38"/>
    <x v="0"/>
    <x v="4"/>
    <x v="181"/>
    <x v="1"/>
    <x v="0"/>
    <m/>
    <s v="Adams Aisha"/>
    <n v="30000"/>
    <x v="4"/>
    <x v="1"/>
    <n v="4.4478999999999998E-2"/>
    <n v="0"/>
    <n v="0"/>
    <n v="0"/>
    <n v="0"/>
    <n v="0"/>
    <n v="1"/>
    <x v="0"/>
    <x v="0"/>
  </r>
  <r>
    <x v="182"/>
    <s v="CC-10014"/>
    <x v="160"/>
    <s v="19:55"/>
    <x v="45"/>
    <x v="9"/>
    <x v="1"/>
    <x v="182"/>
    <x v="1"/>
    <x v="1"/>
    <m/>
    <s v="Adams Aisha"/>
    <n v="30000"/>
    <x v="4"/>
    <x v="1"/>
    <n v="2.2647E-2"/>
    <n v="1"/>
    <n v="0"/>
    <n v="0"/>
    <n v="0"/>
    <n v="0"/>
    <n v="1"/>
    <x v="3"/>
    <x v="2"/>
  </r>
  <r>
    <x v="183"/>
    <s v="CC-10014"/>
    <x v="161"/>
    <s v="19:31"/>
    <x v="30"/>
    <x v="3"/>
    <x v="1"/>
    <x v="183"/>
    <x v="1"/>
    <x v="0"/>
    <m/>
    <s v="Adams Aisha"/>
    <n v="30000"/>
    <x v="4"/>
    <x v="1"/>
    <n v="1.0918666666666667E-2"/>
    <n v="0"/>
    <n v="0"/>
    <n v="0"/>
    <n v="0"/>
    <n v="0"/>
    <n v="1"/>
    <x v="0"/>
    <x v="0"/>
  </r>
  <r>
    <x v="184"/>
    <s v="CC-10015"/>
    <x v="34"/>
    <s v="Unknown"/>
    <x v="39"/>
    <x v="5"/>
    <x v="2"/>
    <x v="184"/>
    <x v="1"/>
    <x v="0"/>
    <m/>
    <s v="Nomvula Dlamini"/>
    <n v="15000"/>
    <x v="0"/>
    <x v="0"/>
    <n v="3.7154666666666669E-2"/>
    <n v="0"/>
    <n v="1"/>
    <n v="0"/>
    <n v="0"/>
    <n v="0"/>
    <n v="1"/>
    <x v="3"/>
    <x v="2"/>
  </r>
  <r>
    <x v="185"/>
    <s v="CC-10015"/>
    <x v="162"/>
    <s v="07:04"/>
    <x v="15"/>
    <x v="10"/>
    <x v="2"/>
    <x v="185"/>
    <x v="2"/>
    <x v="0"/>
    <m/>
    <s v="Nomvula Dlamini"/>
    <n v="15000"/>
    <x v="0"/>
    <x v="0"/>
    <n v="0.8763886666666667"/>
    <n v="0"/>
    <n v="0"/>
    <n v="0"/>
    <n v="0"/>
    <n v="0"/>
    <n v="0"/>
    <x v="1"/>
    <x v="0"/>
  </r>
  <r>
    <x v="186"/>
    <s v="CC-10015"/>
    <x v="163"/>
    <s v="11:58"/>
    <x v="31"/>
    <x v="11"/>
    <x v="2"/>
    <x v="186"/>
    <x v="0"/>
    <x v="0"/>
    <m/>
    <s v="Nomvula Dlamini"/>
    <n v="15000"/>
    <x v="0"/>
    <x v="0"/>
    <n v="5.1785333333333329E-2"/>
    <n v="0"/>
    <n v="0"/>
    <n v="0"/>
    <n v="1"/>
    <n v="0"/>
    <n v="0"/>
    <x v="0"/>
    <x v="0"/>
  </r>
  <r>
    <x v="187"/>
    <s v="CC-10015"/>
    <x v="164"/>
    <s v="08:23"/>
    <x v="19"/>
    <x v="6"/>
    <x v="2"/>
    <x v="187"/>
    <x v="1"/>
    <x v="1"/>
    <m/>
    <s v="Nomvula Dlamini"/>
    <n v="15000"/>
    <x v="0"/>
    <x v="0"/>
    <n v="0.10069266666666667"/>
    <n v="0"/>
    <n v="0"/>
    <n v="0"/>
    <n v="0"/>
    <n v="0"/>
    <n v="1"/>
    <x v="0"/>
    <x v="0"/>
  </r>
  <r>
    <x v="188"/>
    <s v="CC-10015"/>
    <x v="165"/>
    <s v="14:06"/>
    <x v="29"/>
    <x v="6"/>
    <x v="7"/>
    <x v="188"/>
    <x v="1"/>
    <x v="0"/>
    <m/>
    <s v="Nomvula Dlamini"/>
    <n v="15000"/>
    <x v="0"/>
    <x v="0"/>
    <n v="2.4090666666666666E-2"/>
    <n v="0"/>
    <n v="0"/>
    <n v="0"/>
    <n v="0"/>
    <n v="0"/>
    <n v="1"/>
    <x v="0"/>
    <x v="0"/>
  </r>
  <r>
    <x v="189"/>
    <s v="CC-10015"/>
    <x v="166"/>
    <s v="Unknown"/>
    <x v="8"/>
    <x v="6"/>
    <x v="3"/>
    <x v="189"/>
    <x v="2"/>
    <x v="0"/>
    <m/>
    <s v="Nomvula Dlamini"/>
    <n v="15000"/>
    <x v="0"/>
    <x v="0"/>
    <n v="9.518133333333334E-2"/>
    <n v="1"/>
    <n v="1"/>
    <n v="0"/>
    <n v="0"/>
    <n v="0"/>
    <n v="0"/>
    <x v="3"/>
    <x v="2"/>
  </r>
  <r>
    <x v="190"/>
    <s v="CC-10015"/>
    <x v="167"/>
    <s v="15:03"/>
    <x v="24"/>
    <x v="3"/>
    <x v="2"/>
    <x v="190"/>
    <x v="1"/>
    <x v="0"/>
    <m/>
    <s v="Nomvula Dlamini"/>
    <n v="15000"/>
    <x v="0"/>
    <x v="0"/>
    <n v="9.0146666666666674E-3"/>
    <n v="1"/>
    <n v="0"/>
    <n v="0"/>
    <n v="0"/>
    <n v="0"/>
    <n v="1"/>
    <x v="3"/>
    <x v="2"/>
  </r>
  <r>
    <x v="191"/>
    <s v="CC-10015"/>
    <x v="168"/>
    <s v="22:54"/>
    <x v="35"/>
    <x v="0"/>
    <x v="2"/>
    <x v="191"/>
    <x v="3"/>
    <x v="0"/>
    <m/>
    <s v="Nomvula Dlamini"/>
    <n v="15000"/>
    <x v="0"/>
    <x v="0"/>
    <n v="0.16625333333333334"/>
    <n v="0"/>
    <n v="0"/>
    <n v="0"/>
    <n v="0"/>
    <n v="0"/>
    <n v="1"/>
    <x v="0"/>
    <x v="0"/>
  </r>
  <r>
    <x v="192"/>
    <s v="CC-10016"/>
    <x v="169"/>
    <s v="16:19"/>
    <x v="0"/>
    <x v="0"/>
    <x v="3"/>
    <x v="192"/>
    <x v="2"/>
    <x v="0"/>
    <m/>
    <s v="Lerato Naidoo"/>
    <n v="80000"/>
    <x v="1"/>
    <x v="0"/>
    <n v="5.0111750000000004E-2"/>
    <n v="0"/>
    <n v="0"/>
    <n v="0"/>
    <n v="0"/>
    <n v="0"/>
    <n v="0"/>
    <x v="1"/>
    <x v="0"/>
  </r>
  <r>
    <x v="193"/>
    <s v="CC-10016"/>
    <x v="170"/>
    <s v="11:13"/>
    <x v="0"/>
    <x v="0"/>
    <x v="3"/>
    <x v="193"/>
    <x v="0"/>
    <x v="0"/>
    <m/>
    <s v="Lerato Naidoo"/>
    <n v="80000"/>
    <x v="1"/>
    <x v="0"/>
    <n v="1.7619875E-2"/>
    <n v="0"/>
    <n v="0"/>
    <n v="0"/>
    <n v="0"/>
    <n v="0"/>
    <n v="0"/>
    <x v="1"/>
    <x v="0"/>
  </r>
  <r>
    <x v="194"/>
    <s v="CC-10016"/>
    <x v="171"/>
    <s v="19:57"/>
    <x v="42"/>
    <x v="4"/>
    <x v="3"/>
    <x v="194"/>
    <x v="2"/>
    <x v="0"/>
    <m/>
    <s v="Lerato Naidoo"/>
    <n v="80000"/>
    <x v="1"/>
    <x v="0"/>
    <n v="2.04075E-3"/>
    <n v="0"/>
    <n v="0"/>
    <n v="0"/>
    <n v="0"/>
    <n v="0"/>
    <n v="0"/>
    <x v="1"/>
    <x v="0"/>
  </r>
  <r>
    <x v="195"/>
    <s v="CC-10016"/>
    <x v="172"/>
    <s v="12:29"/>
    <x v="1"/>
    <x v="1"/>
    <x v="3"/>
    <x v="195"/>
    <x v="0"/>
    <x v="1"/>
    <m/>
    <s v="Lerato Naidoo"/>
    <n v="80000"/>
    <x v="1"/>
    <x v="0"/>
    <n v="3.4122E-2"/>
    <n v="0"/>
    <n v="0"/>
    <n v="0"/>
    <n v="0"/>
    <n v="0"/>
    <n v="0"/>
    <x v="1"/>
    <x v="0"/>
  </r>
  <r>
    <x v="196"/>
    <s v="CC-10016"/>
    <x v="173"/>
    <s v="12:35"/>
    <x v="30"/>
    <x v="3"/>
    <x v="3"/>
    <x v="196"/>
    <x v="1"/>
    <x v="0"/>
    <m/>
    <s v="Lerato Naidoo"/>
    <n v="80000"/>
    <x v="1"/>
    <x v="0"/>
    <n v="6.410250000000001E-3"/>
    <n v="0"/>
    <n v="0"/>
    <n v="0"/>
    <n v="0"/>
    <n v="1"/>
    <n v="1"/>
    <x v="3"/>
    <x v="2"/>
  </r>
  <r>
    <x v="197"/>
    <s v="CC-10016"/>
    <x v="174"/>
    <s v="20:31"/>
    <x v="45"/>
    <x v="9"/>
    <x v="3"/>
    <x v="197"/>
    <x v="3"/>
    <x v="1"/>
    <m/>
    <s v="Lerato Naidoo"/>
    <n v="80000"/>
    <x v="1"/>
    <x v="0"/>
    <n v="1.4441250000000001E-3"/>
    <n v="0"/>
    <n v="0"/>
    <n v="0"/>
    <n v="0"/>
    <n v="0"/>
    <n v="1"/>
    <x v="0"/>
    <x v="0"/>
  </r>
  <r>
    <x v="198"/>
    <s v="CC-10016"/>
    <x v="40"/>
    <s v="14:41"/>
    <x v="11"/>
    <x v="8"/>
    <x v="3"/>
    <x v="198"/>
    <x v="1"/>
    <x v="0"/>
    <m/>
    <s v="Lerato Naidoo"/>
    <n v="80000"/>
    <x v="1"/>
    <x v="0"/>
    <n v="4.0895375000000005E-2"/>
    <n v="0"/>
    <n v="0"/>
    <n v="0"/>
    <n v="0"/>
    <n v="0"/>
    <n v="1"/>
    <x v="0"/>
    <x v="0"/>
  </r>
  <r>
    <x v="199"/>
    <s v="CC-10016"/>
    <x v="83"/>
    <s v="16:24"/>
    <x v="10"/>
    <x v="7"/>
    <x v="3"/>
    <x v="199"/>
    <x v="3"/>
    <x v="0"/>
    <m/>
    <s v="Lerato Naidoo"/>
    <n v="80000"/>
    <x v="1"/>
    <x v="0"/>
    <n v="8.9632624999999994E-2"/>
    <n v="0"/>
    <n v="0"/>
    <n v="0"/>
    <n v="0"/>
    <n v="1"/>
    <n v="1"/>
    <x v="3"/>
    <x v="2"/>
  </r>
  <r>
    <x v="200"/>
    <s v="CC-10016"/>
    <x v="175"/>
    <s v="09:34"/>
    <x v="3"/>
    <x v="2"/>
    <x v="3"/>
    <x v="200"/>
    <x v="2"/>
    <x v="0"/>
    <m/>
    <s v="Lerato Naidoo"/>
    <n v="80000"/>
    <x v="1"/>
    <x v="0"/>
    <n v="7.7190000000000002E-3"/>
    <n v="0"/>
    <n v="0"/>
    <n v="0"/>
    <n v="0"/>
    <n v="0"/>
    <n v="0"/>
    <x v="1"/>
    <x v="0"/>
  </r>
  <r>
    <x v="201"/>
    <s v="CC-10016"/>
    <x v="176"/>
    <s v="13:40"/>
    <x v="24"/>
    <x v="3"/>
    <x v="3"/>
    <x v="201"/>
    <x v="0"/>
    <x v="0"/>
    <m/>
    <s v="Lerato Naidoo"/>
    <n v="80000"/>
    <x v="1"/>
    <x v="0"/>
    <n v="1.8543749999999999E-3"/>
    <n v="0"/>
    <n v="0"/>
    <n v="0"/>
    <n v="0"/>
    <n v="0"/>
    <n v="0"/>
    <x v="1"/>
    <x v="0"/>
  </r>
  <r>
    <x v="202"/>
    <s v="CC-10017"/>
    <x v="177"/>
    <s v="20:28"/>
    <x v="0"/>
    <x v="0"/>
    <x v="2"/>
    <x v="202"/>
    <x v="3"/>
    <x v="0"/>
    <m/>
    <s v="Aisha Govender"/>
    <n v="20000"/>
    <x v="3"/>
    <x v="1"/>
    <n v="0.13348550000000001"/>
    <n v="0"/>
    <n v="0"/>
    <n v="0"/>
    <n v="0"/>
    <n v="0"/>
    <n v="1"/>
    <x v="0"/>
    <x v="0"/>
  </r>
  <r>
    <x v="203"/>
    <s v="CC-10017"/>
    <x v="178"/>
    <s v="12:19"/>
    <x v="21"/>
    <x v="8"/>
    <x v="2"/>
    <x v="203"/>
    <x v="2"/>
    <x v="0"/>
    <m/>
    <s v="Aisha Govender"/>
    <n v="20000"/>
    <x v="3"/>
    <x v="1"/>
    <n v="0.239346"/>
    <n v="0"/>
    <n v="0"/>
    <n v="0"/>
    <n v="0"/>
    <n v="0"/>
    <n v="0"/>
    <x v="1"/>
    <x v="0"/>
  </r>
  <r>
    <x v="204"/>
    <s v="CC-10017"/>
    <x v="121"/>
    <s v="20:51"/>
    <x v="9"/>
    <x v="3"/>
    <x v="2"/>
    <x v="204"/>
    <x v="3"/>
    <x v="0"/>
    <m/>
    <s v="Aisha Govender"/>
    <n v="20000"/>
    <x v="3"/>
    <x v="1"/>
    <n v="6.6325000000000004E-3"/>
    <n v="0"/>
    <n v="0"/>
    <n v="0"/>
    <n v="0"/>
    <n v="1"/>
    <n v="1"/>
    <x v="3"/>
    <x v="2"/>
  </r>
  <r>
    <x v="205"/>
    <s v="CC-10017"/>
    <x v="179"/>
    <s v="12:36"/>
    <x v="46"/>
    <x v="1"/>
    <x v="2"/>
    <x v="205"/>
    <x v="0"/>
    <x v="0"/>
    <m/>
    <s v="Aisha Govender"/>
    <n v="20000"/>
    <x v="3"/>
    <x v="1"/>
    <n v="0.1224885"/>
    <n v="0"/>
    <n v="0"/>
    <n v="0"/>
    <n v="0"/>
    <n v="0"/>
    <n v="0"/>
    <x v="1"/>
    <x v="0"/>
  </r>
  <r>
    <x v="206"/>
    <s v="CC-10017"/>
    <x v="180"/>
    <s v="12:26"/>
    <x v="0"/>
    <x v="0"/>
    <x v="2"/>
    <x v="206"/>
    <x v="2"/>
    <x v="0"/>
    <m/>
    <s v="Aisha Govender"/>
    <n v="20000"/>
    <x v="3"/>
    <x v="1"/>
    <n v="6.5311499999999995E-2"/>
    <n v="0"/>
    <n v="0"/>
    <n v="0"/>
    <n v="0"/>
    <n v="1"/>
    <n v="0"/>
    <x v="0"/>
    <x v="0"/>
  </r>
  <r>
    <x v="207"/>
    <s v="CC-10017"/>
    <x v="112"/>
    <s v="13:53"/>
    <x v="34"/>
    <x v="7"/>
    <x v="2"/>
    <x v="207"/>
    <x v="3"/>
    <x v="0"/>
    <m/>
    <s v="Aisha Govender"/>
    <n v="20000"/>
    <x v="3"/>
    <x v="1"/>
    <n v="0.58709049999999996"/>
    <n v="0"/>
    <n v="0"/>
    <n v="0"/>
    <n v="0"/>
    <n v="0"/>
    <n v="1"/>
    <x v="0"/>
    <x v="0"/>
  </r>
  <r>
    <x v="208"/>
    <s v="CC-10017"/>
    <x v="114"/>
    <s v="Unknown"/>
    <x v="20"/>
    <x v="6"/>
    <x v="2"/>
    <x v="208"/>
    <x v="1"/>
    <x v="0"/>
    <m/>
    <s v="Aisha Govender"/>
    <n v="20000"/>
    <x v="3"/>
    <x v="1"/>
    <n v="6.0990499999999996E-2"/>
    <n v="0"/>
    <n v="1"/>
    <n v="0"/>
    <n v="1"/>
    <n v="0"/>
    <n v="1"/>
    <x v="2"/>
    <x v="1"/>
  </r>
  <r>
    <x v="209"/>
    <s v="CC-10017"/>
    <x v="181"/>
    <s v="17:36"/>
    <x v="39"/>
    <x v="5"/>
    <x v="2"/>
    <x v="209"/>
    <x v="0"/>
    <x v="1"/>
    <m/>
    <s v="Aisha Govender"/>
    <n v="20000"/>
    <x v="3"/>
    <x v="1"/>
    <n v="6.5166500000000002E-2"/>
    <n v="0"/>
    <n v="0"/>
    <n v="0"/>
    <n v="0"/>
    <n v="0"/>
    <n v="0"/>
    <x v="1"/>
    <x v="0"/>
  </r>
  <r>
    <x v="210"/>
    <s v="CC-10017"/>
    <x v="182"/>
    <s v="09:20"/>
    <x v="6"/>
    <x v="2"/>
    <x v="2"/>
    <x v="210"/>
    <x v="2"/>
    <x v="0"/>
    <m/>
    <s v="Aisha Govender"/>
    <n v="20000"/>
    <x v="3"/>
    <x v="1"/>
    <n v="1.7649999999999999E-2"/>
    <n v="0"/>
    <n v="0"/>
    <n v="0"/>
    <n v="0"/>
    <n v="0"/>
    <n v="0"/>
    <x v="1"/>
    <x v="0"/>
  </r>
  <r>
    <x v="211"/>
    <s v="CC-10017"/>
    <x v="174"/>
    <s v="09:12"/>
    <x v="26"/>
    <x v="2"/>
    <x v="2"/>
    <x v="211"/>
    <x v="1"/>
    <x v="0"/>
    <m/>
    <s v="Aisha Govender"/>
    <n v="20000"/>
    <x v="3"/>
    <x v="1"/>
    <n v="4.8157499999999999E-2"/>
    <n v="0"/>
    <n v="0"/>
    <n v="0"/>
    <n v="0"/>
    <n v="0"/>
    <n v="1"/>
    <x v="0"/>
    <x v="0"/>
  </r>
  <r>
    <x v="212"/>
    <s v="CC-10017"/>
    <x v="69"/>
    <s v="09:58"/>
    <x v="38"/>
    <x v="0"/>
    <x v="4"/>
    <x v="212"/>
    <x v="1"/>
    <x v="0"/>
    <m/>
    <s v="Aisha Govender"/>
    <n v="20000"/>
    <x v="3"/>
    <x v="1"/>
    <n v="0.19322800000000001"/>
    <n v="0"/>
    <n v="0"/>
    <n v="0"/>
    <n v="0"/>
    <n v="0"/>
    <n v="1"/>
    <x v="0"/>
    <x v="0"/>
  </r>
  <r>
    <x v="213"/>
    <s v="CC-10017"/>
    <x v="103"/>
    <s v="09:57"/>
    <x v="37"/>
    <x v="10"/>
    <x v="2"/>
    <x v="213"/>
    <x v="1"/>
    <x v="0"/>
    <m/>
    <s v="Aisha Govender"/>
    <n v="20000"/>
    <x v="3"/>
    <x v="1"/>
    <n v="0.27495149999999996"/>
    <n v="1"/>
    <n v="0"/>
    <n v="0"/>
    <n v="0"/>
    <n v="0"/>
    <n v="1"/>
    <x v="3"/>
    <x v="2"/>
  </r>
  <r>
    <x v="214"/>
    <s v="CC-10017"/>
    <x v="183"/>
    <s v="14:25"/>
    <x v="7"/>
    <x v="5"/>
    <x v="2"/>
    <x v="214"/>
    <x v="0"/>
    <x v="0"/>
    <m/>
    <s v="Aisha Govender"/>
    <n v="20000"/>
    <x v="3"/>
    <x v="1"/>
    <n v="1.3961000000000001E-2"/>
    <n v="0"/>
    <n v="0"/>
    <n v="0"/>
    <n v="0"/>
    <n v="0"/>
    <n v="0"/>
    <x v="1"/>
    <x v="0"/>
  </r>
  <r>
    <x v="215"/>
    <s v="CC-10018"/>
    <x v="94"/>
    <s v="07:29"/>
    <x v="41"/>
    <x v="7"/>
    <x v="4"/>
    <x v="215"/>
    <x v="0"/>
    <x v="0"/>
    <m/>
    <s v="Pieter Zulu"/>
    <n v="15000"/>
    <x v="3"/>
    <x v="0"/>
    <n v="0.12259666666666667"/>
    <n v="0"/>
    <n v="0"/>
    <n v="0"/>
    <n v="0"/>
    <n v="0"/>
    <n v="0"/>
    <x v="1"/>
    <x v="0"/>
  </r>
  <r>
    <x v="216"/>
    <s v="CC-10018"/>
    <x v="184"/>
    <s v="07:46"/>
    <x v="45"/>
    <x v="9"/>
    <x v="4"/>
    <x v="216"/>
    <x v="0"/>
    <x v="0"/>
    <m/>
    <s v="Pieter Zulu"/>
    <n v="15000"/>
    <x v="3"/>
    <x v="0"/>
    <n v="4.6973333333333329E-3"/>
    <n v="0"/>
    <n v="0"/>
    <n v="0"/>
    <n v="0"/>
    <n v="0"/>
    <n v="0"/>
    <x v="1"/>
    <x v="0"/>
  </r>
  <r>
    <x v="217"/>
    <s v="CC-10018"/>
    <x v="125"/>
    <s v="11:43"/>
    <x v="35"/>
    <x v="0"/>
    <x v="4"/>
    <x v="217"/>
    <x v="3"/>
    <x v="0"/>
    <m/>
    <s v="Pieter Zulu"/>
    <n v="15000"/>
    <x v="3"/>
    <x v="0"/>
    <n v="0.18512599999999999"/>
    <n v="0"/>
    <n v="0"/>
    <n v="0"/>
    <n v="0"/>
    <n v="0"/>
    <n v="1"/>
    <x v="0"/>
    <x v="0"/>
  </r>
  <r>
    <x v="218"/>
    <s v="CC-10018"/>
    <x v="185"/>
    <s v="22:07"/>
    <x v="7"/>
    <x v="5"/>
    <x v="4"/>
    <x v="218"/>
    <x v="3"/>
    <x v="0"/>
    <m/>
    <s v="Pieter Zulu"/>
    <n v="15000"/>
    <x v="3"/>
    <x v="0"/>
    <n v="1.0962000000000001E-2"/>
    <n v="0"/>
    <n v="0"/>
    <n v="0"/>
    <n v="0"/>
    <n v="0"/>
    <n v="1"/>
    <x v="0"/>
    <x v="0"/>
  </r>
  <r>
    <x v="219"/>
    <s v="CC-10018"/>
    <x v="186"/>
    <s v="09:02"/>
    <x v="15"/>
    <x v="10"/>
    <x v="4"/>
    <x v="219"/>
    <x v="2"/>
    <x v="0"/>
    <m/>
    <s v="Pieter Zulu"/>
    <n v="15000"/>
    <x v="3"/>
    <x v="0"/>
    <n v="0.70975066666666664"/>
    <n v="0"/>
    <n v="0"/>
    <n v="0"/>
    <n v="0"/>
    <n v="0"/>
    <n v="0"/>
    <x v="1"/>
    <x v="0"/>
  </r>
  <r>
    <x v="220"/>
    <s v="CC-10018"/>
    <x v="187"/>
    <s v="12:21"/>
    <x v="14"/>
    <x v="0"/>
    <x v="4"/>
    <x v="220"/>
    <x v="0"/>
    <x v="1"/>
    <m/>
    <s v="Pieter Zulu"/>
    <n v="15000"/>
    <x v="3"/>
    <x v="0"/>
    <n v="0.18419733333333332"/>
    <n v="0"/>
    <n v="0"/>
    <n v="0"/>
    <n v="1"/>
    <n v="0"/>
    <n v="0"/>
    <x v="0"/>
    <x v="0"/>
  </r>
  <r>
    <x v="221"/>
    <s v="CC-10018"/>
    <x v="188"/>
    <s v="18:42"/>
    <x v="11"/>
    <x v="8"/>
    <x v="4"/>
    <x v="221"/>
    <x v="3"/>
    <x v="0"/>
    <m/>
    <s v="Pieter Zulu"/>
    <n v="15000"/>
    <x v="3"/>
    <x v="0"/>
    <n v="3.6324000000000002E-2"/>
    <n v="0"/>
    <n v="0"/>
    <n v="0"/>
    <n v="0"/>
    <n v="0"/>
    <n v="1"/>
    <x v="0"/>
    <x v="0"/>
  </r>
  <r>
    <x v="222"/>
    <s v="CC-10018"/>
    <x v="189"/>
    <s v="10:28"/>
    <x v="21"/>
    <x v="8"/>
    <x v="4"/>
    <x v="222"/>
    <x v="1"/>
    <x v="1"/>
    <m/>
    <s v="Pieter Zulu"/>
    <n v="15000"/>
    <x v="3"/>
    <x v="0"/>
    <n v="0.25062400000000001"/>
    <n v="0"/>
    <n v="0"/>
    <n v="0"/>
    <n v="0"/>
    <n v="1"/>
    <n v="1"/>
    <x v="3"/>
    <x v="2"/>
  </r>
  <r>
    <x v="223"/>
    <s v="CC-10018"/>
    <x v="190"/>
    <s v="14:47"/>
    <x v="43"/>
    <x v="8"/>
    <x v="6"/>
    <x v="223"/>
    <x v="0"/>
    <x v="0"/>
    <m/>
    <s v="Pieter Zulu"/>
    <n v="15000"/>
    <x v="3"/>
    <x v="0"/>
    <n v="0.27490466666666663"/>
    <n v="0"/>
    <n v="0"/>
    <n v="0"/>
    <n v="0"/>
    <n v="1"/>
    <n v="0"/>
    <x v="0"/>
    <x v="0"/>
  </r>
  <r>
    <x v="224"/>
    <s v="CC-10018"/>
    <x v="186"/>
    <s v="21:54"/>
    <x v="41"/>
    <x v="7"/>
    <x v="8"/>
    <x v="224"/>
    <x v="0"/>
    <x v="0"/>
    <m/>
    <s v="Pieter Zulu"/>
    <n v="15000"/>
    <x v="3"/>
    <x v="0"/>
    <n v="9.741000000000001E-2"/>
    <n v="1"/>
    <n v="0"/>
    <n v="0"/>
    <n v="0"/>
    <n v="1"/>
    <n v="0"/>
    <x v="3"/>
    <x v="2"/>
  </r>
  <r>
    <x v="225"/>
    <s v="CC-10018"/>
    <x v="191"/>
    <s v="10:10"/>
    <x v="25"/>
    <x v="6"/>
    <x v="1"/>
    <x v="225"/>
    <x v="2"/>
    <x v="1"/>
    <m/>
    <s v="Pieter Zulu"/>
    <n v="15000"/>
    <x v="3"/>
    <x v="0"/>
    <n v="3.4362666666666673E-2"/>
    <n v="1"/>
    <n v="0"/>
    <n v="0"/>
    <n v="0"/>
    <n v="0"/>
    <n v="0"/>
    <x v="0"/>
    <x v="0"/>
  </r>
  <r>
    <x v="226"/>
    <s v="CC-10018"/>
    <x v="192"/>
    <s v="16:39"/>
    <x v="6"/>
    <x v="2"/>
    <x v="4"/>
    <x v="226"/>
    <x v="0"/>
    <x v="1"/>
    <m/>
    <s v="Pieter Zulu"/>
    <n v="15000"/>
    <x v="3"/>
    <x v="0"/>
    <n v="4.0929333333333338E-2"/>
    <n v="1"/>
    <n v="0"/>
    <n v="0"/>
    <n v="0"/>
    <n v="0"/>
    <n v="0"/>
    <x v="0"/>
    <x v="0"/>
  </r>
  <r>
    <x v="227"/>
    <s v="CC-10018"/>
    <x v="193"/>
    <s v="07:38"/>
    <x v="44"/>
    <x v="1"/>
    <x v="0"/>
    <x v="227"/>
    <x v="0"/>
    <x v="0"/>
    <m/>
    <s v="Pieter Zulu"/>
    <n v="15000"/>
    <x v="3"/>
    <x v="0"/>
    <n v="8.1157999999999994E-2"/>
    <n v="0"/>
    <n v="0"/>
    <n v="0"/>
    <n v="0"/>
    <n v="0"/>
    <n v="0"/>
    <x v="1"/>
    <x v="0"/>
  </r>
  <r>
    <x v="228"/>
    <s v="CC-10018"/>
    <x v="194"/>
    <s v="19:45"/>
    <x v="20"/>
    <x v="6"/>
    <x v="4"/>
    <x v="228"/>
    <x v="0"/>
    <x v="0"/>
    <m/>
    <s v="Pieter Zulu"/>
    <n v="15000"/>
    <x v="3"/>
    <x v="0"/>
    <n v="4.4794666666666663E-2"/>
    <n v="1"/>
    <n v="0"/>
    <n v="0"/>
    <n v="0"/>
    <n v="1"/>
    <n v="0"/>
    <x v="3"/>
    <x v="2"/>
  </r>
  <r>
    <x v="229"/>
    <s v="CC-10018"/>
    <x v="195"/>
    <s v="18:51"/>
    <x v="8"/>
    <x v="6"/>
    <x v="7"/>
    <x v="229"/>
    <x v="0"/>
    <x v="1"/>
    <m/>
    <s v="Pieter Zulu"/>
    <n v="15000"/>
    <x v="3"/>
    <x v="0"/>
    <n v="3.4888666666666672E-2"/>
    <n v="0"/>
    <n v="0"/>
    <n v="0"/>
    <n v="0"/>
    <n v="0"/>
    <n v="0"/>
    <x v="1"/>
    <x v="0"/>
  </r>
  <r>
    <x v="230"/>
    <s v="CC-10018"/>
    <x v="196"/>
    <s v="15:44"/>
    <x v="4"/>
    <x v="3"/>
    <x v="8"/>
    <x v="230"/>
    <x v="3"/>
    <x v="0"/>
    <m/>
    <s v="Pieter Zulu"/>
    <n v="15000"/>
    <x v="3"/>
    <x v="0"/>
    <n v="4.1510666666666668E-2"/>
    <n v="1"/>
    <n v="0"/>
    <n v="0"/>
    <n v="0"/>
    <n v="0"/>
    <n v="1"/>
    <x v="3"/>
    <x v="2"/>
  </r>
  <r>
    <x v="231"/>
    <s v="CC-10019"/>
    <x v="197"/>
    <s v="10:39"/>
    <x v="23"/>
    <x v="10"/>
    <x v="0"/>
    <x v="231"/>
    <x v="1"/>
    <x v="0"/>
    <m/>
    <s v="Rachel Khumalo"/>
    <n v="80000"/>
    <x v="2"/>
    <x v="1"/>
    <n v="0.117894875"/>
    <n v="1"/>
    <n v="0"/>
    <n v="0"/>
    <n v="0"/>
    <n v="0"/>
    <n v="1"/>
    <x v="3"/>
    <x v="2"/>
  </r>
  <r>
    <x v="232"/>
    <s v="CC-10019"/>
    <x v="198"/>
    <s v="13:10"/>
    <x v="14"/>
    <x v="0"/>
    <x v="0"/>
    <x v="232"/>
    <x v="3"/>
    <x v="0"/>
    <m/>
    <s v="Rachel Khumalo"/>
    <n v="80000"/>
    <x v="2"/>
    <x v="1"/>
    <n v="5.4971375000000003E-2"/>
    <n v="0"/>
    <n v="0"/>
    <n v="0"/>
    <n v="0"/>
    <n v="0"/>
    <n v="1"/>
    <x v="0"/>
    <x v="0"/>
  </r>
  <r>
    <x v="233"/>
    <s v="CC-10019"/>
    <x v="199"/>
    <s v="Unknown"/>
    <x v="22"/>
    <x v="5"/>
    <x v="0"/>
    <x v="233"/>
    <x v="2"/>
    <x v="0"/>
    <s v="verified via OTP call"/>
    <s v="Rachel Khumalo"/>
    <n v="80000"/>
    <x v="2"/>
    <x v="1"/>
    <n v="3.4311250000000001E-3"/>
    <n v="0"/>
    <n v="1"/>
    <n v="0"/>
    <n v="0"/>
    <n v="0"/>
    <n v="0"/>
    <x v="0"/>
    <x v="0"/>
  </r>
  <r>
    <x v="234"/>
    <s v="CC-10019"/>
    <x v="200"/>
    <s v="10:21"/>
    <x v="17"/>
    <x v="5"/>
    <x v="0"/>
    <x v="234"/>
    <x v="1"/>
    <x v="0"/>
    <m/>
    <s v="Rachel Khumalo"/>
    <n v="80000"/>
    <x v="2"/>
    <x v="1"/>
    <n v="5.103125E-3"/>
    <n v="0"/>
    <n v="0"/>
    <n v="0"/>
    <n v="0"/>
    <n v="0"/>
    <n v="1"/>
    <x v="0"/>
    <x v="0"/>
  </r>
  <r>
    <x v="235"/>
    <s v="CC-10019"/>
    <x v="87"/>
    <s v="10:05"/>
    <x v="36"/>
    <x v="11"/>
    <x v="0"/>
    <x v="235"/>
    <x v="1"/>
    <x v="1"/>
    <m/>
    <s v="Rachel Khumalo"/>
    <n v="80000"/>
    <x v="2"/>
    <x v="1"/>
    <n v="3.9943374999999996E-2"/>
    <n v="0"/>
    <n v="0"/>
    <n v="0"/>
    <n v="0"/>
    <n v="0"/>
    <n v="1"/>
    <x v="0"/>
    <x v="0"/>
  </r>
  <r>
    <x v="236"/>
    <s v="CC-10019"/>
    <x v="134"/>
    <s v="11:54"/>
    <x v="25"/>
    <x v="6"/>
    <x v="0"/>
    <x v="236"/>
    <x v="1"/>
    <x v="0"/>
    <s v="verified via OTP call"/>
    <s v="Rachel Khumalo"/>
    <n v="80000"/>
    <x v="2"/>
    <x v="1"/>
    <n v="9.4657500000000002E-3"/>
    <n v="0"/>
    <n v="0"/>
    <n v="0"/>
    <n v="0"/>
    <n v="0"/>
    <n v="1"/>
    <x v="0"/>
    <x v="0"/>
  </r>
  <r>
    <x v="237"/>
    <s v="CC-10019"/>
    <x v="201"/>
    <s v="14:44"/>
    <x v="20"/>
    <x v="6"/>
    <x v="0"/>
    <x v="237"/>
    <x v="1"/>
    <x v="0"/>
    <m/>
    <s v="Rachel Khumalo"/>
    <n v="80000"/>
    <x v="2"/>
    <x v="1"/>
    <n v="6.0578749999999999E-3"/>
    <n v="0"/>
    <n v="0"/>
    <n v="0"/>
    <n v="0"/>
    <n v="0"/>
    <n v="1"/>
    <x v="0"/>
    <x v="0"/>
  </r>
  <r>
    <x v="238"/>
    <s v="CC-10019"/>
    <x v="202"/>
    <s v="Unknown"/>
    <x v="47"/>
    <x v="4"/>
    <x v="0"/>
    <x v="238"/>
    <x v="1"/>
    <x v="0"/>
    <m/>
    <s v="Rachel Khumalo"/>
    <n v="80000"/>
    <x v="2"/>
    <x v="1"/>
    <n v="1.4278750000000001E-3"/>
    <n v="0"/>
    <n v="1"/>
    <n v="0"/>
    <n v="0"/>
    <n v="0"/>
    <n v="1"/>
    <x v="3"/>
    <x v="2"/>
  </r>
  <r>
    <x v="239"/>
    <s v="CC-10019"/>
    <x v="203"/>
    <s v="18:34"/>
    <x v="0"/>
    <x v="0"/>
    <x v="0"/>
    <x v="239"/>
    <x v="0"/>
    <x v="0"/>
    <m/>
    <s v="Rachel Khumalo"/>
    <n v="80000"/>
    <x v="2"/>
    <x v="1"/>
    <n v="1.6607875000000001E-2"/>
    <n v="0"/>
    <n v="0"/>
    <n v="0"/>
    <n v="0"/>
    <n v="0"/>
    <n v="0"/>
    <x v="1"/>
    <x v="0"/>
  </r>
  <r>
    <x v="240"/>
    <s v="CC-10019"/>
    <x v="204"/>
    <s v="14:45"/>
    <x v="15"/>
    <x v="10"/>
    <x v="0"/>
    <x v="240"/>
    <x v="0"/>
    <x v="0"/>
    <m/>
    <s v="Rachel Khumalo"/>
    <n v="80000"/>
    <x v="2"/>
    <x v="1"/>
    <n v="0.22030149999999998"/>
    <n v="0"/>
    <n v="0"/>
    <n v="0"/>
    <n v="0"/>
    <n v="0"/>
    <n v="0"/>
    <x v="1"/>
    <x v="0"/>
  </r>
  <r>
    <x v="241"/>
    <s v="CC-10019"/>
    <x v="205"/>
    <s v="08:33"/>
    <x v="25"/>
    <x v="6"/>
    <x v="5"/>
    <x v="241"/>
    <x v="2"/>
    <x v="1"/>
    <m/>
    <s v="Rachel Khumalo"/>
    <n v="80000"/>
    <x v="2"/>
    <x v="1"/>
    <n v="5.3822499999999999E-3"/>
    <n v="0"/>
    <n v="0"/>
    <n v="0"/>
    <n v="0"/>
    <n v="0"/>
    <n v="0"/>
    <x v="1"/>
    <x v="0"/>
  </r>
  <r>
    <x v="242"/>
    <s v="CC-10019"/>
    <x v="206"/>
    <s v="22:26"/>
    <x v="19"/>
    <x v="6"/>
    <x v="0"/>
    <x v="242"/>
    <x v="1"/>
    <x v="1"/>
    <m/>
    <s v="Rachel Khumalo"/>
    <n v="80000"/>
    <x v="2"/>
    <x v="1"/>
    <n v="2.3721250000000001E-3"/>
    <n v="1"/>
    <n v="0"/>
    <n v="0"/>
    <n v="0"/>
    <n v="0"/>
    <n v="1"/>
    <x v="3"/>
    <x v="2"/>
  </r>
  <r>
    <x v="243"/>
    <s v="CC-10019"/>
    <x v="33"/>
    <s v="12:43"/>
    <x v="45"/>
    <x v="9"/>
    <x v="1"/>
    <x v="243"/>
    <x v="3"/>
    <x v="0"/>
    <m/>
    <s v="Rachel Khumalo"/>
    <n v="80000"/>
    <x v="2"/>
    <x v="1"/>
    <n v="9.4339999999999997E-3"/>
    <n v="0"/>
    <n v="0"/>
    <n v="0"/>
    <n v="0"/>
    <n v="0"/>
    <n v="1"/>
    <x v="0"/>
    <x v="0"/>
  </r>
  <r>
    <x v="244"/>
    <s v="CC-10019"/>
    <x v="207"/>
    <s v="16:17"/>
    <x v="23"/>
    <x v="10"/>
    <x v="0"/>
    <x v="244"/>
    <x v="0"/>
    <x v="1"/>
    <m/>
    <s v="Rachel Khumalo"/>
    <n v="80000"/>
    <x v="2"/>
    <x v="1"/>
    <n v="7.2441999999999993E-2"/>
    <n v="1"/>
    <n v="0"/>
    <n v="0"/>
    <n v="0"/>
    <n v="0"/>
    <n v="0"/>
    <x v="0"/>
    <x v="0"/>
  </r>
  <r>
    <x v="245"/>
    <s v="CC-10019"/>
    <x v="145"/>
    <s v="20:30"/>
    <x v="18"/>
    <x v="11"/>
    <x v="6"/>
    <x v="245"/>
    <x v="0"/>
    <x v="0"/>
    <m/>
    <s v="Rachel Khumalo"/>
    <n v="80000"/>
    <x v="2"/>
    <x v="1"/>
    <n v="2.1044125E-2"/>
    <n v="0"/>
    <n v="0"/>
    <n v="0"/>
    <n v="0"/>
    <n v="0"/>
    <n v="0"/>
    <x v="1"/>
    <x v="0"/>
  </r>
  <r>
    <x v="246"/>
    <s v="CC-10019"/>
    <x v="208"/>
    <s v="09:41"/>
    <x v="15"/>
    <x v="10"/>
    <x v="0"/>
    <x v="246"/>
    <x v="2"/>
    <x v="1"/>
    <m/>
    <s v="Rachel Khumalo"/>
    <n v="80000"/>
    <x v="2"/>
    <x v="1"/>
    <n v="0.13968387499999999"/>
    <n v="1"/>
    <n v="0"/>
    <n v="0"/>
    <n v="0"/>
    <n v="0"/>
    <n v="0"/>
    <x v="0"/>
    <x v="0"/>
  </r>
  <r>
    <x v="247"/>
    <s v="CC-10020"/>
    <x v="209"/>
    <s v="13:22"/>
    <x v="37"/>
    <x v="10"/>
    <x v="0"/>
    <x v="247"/>
    <x v="0"/>
    <x v="0"/>
    <m/>
    <s v="Andries Mahlangu"/>
    <n v="40000"/>
    <x v="2"/>
    <x v="1"/>
    <n v="0.12601775000000001"/>
    <n v="0"/>
    <n v="0"/>
    <n v="0"/>
    <n v="0"/>
    <n v="0"/>
    <n v="0"/>
    <x v="1"/>
    <x v="0"/>
  </r>
  <r>
    <x v="248"/>
    <s v="CC-10020"/>
    <x v="210"/>
    <s v="07:26"/>
    <x v="25"/>
    <x v="6"/>
    <x v="1"/>
    <x v="248"/>
    <x v="1"/>
    <x v="0"/>
    <m/>
    <s v="Andries Mahlangu"/>
    <n v="40000"/>
    <x v="2"/>
    <x v="1"/>
    <n v="1.8227500000000001E-2"/>
    <n v="1"/>
    <n v="0"/>
    <n v="0"/>
    <n v="0"/>
    <n v="0"/>
    <n v="1"/>
    <x v="3"/>
    <x v="2"/>
  </r>
  <r>
    <x v="249"/>
    <s v="CC-10020"/>
    <x v="211"/>
    <s v="16:16"/>
    <x v="40"/>
    <x v="11"/>
    <x v="1"/>
    <x v="249"/>
    <x v="1"/>
    <x v="0"/>
    <m/>
    <s v="Andries Mahlangu"/>
    <n v="40000"/>
    <x v="2"/>
    <x v="1"/>
    <n v="7.8712750000000012E-2"/>
    <n v="0"/>
    <n v="0"/>
    <n v="0"/>
    <n v="0"/>
    <n v="0"/>
    <n v="1"/>
    <x v="0"/>
    <x v="0"/>
  </r>
  <r>
    <x v="250"/>
    <s v="CC-10020"/>
    <x v="212"/>
    <s v="08:37"/>
    <x v="44"/>
    <x v="1"/>
    <x v="1"/>
    <x v="250"/>
    <x v="3"/>
    <x v="0"/>
    <s v="verified via OTP call"/>
    <s v="Andries Mahlangu"/>
    <n v="40000"/>
    <x v="2"/>
    <x v="1"/>
    <n v="5.9366499999999996E-2"/>
    <n v="0"/>
    <n v="0"/>
    <n v="0"/>
    <n v="0"/>
    <n v="0"/>
    <n v="1"/>
    <x v="0"/>
    <x v="0"/>
  </r>
  <r>
    <x v="251"/>
    <s v="CC-10020"/>
    <x v="37"/>
    <s v="14:39"/>
    <x v="27"/>
    <x v="2"/>
    <x v="1"/>
    <x v="251"/>
    <x v="1"/>
    <x v="0"/>
    <m/>
    <s v="Andries Mahlangu"/>
    <n v="40000"/>
    <x v="2"/>
    <x v="1"/>
    <n v="2.1090500000000002E-2"/>
    <n v="0"/>
    <n v="0"/>
    <n v="0"/>
    <n v="0"/>
    <n v="1"/>
    <n v="1"/>
    <x v="3"/>
    <x v="2"/>
  </r>
  <r>
    <x v="252"/>
    <s v="CC-10020"/>
    <x v="134"/>
    <s v="18:07"/>
    <x v="37"/>
    <x v="10"/>
    <x v="1"/>
    <x v="252"/>
    <x v="3"/>
    <x v="0"/>
    <m/>
    <s v="Andries Mahlangu"/>
    <n v="40000"/>
    <x v="2"/>
    <x v="1"/>
    <n v="0.30919250000000004"/>
    <n v="0"/>
    <n v="0"/>
    <n v="0"/>
    <n v="0"/>
    <n v="0"/>
    <n v="1"/>
    <x v="0"/>
    <x v="0"/>
  </r>
  <r>
    <x v="253"/>
    <s v="CC-10020"/>
    <x v="7"/>
    <s v="19:33"/>
    <x v="5"/>
    <x v="4"/>
    <x v="1"/>
    <x v="253"/>
    <x v="1"/>
    <x v="0"/>
    <m/>
    <s v="Andries Mahlangu"/>
    <n v="40000"/>
    <x v="2"/>
    <x v="1"/>
    <n v="8.7204999999999991E-3"/>
    <n v="0"/>
    <n v="0"/>
    <n v="0"/>
    <n v="0"/>
    <n v="0"/>
    <n v="1"/>
    <x v="0"/>
    <x v="0"/>
  </r>
  <r>
    <x v="254"/>
    <s v="CC-10020"/>
    <x v="18"/>
    <s v="22:30"/>
    <x v="1"/>
    <x v="1"/>
    <x v="1"/>
    <x v="254"/>
    <x v="0"/>
    <x v="1"/>
    <m/>
    <s v="Andries Mahlangu"/>
    <n v="40000"/>
    <x v="2"/>
    <x v="1"/>
    <n v="2.4334000000000001E-2"/>
    <n v="0"/>
    <n v="0"/>
    <n v="0"/>
    <n v="0"/>
    <n v="0"/>
    <n v="0"/>
    <x v="1"/>
    <x v="0"/>
  </r>
  <r>
    <x v="255"/>
    <s v="CC-10020"/>
    <x v="213"/>
    <s v="18:48"/>
    <x v="37"/>
    <x v="10"/>
    <x v="0"/>
    <x v="255"/>
    <x v="3"/>
    <x v="1"/>
    <m/>
    <s v="Andries Mahlangu"/>
    <n v="40000"/>
    <x v="2"/>
    <x v="1"/>
    <n v="0.16828224999999999"/>
    <n v="0"/>
    <n v="0"/>
    <n v="0"/>
    <n v="0"/>
    <n v="1"/>
    <n v="1"/>
    <x v="3"/>
    <x v="2"/>
  </r>
  <r>
    <x v="256"/>
    <s v="CC-10020"/>
    <x v="214"/>
    <s v="10:01"/>
    <x v="0"/>
    <x v="0"/>
    <x v="1"/>
    <x v="256"/>
    <x v="2"/>
    <x v="1"/>
    <m/>
    <s v="Andries Mahlangu"/>
    <n v="40000"/>
    <x v="2"/>
    <x v="1"/>
    <n v="0.11172149999999999"/>
    <n v="1"/>
    <n v="0"/>
    <n v="0"/>
    <n v="0"/>
    <n v="0"/>
    <n v="0"/>
    <x v="0"/>
    <x v="0"/>
  </r>
  <r>
    <x v="257"/>
    <s v="CC-10020"/>
    <x v="191"/>
    <s v="Unknown"/>
    <x v="12"/>
    <x v="3"/>
    <x v="1"/>
    <x v="257"/>
    <x v="1"/>
    <x v="0"/>
    <m/>
    <s v="Andries Mahlangu"/>
    <n v="40000"/>
    <x v="2"/>
    <x v="1"/>
    <n v="9.2870000000000001E-3"/>
    <n v="0"/>
    <n v="1"/>
    <n v="0"/>
    <n v="0"/>
    <n v="0"/>
    <n v="1"/>
    <x v="3"/>
    <x v="2"/>
  </r>
  <r>
    <x v="258"/>
    <s v="CC-10020"/>
    <x v="215"/>
    <s v="14:18"/>
    <x v="25"/>
    <x v="6"/>
    <x v="1"/>
    <x v="258"/>
    <x v="2"/>
    <x v="0"/>
    <m/>
    <s v="Andries Mahlangu"/>
    <n v="40000"/>
    <x v="2"/>
    <x v="1"/>
    <n v="4.1225499999999998E-2"/>
    <n v="0"/>
    <n v="0"/>
    <n v="0"/>
    <n v="0"/>
    <n v="0"/>
    <n v="0"/>
    <x v="1"/>
    <x v="0"/>
  </r>
  <r>
    <x v="259"/>
    <s v="CC-10020"/>
    <x v="216"/>
    <s v="10:39"/>
    <x v="12"/>
    <x v="3"/>
    <x v="1"/>
    <x v="259"/>
    <x v="2"/>
    <x v="0"/>
    <m/>
    <s v="Andries Mahlangu"/>
    <n v="40000"/>
    <x v="2"/>
    <x v="1"/>
    <n v="1.32905E-2"/>
    <n v="0"/>
    <n v="0"/>
    <n v="0"/>
    <n v="0"/>
    <n v="0"/>
    <n v="0"/>
    <x v="1"/>
    <x v="0"/>
  </r>
  <r>
    <x v="260"/>
    <s v="CC-10020"/>
    <x v="152"/>
    <s v="08:58"/>
    <x v="32"/>
    <x v="1"/>
    <x v="1"/>
    <x v="260"/>
    <x v="3"/>
    <x v="0"/>
    <m/>
    <s v="Andries Mahlangu"/>
    <n v="40000"/>
    <x v="2"/>
    <x v="1"/>
    <n v="1.6158499999999999E-2"/>
    <n v="0"/>
    <n v="0"/>
    <n v="0"/>
    <n v="0"/>
    <n v="0"/>
    <n v="1"/>
    <x v="0"/>
    <x v="0"/>
  </r>
  <r>
    <x v="261"/>
    <s v="CC-10020"/>
    <x v="217"/>
    <s v="22:40"/>
    <x v="31"/>
    <x v="11"/>
    <x v="7"/>
    <x v="261"/>
    <x v="2"/>
    <x v="0"/>
    <m/>
    <s v="Andries Mahlangu"/>
    <n v="40000"/>
    <x v="2"/>
    <x v="1"/>
    <n v="3.5563249999999998E-2"/>
    <n v="0"/>
    <n v="0"/>
    <n v="0"/>
    <n v="0"/>
    <n v="1"/>
    <n v="0"/>
    <x v="0"/>
    <x v="0"/>
  </r>
  <r>
    <x v="262"/>
    <s v="CC-10020"/>
    <x v="218"/>
    <s v="21:25"/>
    <x v="37"/>
    <x v="10"/>
    <x v="1"/>
    <x v="262"/>
    <x v="3"/>
    <x v="0"/>
    <m/>
    <s v="Andries Mahlangu"/>
    <n v="40000"/>
    <x v="2"/>
    <x v="1"/>
    <n v="0.25776199999999999"/>
    <n v="1"/>
    <n v="0"/>
    <n v="0"/>
    <n v="0"/>
    <n v="0"/>
    <n v="1"/>
    <x v="3"/>
    <x v="2"/>
  </r>
  <r>
    <x v="263"/>
    <s v="CC-10021"/>
    <x v="219"/>
    <s v="12:59"/>
    <x v="12"/>
    <x v="3"/>
    <x v="2"/>
    <x v="263"/>
    <x v="0"/>
    <x v="0"/>
    <m/>
    <s v="Thabo Mahlangu"/>
    <n v="50000"/>
    <x v="3"/>
    <x v="0"/>
    <n v="5.3264000000000002E-3"/>
    <n v="0"/>
    <n v="0"/>
    <n v="0"/>
    <n v="0"/>
    <n v="0"/>
    <n v="0"/>
    <x v="1"/>
    <x v="0"/>
  </r>
  <r>
    <x v="264"/>
    <s v="CC-10021"/>
    <x v="220"/>
    <s v="10:58"/>
    <x v="8"/>
    <x v="6"/>
    <x v="2"/>
    <x v="264"/>
    <x v="0"/>
    <x v="0"/>
    <m/>
    <s v="Thabo Mahlangu"/>
    <n v="50000"/>
    <x v="3"/>
    <x v="0"/>
    <n v="1.49284E-2"/>
    <n v="0"/>
    <n v="0"/>
    <n v="0"/>
    <n v="0"/>
    <n v="0"/>
    <n v="0"/>
    <x v="1"/>
    <x v="0"/>
  </r>
  <r>
    <x v="265"/>
    <s v="CC-10021"/>
    <x v="221"/>
    <s v="Unknown"/>
    <x v="8"/>
    <x v="6"/>
    <x v="2"/>
    <x v="265"/>
    <x v="2"/>
    <x v="0"/>
    <m/>
    <s v="Thabo Mahlangu"/>
    <n v="50000"/>
    <x v="3"/>
    <x v="0"/>
    <n v="1.3918E-2"/>
    <n v="0"/>
    <n v="1"/>
    <n v="0"/>
    <n v="0"/>
    <n v="0"/>
    <n v="0"/>
    <x v="0"/>
    <x v="0"/>
  </r>
  <r>
    <x v="266"/>
    <s v="CC-10021"/>
    <x v="54"/>
    <s v="14:30"/>
    <x v="9"/>
    <x v="3"/>
    <x v="2"/>
    <x v="266"/>
    <x v="0"/>
    <x v="0"/>
    <m/>
    <s v="Thabo Mahlangu"/>
    <n v="50000"/>
    <x v="3"/>
    <x v="0"/>
    <n v="2.568E-3"/>
    <n v="0"/>
    <n v="0"/>
    <n v="0"/>
    <n v="0"/>
    <n v="0"/>
    <n v="0"/>
    <x v="1"/>
    <x v="0"/>
  </r>
  <r>
    <x v="267"/>
    <s v="CC-10021"/>
    <x v="69"/>
    <s v="Unknown"/>
    <x v="8"/>
    <x v="6"/>
    <x v="2"/>
    <x v="267"/>
    <x v="3"/>
    <x v="0"/>
    <m/>
    <s v="Thabo Mahlangu"/>
    <n v="50000"/>
    <x v="3"/>
    <x v="0"/>
    <n v="2.6671199999999999E-2"/>
    <n v="0"/>
    <n v="1"/>
    <n v="0"/>
    <n v="0"/>
    <n v="0"/>
    <n v="1"/>
    <x v="3"/>
    <x v="2"/>
  </r>
  <r>
    <x v="268"/>
    <s v="CC-10021"/>
    <x v="222"/>
    <s v="14:11"/>
    <x v="1"/>
    <x v="1"/>
    <x v="2"/>
    <x v="268"/>
    <x v="2"/>
    <x v="0"/>
    <m/>
    <s v="Thabo Mahlangu"/>
    <n v="50000"/>
    <x v="3"/>
    <x v="0"/>
    <n v="2.8264000000000001E-2"/>
    <n v="0"/>
    <n v="0"/>
    <n v="0"/>
    <n v="0"/>
    <n v="0"/>
    <n v="0"/>
    <x v="1"/>
    <x v="0"/>
  </r>
  <r>
    <x v="269"/>
    <s v="CC-10021"/>
    <x v="223"/>
    <s v="20:20"/>
    <x v="20"/>
    <x v="6"/>
    <x v="2"/>
    <x v="269"/>
    <x v="0"/>
    <x v="0"/>
    <m/>
    <s v="Thabo Mahlangu"/>
    <n v="50000"/>
    <x v="3"/>
    <x v="0"/>
    <n v="2.85014E-2"/>
    <n v="0"/>
    <n v="0"/>
    <n v="0"/>
    <n v="0"/>
    <n v="1"/>
    <n v="0"/>
    <x v="0"/>
    <x v="0"/>
  </r>
  <r>
    <x v="270"/>
    <s v="CC-10021"/>
    <x v="218"/>
    <s v="07:15"/>
    <x v="14"/>
    <x v="0"/>
    <x v="2"/>
    <x v="270"/>
    <x v="1"/>
    <x v="1"/>
    <m/>
    <s v="Thabo Mahlangu"/>
    <n v="50000"/>
    <x v="3"/>
    <x v="0"/>
    <n v="4.05644E-2"/>
    <n v="0"/>
    <n v="0"/>
    <n v="0"/>
    <n v="0"/>
    <n v="0"/>
    <n v="1"/>
    <x v="0"/>
    <x v="0"/>
  </r>
  <r>
    <x v="271"/>
    <s v="CC-10021"/>
    <x v="224"/>
    <s v="22:05"/>
    <x v="39"/>
    <x v="5"/>
    <x v="2"/>
    <x v="271"/>
    <x v="3"/>
    <x v="0"/>
    <m/>
    <s v="Thabo Mahlangu"/>
    <n v="50000"/>
    <x v="3"/>
    <x v="0"/>
    <n v="1.9212E-2"/>
    <n v="0"/>
    <n v="0"/>
    <n v="0"/>
    <n v="0"/>
    <n v="0"/>
    <n v="1"/>
    <x v="0"/>
    <x v="0"/>
  </r>
  <r>
    <x v="272"/>
    <s v="CC-10021"/>
    <x v="225"/>
    <s v="22:42"/>
    <x v="27"/>
    <x v="2"/>
    <x v="2"/>
    <x v="272"/>
    <x v="0"/>
    <x v="1"/>
    <m/>
    <s v="Thabo Mahlangu"/>
    <n v="50000"/>
    <x v="3"/>
    <x v="0"/>
    <n v="1.41148E-2"/>
    <n v="0"/>
    <n v="0"/>
    <n v="0"/>
    <n v="0"/>
    <n v="0"/>
    <n v="0"/>
    <x v="1"/>
    <x v="0"/>
  </r>
  <r>
    <x v="273"/>
    <s v="CC-10021"/>
    <x v="226"/>
    <s v="12:14"/>
    <x v="29"/>
    <x v="6"/>
    <x v="2"/>
    <x v="273"/>
    <x v="2"/>
    <x v="1"/>
    <m/>
    <s v="Thabo Mahlangu"/>
    <n v="50000"/>
    <x v="3"/>
    <x v="0"/>
    <n v="1.9324400000000002E-2"/>
    <n v="0"/>
    <n v="0"/>
    <n v="0"/>
    <n v="0"/>
    <n v="0"/>
    <n v="0"/>
    <x v="1"/>
    <x v="0"/>
  </r>
  <r>
    <x v="274"/>
    <s v="CC-10021"/>
    <x v="149"/>
    <s v="14:37"/>
    <x v="20"/>
    <x v="6"/>
    <x v="2"/>
    <x v="274"/>
    <x v="2"/>
    <x v="1"/>
    <m/>
    <s v="Thabo Mahlangu"/>
    <n v="50000"/>
    <x v="3"/>
    <x v="0"/>
    <n v="7.9774000000000008E-3"/>
    <n v="0"/>
    <n v="0"/>
    <n v="0"/>
    <n v="0"/>
    <n v="0"/>
    <n v="0"/>
    <x v="1"/>
    <x v="0"/>
  </r>
  <r>
    <x v="275"/>
    <s v="CC-10022"/>
    <x v="227"/>
    <s v="21:20"/>
    <x v="4"/>
    <x v="3"/>
    <x v="6"/>
    <x v="275"/>
    <x v="0"/>
    <x v="1"/>
    <m/>
    <s v="Sipho Nkosi"/>
    <n v="25000"/>
    <x v="2"/>
    <x v="0"/>
    <n v="2.3705199999999999E-2"/>
    <n v="0"/>
    <n v="0"/>
    <n v="0"/>
    <n v="0"/>
    <n v="0"/>
    <n v="0"/>
    <x v="1"/>
    <x v="0"/>
  </r>
  <r>
    <x v="276"/>
    <s v="CC-10022"/>
    <x v="228"/>
    <s v="15:26"/>
    <x v="27"/>
    <x v="2"/>
    <x v="5"/>
    <x v="276"/>
    <x v="1"/>
    <x v="0"/>
    <m/>
    <s v="Sipho Nkosi"/>
    <n v="25000"/>
    <x v="2"/>
    <x v="0"/>
    <n v="1.2379600000000001E-2"/>
    <n v="1"/>
    <n v="0"/>
    <n v="0"/>
    <n v="0"/>
    <n v="0"/>
    <n v="1"/>
    <x v="3"/>
    <x v="2"/>
  </r>
  <r>
    <x v="277"/>
    <s v="CC-10022"/>
    <x v="229"/>
    <s v="07:41"/>
    <x v="13"/>
    <x v="9"/>
    <x v="3"/>
    <x v="277"/>
    <x v="3"/>
    <x v="1"/>
    <m/>
    <s v="Sipho Nkosi"/>
    <n v="25000"/>
    <x v="2"/>
    <x v="0"/>
    <n v="2.49044E-2"/>
    <n v="1"/>
    <n v="0"/>
    <n v="0"/>
    <n v="0"/>
    <n v="0"/>
    <n v="1"/>
    <x v="3"/>
    <x v="2"/>
  </r>
  <r>
    <x v="278"/>
    <s v="CC-10022"/>
    <x v="230"/>
    <s v="11:28"/>
    <x v="6"/>
    <x v="2"/>
    <x v="0"/>
    <x v="278"/>
    <x v="2"/>
    <x v="0"/>
    <m/>
    <s v="Sipho Nkosi"/>
    <n v="25000"/>
    <x v="2"/>
    <x v="0"/>
    <n v="3.5656E-2"/>
    <n v="1"/>
    <n v="0"/>
    <n v="0"/>
    <n v="0"/>
    <n v="0"/>
    <n v="0"/>
    <x v="0"/>
    <x v="0"/>
  </r>
  <r>
    <x v="279"/>
    <s v="CC-10022"/>
    <x v="167"/>
    <s v="16:47"/>
    <x v="9"/>
    <x v="3"/>
    <x v="3"/>
    <x v="279"/>
    <x v="1"/>
    <x v="0"/>
    <m/>
    <s v="Sipho Nkosi"/>
    <n v="25000"/>
    <x v="2"/>
    <x v="0"/>
    <n v="1.44704E-2"/>
    <n v="1"/>
    <n v="0"/>
    <n v="0"/>
    <n v="0"/>
    <n v="0"/>
    <n v="1"/>
    <x v="3"/>
    <x v="2"/>
  </r>
  <r>
    <x v="280"/>
    <s v="CC-10022"/>
    <x v="146"/>
    <s v="15:37"/>
    <x v="12"/>
    <x v="3"/>
    <x v="6"/>
    <x v="280"/>
    <x v="3"/>
    <x v="0"/>
    <m/>
    <s v="Sipho Nkosi"/>
    <n v="25000"/>
    <x v="2"/>
    <x v="0"/>
    <n v="1.6439599999999999E-2"/>
    <n v="1"/>
    <n v="0"/>
    <n v="0"/>
    <n v="0"/>
    <n v="0"/>
    <n v="1"/>
    <x v="3"/>
    <x v="2"/>
  </r>
  <r>
    <x v="281"/>
    <s v="CC-10022"/>
    <x v="231"/>
    <s v="11:38"/>
    <x v="38"/>
    <x v="0"/>
    <x v="5"/>
    <x v="281"/>
    <x v="3"/>
    <x v="0"/>
    <m/>
    <s v="Sipho Nkosi"/>
    <n v="25000"/>
    <x v="2"/>
    <x v="0"/>
    <n v="0.13597239999999999"/>
    <n v="1"/>
    <n v="0"/>
    <n v="0"/>
    <n v="0"/>
    <n v="0"/>
    <n v="1"/>
    <x v="3"/>
    <x v="2"/>
  </r>
  <r>
    <x v="282"/>
    <s v="CC-10022"/>
    <x v="232"/>
    <s v="19:23"/>
    <x v="38"/>
    <x v="0"/>
    <x v="5"/>
    <x v="282"/>
    <x v="2"/>
    <x v="0"/>
    <m/>
    <s v="Sipho Nkosi"/>
    <n v="25000"/>
    <x v="2"/>
    <x v="0"/>
    <n v="3.5626399999999996E-2"/>
    <n v="1"/>
    <n v="0"/>
    <n v="0"/>
    <n v="0"/>
    <n v="0"/>
    <n v="0"/>
    <x v="0"/>
    <x v="0"/>
  </r>
  <r>
    <x v="283"/>
    <s v="CC-10023"/>
    <x v="233"/>
    <s v="22:53"/>
    <x v="3"/>
    <x v="2"/>
    <x v="5"/>
    <x v="283"/>
    <x v="0"/>
    <x v="0"/>
    <m/>
    <s v="Sanele Khumalo"/>
    <n v="80000"/>
    <x v="0"/>
    <x v="1"/>
    <n v="1.0420125000000001E-2"/>
    <n v="1"/>
    <n v="0"/>
    <n v="0"/>
    <n v="0"/>
    <n v="0"/>
    <n v="0"/>
    <x v="0"/>
    <x v="0"/>
  </r>
  <r>
    <x v="284"/>
    <s v="CC-10023"/>
    <x v="9"/>
    <s v="20:00"/>
    <x v="4"/>
    <x v="3"/>
    <x v="4"/>
    <x v="284"/>
    <x v="1"/>
    <x v="0"/>
    <m/>
    <s v="Sanele Khumalo"/>
    <n v="80000"/>
    <x v="0"/>
    <x v="1"/>
    <n v="7.661750000000001E-3"/>
    <n v="1"/>
    <n v="0"/>
    <n v="0"/>
    <n v="0"/>
    <n v="0"/>
    <n v="1"/>
    <x v="3"/>
    <x v="2"/>
  </r>
  <r>
    <x v="285"/>
    <s v="CC-10023"/>
    <x v="234"/>
    <s v="16:54"/>
    <x v="28"/>
    <x v="4"/>
    <x v="4"/>
    <x v="285"/>
    <x v="0"/>
    <x v="0"/>
    <m/>
    <s v="Sanele Khumalo"/>
    <n v="80000"/>
    <x v="0"/>
    <x v="1"/>
    <n v="3.6452500000000001E-3"/>
    <n v="0"/>
    <n v="0"/>
    <n v="0"/>
    <n v="0"/>
    <n v="0"/>
    <n v="0"/>
    <x v="1"/>
    <x v="0"/>
  </r>
  <r>
    <x v="286"/>
    <s v="CC-10023"/>
    <x v="45"/>
    <s v="12:24"/>
    <x v="0"/>
    <x v="0"/>
    <x v="4"/>
    <x v="286"/>
    <x v="3"/>
    <x v="0"/>
    <m/>
    <s v="Sanele Khumalo"/>
    <n v="80000"/>
    <x v="0"/>
    <x v="1"/>
    <n v="2.2512500000000001E-2"/>
    <n v="0"/>
    <n v="0"/>
    <n v="0"/>
    <n v="0"/>
    <n v="0"/>
    <n v="1"/>
    <x v="0"/>
    <x v="0"/>
  </r>
  <r>
    <x v="287"/>
    <s v="CC-10023"/>
    <x v="235"/>
    <s v="16:23"/>
    <x v="35"/>
    <x v="0"/>
    <x v="4"/>
    <x v="287"/>
    <x v="3"/>
    <x v="0"/>
    <m/>
    <s v="Sanele Khumalo"/>
    <n v="80000"/>
    <x v="0"/>
    <x v="1"/>
    <n v="3.7686375000000001E-2"/>
    <n v="0"/>
    <n v="0"/>
    <n v="0"/>
    <n v="0"/>
    <n v="0"/>
    <n v="1"/>
    <x v="0"/>
    <x v="0"/>
  </r>
  <r>
    <x v="288"/>
    <s v="CC-10023"/>
    <x v="82"/>
    <s v="15:38"/>
    <x v="19"/>
    <x v="6"/>
    <x v="4"/>
    <x v="288"/>
    <x v="0"/>
    <x v="0"/>
    <m/>
    <s v="Sanele Khumalo"/>
    <n v="80000"/>
    <x v="0"/>
    <x v="1"/>
    <n v="1.1015E-2"/>
    <n v="0"/>
    <n v="0"/>
    <n v="0"/>
    <n v="0"/>
    <n v="0"/>
    <n v="0"/>
    <x v="1"/>
    <x v="0"/>
  </r>
  <r>
    <x v="289"/>
    <s v="CC-10023"/>
    <x v="30"/>
    <s v="14:50"/>
    <x v="38"/>
    <x v="0"/>
    <x v="4"/>
    <x v="289"/>
    <x v="0"/>
    <x v="0"/>
    <m/>
    <s v="Sanele Khumalo"/>
    <n v="80000"/>
    <x v="0"/>
    <x v="1"/>
    <n v="2.601375E-3"/>
    <n v="0"/>
    <n v="0"/>
    <n v="0"/>
    <n v="0"/>
    <n v="0"/>
    <n v="0"/>
    <x v="1"/>
    <x v="0"/>
  </r>
  <r>
    <x v="290"/>
    <s v="CC-10023"/>
    <x v="236"/>
    <s v="10:36"/>
    <x v="37"/>
    <x v="10"/>
    <x v="4"/>
    <x v="290"/>
    <x v="1"/>
    <x v="0"/>
    <m/>
    <s v="Sanele Khumalo"/>
    <n v="80000"/>
    <x v="0"/>
    <x v="1"/>
    <n v="0.14903525000000001"/>
    <n v="0"/>
    <n v="0"/>
    <n v="0"/>
    <n v="0"/>
    <n v="0"/>
    <n v="1"/>
    <x v="0"/>
    <x v="0"/>
  </r>
  <r>
    <x v="291"/>
    <s v="CC-10023"/>
    <x v="237"/>
    <s v="14:47"/>
    <x v="39"/>
    <x v="5"/>
    <x v="0"/>
    <x v="291"/>
    <x v="2"/>
    <x v="0"/>
    <m/>
    <s v="Sanele Khumalo"/>
    <n v="80000"/>
    <x v="0"/>
    <x v="1"/>
    <n v="2.0683375E-2"/>
    <n v="0"/>
    <n v="0"/>
    <n v="0"/>
    <n v="0"/>
    <n v="0"/>
    <n v="0"/>
    <x v="1"/>
    <x v="0"/>
  </r>
  <r>
    <x v="292"/>
    <s v="CC-10023"/>
    <x v="238"/>
    <s v="11:55"/>
    <x v="8"/>
    <x v="6"/>
    <x v="4"/>
    <x v="292"/>
    <x v="0"/>
    <x v="1"/>
    <m/>
    <s v="Sanele Khumalo"/>
    <n v="80000"/>
    <x v="0"/>
    <x v="1"/>
    <n v="2.0045249999999997E-2"/>
    <n v="1"/>
    <n v="0"/>
    <n v="0"/>
    <n v="0"/>
    <n v="0"/>
    <n v="0"/>
    <x v="0"/>
    <x v="0"/>
  </r>
  <r>
    <x v="293"/>
    <s v="CC-10023"/>
    <x v="228"/>
    <s v="22:33"/>
    <x v="5"/>
    <x v="4"/>
    <x v="4"/>
    <x v="293"/>
    <x v="0"/>
    <x v="0"/>
    <m/>
    <s v="Sanele Khumalo"/>
    <n v="80000"/>
    <x v="0"/>
    <x v="1"/>
    <n v="3.3683750000000003E-3"/>
    <n v="0"/>
    <n v="0"/>
    <n v="0"/>
    <n v="0"/>
    <n v="0"/>
    <n v="0"/>
    <x v="1"/>
    <x v="0"/>
  </r>
  <r>
    <x v="294"/>
    <s v="CC-10023"/>
    <x v="106"/>
    <s v="12:20"/>
    <x v="19"/>
    <x v="6"/>
    <x v="8"/>
    <x v="294"/>
    <x v="2"/>
    <x v="0"/>
    <m/>
    <s v="Sanele Khumalo"/>
    <n v="80000"/>
    <x v="0"/>
    <x v="1"/>
    <n v="1.6938874999999999E-2"/>
    <n v="0"/>
    <n v="0"/>
    <n v="0"/>
    <n v="0"/>
    <n v="0"/>
    <n v="0"/>
    <x v="1"/>
    <x v="0"/>
  </r>
  <r>
    <x v="295"/>
    <s v="CC-10023"/>
    <x v="239"/>
    <s v="16:46"/>
    <x v="8"/>
    <x v="6"/>
    <x v="4"/>
    <x v="295"/>
    <x v="3"/>
    <x v="0"/>
    <m/>
    <s v="Sanele Khumalo"/>
    <n v="80000"/>
    <x v="0"/>
    <x v="1"/>
    <n v="1.7226499999999999E-2"/>
    <n v="1"/>
    <n v="0"/>
    <n v="0"/>
    <n v="0"/>
    <n v="0"/>
    <n v="1"/>
    <x v="3"/>
    <x v="2"/>
  </r>
  <r>
    <x v="296"/>
    <s v="CC-10023"/>
    <x v="240"/>
    <s v="08:24"/>
    <x v="37"/>
    <x v="10"/>
    <x v="4"/>
    <x v="296"/>
    <x v="2"/>
    <x v="0"/>
    <m/>
    <s v="Sanele Khumalo"/>
    <n v="80000"/>
    <x v="0"/>
    <x v="1"/>
    <n v="6.2669624999999993E-2"/>
    <n v="0"/>
    <n v="0"/>
    <n v="0"/>
    <n v="0"/>
    <n v="0"/>
    <n v="0"/>
    <x v="1"/>
    <x v="0"/>
  </r>
  <r>
    <x v="297"/>
    <s v="CC-10024"/>
    <x v="241"/>
    <s v="12:24"/>
    <x v="17"/>
    <x v="5"/>
    <x v="5"/>
    <x v="297"/>
    <x v="0"/>
    <x v="0"/>
    <m/>
    <s v="Precious Adams"/>
    <n v="20000"/>
    <x v="0"/>
    <x v="1"/>
    <n v="5.4361E-2"/>
    <n v="0"/>
    <n v="0"/>
    <n v="0"/>
    <n v="0"/>
    <n v="0"/>
    <n v="0"/>
    <x v="1"/>
    <x v="0"/>
  </r>
  <r>
    <x v="298"/>
    <s v="CC-10024"/>
    <x v="242"/>
    <s v="21:00"/>
    <x v="12"/>
    <x v="3"/>
    <x v="5"/>
    <x v="298"/>
    <x v="3"/>
    <x v="0"/>
    <m/>
    <s v="Precious Adams"/>
    <n v="20000"/>
    <x v="0"/>
    <x v="1"/>
    <n v="2.0747000000000002E-2"/>
    <n v="0"/>
    <n v="0"/>
    <n v="0"/>
    <n v="0"/>
    <n v="0"/>
    <n v="1"/>
    <x v="0"/>
    <x v="0"/>
  </r>
  <r>
    <x v="299"/>
    <s v="CC-10024"/>
    <x v="243"/>
    <s v="21:39"/>
    <x v="42"/>
    <x v="4"/>
    <x v="6"/>
    <x v="299"/>
    <x v="3"/>
    <x v="0"/>
    <m/>
    <s v="Precious Adams"/>
    <n v="20000"/>
    <x v="0"/>
    <x v="1"/>
    <n v="1.77345E-2"/>
    <n v="0"/>
    <n v="0"/>
    <n v="0"/>
    <n v="0"/>
    <n v="0"/>
    <n v="1"/>
    <x v="0"/>
    <x v="0"/>
  </r>
  <r>
    <x v="300"/>
    <s v="CC-10024"/>
    <x v="117"/>
    <s v="11:50"/>
    <x v="45"/>
    <x v="9"/>
    <x v="8"/>
    <x v="300"/>
    <x v="3"/>
    <x v="0"/>
    <s v="verified via OTP call"/>
    <s v="Precious Adams"/>
    <n v="20000"/>
    <x v="0"/>
    <x v="1"/>
    <n v="2.2786000000000001E-2"/>
    <n v="1"/>
    <n v="0"/>
    <n v="0"/>
    <n v="0"/>
    <n v="0"/>
    <n v="1"/>
    <x v="3"/>
    <x v="2"/>
  </r>
  <r>
    <x v="301"/>
    <s v="CC-10024"/>
    <x v="244"/>
    <s v="09:31"/>
    <x v="9"/>
    <x v="3"/>
    <x v="5"/>
    <x v="301"/>
    <x v="3"/>
    <x v="1"/>
    <m/>
    <s v="Precious Adams"/>
    <n v="20000"/>
    <x v="0"/>
    <x v="1"/>
    <n v="1.0359E-2"/>
    <n v="1"/>
    <n v="0"/>
    <n v="0"/>
    <n v="0"/>
    <n v="0"/>
    <n v="1"/>
    <x v="3"/>
    <x v="2"/>
  </r>
  <r>
    <x v="302"/>
    <s v="CC-10024"/>
    <x v="245"/>
    <s v="Unknown"/>
    <x v="0"/>
    <x v="0"/>
    <x v="0"/>
    <x v="302"/>
    <x v="1"/>
    <x v="0"/>
    <m/>
    <s v="Precious Adams"/>
    <n v="20000"/>
    <x v="0"/>
    <x v="1"/>
    <n v="9.0949000000000002E-2"/>
    <n v="0"/>
    <n v="1"/>
    <n v="0"/>
    <n v="0"/>
    <n v="0"/>
    <n v="1"/>
    <x v="3"/>
    <x v="2"/>
  </r>
  <r>
    <x v="303"/>
    <s v="CC-10024"/>
    <x v="246"/>
    <s v="19:48"/>
    <x v="5"/>
    <x v="4"/>
    <x v="5"/>
    <x v="303"/>
    <x v="3"/>
    <x v="0"/>
    <s v="chargeback initiated"/>
    <s v="Precious Adams"/>
    <n v="20000"/>
    <x v="0"/>
    <x v="1"/>
    <n v="2.2777499999999999E-2"/>
    <n v="1"/>
    <n v="0"/>
    <n v="0"/>
    <n v="0"/>
    <n v="0"/>
    <n v="1"/>
    <x v="3"/>
    <x v="2"/>
  </r>
  <r>
    <x v="304"/>
    <s v="CC-10024"/>
    <x v="204"/>
    <s v="13:28"/>
    <x v="13"/>
    <x v="9"/>
    <x v="5"/>
    <x v="304"/>
    <x v="0"/>
    <x v="0"/>
    <m/>
    <s v="Precious Adams"/>
    <n v="20000"/>
    <x v="0"/>
    <x v="1"/>
    <n v="3.0010500000000002E-2"/>
    <n v="0"/>
    <n v="0"/>
    <n v="0"/>
    <n v="0"/>
    <n v="0"/>
    <n v="0"/>
    <x v="1"/>
    <x v="0"/>
  </r>
  <r>
    <x v="305"/>
    <s v="CC-10024"/>
    <x v="214"/>
    <s v="12:40"/>
    <x v="28"/>
    <x v="4"/>
    <x v="5"/>
    <x v="305"/>
    <x v="3"/>
    <x v="0"/>
    <m/>
    <s v="Precious Adams"/>
    <n v="20000"/>
    <x v="0"/>
    <x v="1"/>
    <n v="1.4076499999999999E-2"/>
    <n v="0"/>
    <n v="0"/>
    <n v="0"/>
    <n v="0"/>
    <n v="0"/>
    <n v="1"/>
    <x v="0"/>
    <x v="0"/>
  </r>
  <r>
    <x v="306"/>
    <s v="CC-10024"/>
    <x v="247"/>
    <s v="08:25"/>
    <x v="18"/>
    <x v="11"/>
    <x v="5"/>
    <x v="306"/>
    <x v="3"/>
    <x v="0"/>
    <m/>
    <s v="Precious Adams"/>
    <n v="20000"/>
    <x v="0"/>
    <x v="1"/>
    <n v="0.16246300000000002"/>
    <n v="0"/>
    <n v="0"/>
    <n v="0"/>
    <n v="0"/>
    <n v="0"/>
    <n v="1"/>
    <x v="0"/>
    <x v="0"/>
  </r>
  <r>
    <x v="307"/>
    <s v="CC-10024"/>
    <x v="248"/>
    <s v="22:52"/>
    <x v="22"/>
    <x v="5"/>
    <x v="5"/>
    <x v="307"/>
    <x v="2"/>
    <x v="0"/>
    <m/>
    <s v="Precious Adams"/>
    <n v="20000"/>
    <x v="0"/>
    <x v="1"/>
    <n v="1.3461000000000001E-2"/>
    <n v="0"/>
    <n v="0"/>
    <n v="0"/>
    <n v="0"/>
    <n v="0"/>
    <n v="0"/>
    <x v="1"/>
    <x v="0"/>
  </r>
  <r>
    <x v="308"/>
    <s v="CC-10024"/>
    <x v="8"/>
    <s v="11:25"/>
    <x v="9"/>
    <x v="3"/>
    <x v="5"/>
    <x v="308"/>
    <x v="1"/>
    <x v="0"/>
    <m/>
    <s v="Precious Adams"/>
    <n v="20000"/>
    <x v="0"/>
    <x v="1"/>
    <n v="2.0625000000000001E-2"/>
    <n v="0"/>
    <n v="0"/>
    <n v="0"/>
    <n v="0"/>
    <n v="0"/>
    <n v="1"/>
    <x v="0"/>
    <x v="0"/>
  </r>
  <r>
    <x v="309"/>
    <s v="CC-10024"/>
    <x v="247"/>
    <s v="08:06"/>
    <x v="32"/>
    <x v="1"/>
    <x v="5"/>
    <x v="309"/>
    <x v="2"/>
    <x v="0"/>
    <m/>
    <s v="Precious Adams"/>
    <n v="20000"/>
    <x v="0"/>
    <x v="1"/>
    <n v="0.14297799999999999"/>
    <n v="0"/>
    <n v="0"/>
    <n v="0"/>
    <n v="0"/>
    <n v="0"/>
    <n v="0"/>
    <x v="1"/>
    <x v="0"/>
  </r>
  <r>
    <x v="310"/>
    <s v="CC-10025"/>
    <x v="249"/>
    <s v="13:15"/>
    <x v="46"/>
    <x v="1"/>
    <x v="5"/>
    <x v="310"/>
    <x v="3"/>
    <x v="0"/>
    <m/>
    <s v="Kabelo Govender"/>
    <n v="80000"/>
    <x v="4"/>
    <x v="0"/>
    <n v="3.0716624999999997E-2"/>
    <n v="0"/>
    <n v="0"/>
    <n v="0"/>
    <n v="0"/>
    <n v="1"/>
    <n v="1"/>
    <x v="3"/>
    <x v="2"/>
  </r>
  <r>
    <x v="311"/>
    <s v="CC-10025"/>
    <x v="250"/>
    <s v="08:18"/>
    <x v="33"/>
    <x v="1"/>
    <x v="5"/>
    <x v="311"/>
    <x v="3"/>
    <x v="0"/>
    <m/>
    <s v="Kabelo Govender"/>
    <n v="80000"/>
    <x v="4"/>
    <x v="0"/>
    <n v="3.6065E-2"/>
    <n v="0"/>
    <n v="0"/>
    <n v="0"/>
    <n v="0"/>
    <n v="1"/>
    <n v="1"/>
    <x v="3"/>
    <x v="2"/>
  </r>
  <r>
    <x v="312"/>
    <s v="CC-10025"/>
    <x v="251"/>
    <s v="14:30"/>
    <x v="25"/>
    <x v="6"/>
    <x v="5"/>
    <x v="312"/>
    <x v="2"/>
    <x v="0"/>
    <m/>
    <s v="Kabelo Govender"/>
    <n v="80000"/>
    <x v="4"/>
    <x v="0"/>
    <n v="6.6532500000000003E-3"/>
    <n v="0"/>
    <n v="0"/>
    <n v="0"/>
    <n v="0"/>
    <n v="1"/>
    <n v="0"/>
    <x v="0"/>
    <x v="0"/>
  </r>
  <r>
    <x v="313"/>
    <s v="CC-10025"/>
    <x v="252"/>
    <s v="10:22"/>
    <x v="29"/>
    <x v="6"/>
    <x v="5"/>
    <x v="313"/>
    <x v="2"/>
    <x v="0"/>
    <m/>
    <s v="Kabelo Govender"/>
    <n v="80000"/>
    <x v="4"/>
    <x v="0"/>
    <n v="1.8656499999999999E-2"/>
    <n v="0"/>
    <n v="0"/>
    <n v="0"/>
    <n v="0"/>
    <n v="0"/>
    <n v="0"/>
    <x v="1"/>
    <x v="0"/>
  </r>
  <r>
    <x v="314"/>
    <s v="CC-10025"/>
    <x v="148"/>
    <s v="10:46"/>
    <x v="14"/>
    <x v="0"/>
    <x v="6"/>
    <x v="314"/>
    <x v="2"/>
    <x v="1"/>
    <m/>
    <s v="Kabelo Govender"/>
    <n v="80000"/>
    <x v="4"/>
    <x v="0"/>
    <n v="2.8042124999999998E-2"/>
    <n v="0"/>
    <n v="0"/>
    <n v="0"/>
    <n v="0"/>
    <n v="0"/>
    <n v="0"/>
    <x v="1"/>
    <x v="0"/>
  </r>
  <r>
    <x v="315"/>
    <s v="CC-10025"/>
    <x v="253"/>
    <s v="16:14"/>
    <x v="17"/>
    <x v="5"/>
    <x v="5"/>
    <x v="315"/>
    <x v="2"/>
    <x v="0"/>
    <m/>
    <s v="Kabelo Govender"/>
    <n v="80000"/>
    <x v="4"/>
    <x v="0"/>
    <n v="6.4122500000000004E-3"/>
    <n v="1"/>
    <n v="0"/>
    <n v="0"/>
    <n v="0"/>
    <n v="0"/>
    <n v="0"/>
    <x v="0"/>
    <x v="0"/>
  </r>
  <r>
    <x v="316"/>
    <s v="CC-10025"/>
    <x v="14"/>
    <s v="21:39"/>
    <x v="31"/>
    <x v="11"/>
    <x v="6"/>
    <x v="316"/>
    <x v="2"/>
    <x v="0"/>
    <m/>
    <s v="Kabelo Govender"/>
    <n v="80000"/>
    <x v="4"/>
    <x v="0"/>
    <n v="1.375875E-2"/>
    <n v="0"/>
    <n v="0"/>
    <n v="0"/>
    <n v="0"/>
    <n v="0"/>
    <n v="0"/>
    <x v="1"/>
    <x v="0"/>
  </r>
  <r>
    <x v="317"/>
    <s v="CC-10025"/>
    <x v="254"/>
    <s v="14:24"/>
    <x v="31"/>
    <x v="11"/>
    <x v="5"/>
    <x v="317"/>
    <x v="0"/>
    <x v="0"/>
    <m/>
    <s v="Kabelo Govender"/>
    <n v="80000"/>
    <x v="4"/>
    <x v="0"/>
    <n v="3.2474375E-2"/>
    <n v="1"/>
    <n v="0"/>
    <n v="0"/>
    <n v="0"/>
    <n v="0"/>
    <n v="0"/>
    <x v="0"/>
    <x v="0"/>
  </r>
  <r>
    <x v="318"/>
    <s v="CC-10025"/>
    <x v="255"/>
    <s v="16:19"/>
    <x v="42"/>
    <x v="4"/>
    <x v="8"/>
    <x v="318"/>
    <x v="1"/>
    <x v="0"/>
    <m/>
    <s v="Kabelo Govender"/>
    <n v="80000"/>
    <x v="4"/>
    <x v="0"/>
    <n v="4.5655000000000001E-3"/>
    <n v="0"/>
    <n v="0"/>
    <n v="0"/>
    <n v="0"/>
    <n v="0"/>
    <n v="1"/>
    <x v="0"/>
    <x v="0"/>
  </r>
  <r>
    <x v="319"/>
    <s v="CC-10025"/>
    <x v="256"/>
    <s v="11:03"/>
    <x v="25"/>
    <x v="6"/>
    <x v="5"/>
    <x v="319"/>
    <x v="0"/>
    <x v="0"/>
    <m/>
    <s v="Kabelo Govender"/>
    <n v="80000"/>
    <x v="4"/>
    <x v="0"/>
    <n v="1.9746625E-2"/>
    <n v="1"/>
    <n v="0"/>
    <n v="0"/>
    <n v="0"/>
    <n v="0"/>
    <n v="0"/>
    <x v="0"/>
    <x v="0"/>
  </r>
  <r>
    <x v="320"/>
    <s v="CC-10026"/>
    <x v="227"/>
    <s v="22:58"/>
    <x v="47"/>
    <x v="4"/>
    <x v="0"/>
    <x v="320"/>
    <x v="3"/>
    <x v="1"/>
    <m/>
    <s v="Sipho Naidoo"/>
    <n v="15000"/>
    <x v="3"/>
    <x v="0"/>
    <n v="2.9101333333333333E-2"/>
    <n v="0"/>
    <n v="0"/>
    <n v="0"/>
    <n v="0"/>
    <n v="0"/>
    <n v="1"/>
    <x v="0"/>
    <x v="0"/>
  </r>
  <r>
    <x v="321"/>
    <s v="CC-10026"/>
    <x v="230"/>
    <s v="08:38"/>
    <x v="27"/>
    <x v="2"/>
    <x v="0"/>
    <x v="321"/>
    <x v="0"/>
    <x v="0"/>
    <m/>
    <s v="Sipho Naidoo"/>
    <n v="15000"/>
    <x v="3"/>
    <x v="0"/>
    <n v="2.5478000000000001E-2"/>
    <n v="0"/>
    <n v="0"/>
    <n v="0"/>
    <n v="0"/>
    <n v="0"/>
    <n v="0"/>
    <x v="1"/>
    <x v="0"/>
  </r>
  <r>
    <x v="322"/>
    <s v="CC-10026"/>
    <x v="257"/>
    <s v="09:52"/>
    <x v="44"/>
    <x v="1"/>
    <x v="0"/>
    <x v="322"/>
    <x v="3"/>
    <x v="0"/>
    <m/>
    <s v="Sipho Naidoo"/>
    <n v="15000"/>
    <x v="3"/>
    <x v="0"/>
    <n v="8.1444000000000003E-2"/>
    <n v="0"/>
    <n v="0"/>
    <n v="0"/>
    <n v="0"/>
    <n v="0"/>
    <n v="1"/>
    <x v="0"/>
    <x v="0"/>
  </r>
  <r>
    <x v="323"/>
    <s v="CC-10026"/>
    <x v="249"/>
    <s v="18:41"/>
    <x v="8"/>
    <x v="6"/>
    <x v="0"/>
    <x v="323"/>
    <x v="2"/>
    <x v="0"/>
    <m/>
    <s v="Sipho Naidoo"/>
    <n v="15000"/>
    <x v="3"/>
    <x v="0"/>
    <n v="3.5103333333333334E-2"/>
    <n v="0"/>
    <n v="0"/>
    <n v="0"/>
    <n v="0"/>
    <n v="1"/>
    <n v="0"/>
    <x v="0"/>
    <x v="0"/>
  </r>
  <r>
    <x v="324"/>
    <s v="CC-10026"/>
    <x v="258"/>
    <s v="09:33"/>
    <x v="4"/>
    <x v="3"/>
    <x v="0"/>
    <x v="324"/>
    <x v="2"/>
    <x v="0"/>
    <m/>
    <s v="Sipho Naidoo"/>
    <n v="15000"/>
    <x v="3"/>
    <x v="0"/>
    <n v="2.5292666666666665E-2"/>
    <n v="0"/>
    <n v="0"/>
    <n v="0"/>
    <n v="0"/>
    <n v="0"/>
    <n v="0"/>
    <x v="1"/>
    <x v="0"/>
  </r>
  <r>
    <x v="325"/>
    <s v="CC-10026"/>
    <x v="129"/>
    <s v="13:01"/>
    <x v="3"/>
    <x v="2"/>
    <x v="0"/>
    <x v="325"/>
    <x v="3"/>
    <x v="0"/>
    <m/>
    <s v="Sipho Naidoo"/>
    <n v="15000"/>
    <x v="3"/>
    <x v="0"/>
    <n v="4.6280666666666671E-2"/>
    <n v="0"/>
    <n v="0"/>
    <n v="0"/>
    <n v="0"/>
    <n v="0"/>
    <n v="1"/>
    <x v="0"/>
    <x v="0"/>
  </r>
  <r>
    <x v="326"/>
    <s v="CC-10026"/>
    <x v="250"/>
    <s v="21:13"/>
    <x v="26"/>
    <x v="2"/>
    <x v="0"/>
    <x v="326"/>
    <x v="2"/>
    <x v="0"/>
    <m/>
    <s v="Sipho Naidoo"/>
    <n v="15000"/>
    <x v="3"/>
    <x v="0"/>
    <n v="3.1885333333333335E-2"/>
    <n v="0"/>
    <n v="0"/>
    <n v="0"/>
    <n v="0"/>
    <n v="0"/>
    <n v="0"/>
    <x v="1"/>
    <x v="0"/>
  </r>
  <r>
    <x v="327"/>
    <s v="CC-10026"/>
    <x v="259"/>
    <s v="07:08"/>
    <x v="19"/>
    <x v="6"/>
    <x v="0"/>
    <x v="327"/>
    <x v="3"/>
    <x v="0"/>
    <m/>
    <s v="Sipho Naidoo"/>
    <n v="15000"/>
    <x v="3"/>
    <x v="0"/>
    <n v="5.1779333333333337E-2"/>
    <n v="0"/>
    <n v="0"/>
    <n v="0"/>
    <n v="0"/>
    <n v="0"/>
    <n v="1"/>
    <x v="0"/>
    <x v="0"/>
  </r>
  <r>
    <x v="328"/>
    <s v="CC-10026"/>
    <x v="260"/>
    <s v="17:22"/>
    <x v="33"/>
    <x v="1"/>
    <x v="1"/>
    <x v="328"/>
    <x v="3"/>
    <x v="1"/>
    <m/>
    <s v="Sipho Naidoo"/>
    <n v="15000"/>
    <x v="3"/>
    <x v="0"/>
    <n v="7.2811333333333339E-2"/>
    <n v="0"/>
    <n v="0"/>
    <n v="0"/>
    <n v="0"/>
    <n v="0"/>
    <n v="1"/>
    <x v="0"/>
    <x v="0"/>
  </r>
  <r>
    <x v="329"/>
    <s v="CC-10026"/>
    <x v="203"/>
    <s v="11:45"/>
    <x v="38"/>
    <x v="0"/>
    <x v="0"/>
    <x v="329"/>
    <x v="3"/>
    <x v="1"/>
    <m/>
    <s v="Sipho Naidoo"/>
    <n v="15000"/>
    <x v="3"/>
    <x v="0"/>
    <n v="0.19553666666666669"/>
    <n v="1"/>
    <n v="0"/>
    <n v="0"/>
    <n v="0"/>
    <n v="1"/>
    <n v="1"/>
    <x v="2"/>
    <x v="1"/>
  </r>
  <r>
    <x v="330"/>
    <s v="CC-10026"/>
    <x v="160"/>
    <s v="14:02"/>
    <x v="21"/>
    <x v="8"/>
    <x v="0"/>
    <x v="330"/>
    <x v="1"/>
    <x v="0"/>
    <m/>
    <s v="Sipho Naidoo"/>
    <n v="15000"/>
    <x v="3"/>
    <x v="0"/>
    <n v="0.22146866666666667"/>
    <n v="0"/>
    <n v="0"/>
    <n v="0"/>
    <n v="0"/>
    <n v="0"/>
    <n v="1"/>
    <x v="0"/>
    <x v="0"/>
  </r>
  <r>
    <x v="331"/>
    <s v="CC-10026"/>
    <x v="222"/>
    <s v="07:25"/>
    <x v="44"/>
    <x v="1"/>
    <x v="0"/>
    <x v="331"/>
    <x v="0"/>
    <x v="0"/>
    <m/>
    <s v="Sipho Naidoo"/>
    <n v="15000"/>
    <x v="3"/>
    <x v="0"/>
    <n v="0.14931266666666668"/>
    <n v="0"/>
    <n v="0"/>
    <n v="0"/>
    <n v="0"/>
    <n v="1"/>
    <n v="0"/>
    <x v="0"/>
    <x v="0"/>
  </r>
  <r>
    <x v="332"/>
    <s v="CC-10026"/>
    <x v="261"/>
    <s v="15:48"/>
    <x v="40"/>
    <x v="11"/>
    <x v="5"/>
    <x v="332"/>
    <x v="3"/>
    <x v="1"/>
    <m/>
    <s v="Sipho Naidoo"/>
    <n v="15000"/>
    <x v="3"/>
    <x v="0"/>
    <n v="0.22493666666666667"/>
    <n v="0"/>
    <n v="0"/>
    <n v="0"/>
    <n v="0"/>
    <n v="1"/>
    <n v="1"/>
    <x v="3"/>
    <x v="2"/>
  </r>
  <r>
    <x v="333"/>
    <s v="CC-10026"/>
    <x v="262"/>
    <s v="15:44"/>
    <x v="18"/>
    <x v="11"/>
    <x v="0"/>
    <x v="333"/>
    <x v="3"/>
    <x v="0"/>
    <m/>
    <s v="Sipho Naidoo"/>
    <n v="15000"/>
    <x v="3"/>
    <x v="0"/>
    <n v="0.13473199999999999"/>
    <n v="1"/>
    <n v="0"/>
    <n v="0"/>
    <n v="0"/>
    <n v="0"/>
    <n v="1"/>
    <x v="3"/>
    <x v="2"/>
  </r>
  <r>
    <x v="334"/>
    <s v="CC-10026"/>
    <x v="263"/>
    <s v="21:46"/>
    <x v="5"/>
    <x v="4"/>
    <x v="0"/>
    <x v="334"/>
    <x v="3"/>
    <x v="0"/>
    <s v="chargeback initiated"/>
    <s v="Sipho Naidoo"/>
    <n v="15000"/>
    <x v="3"/>
    <x v="0"/>
    <n v="2.6182E-2"/>
    <n v="0"/>
    <n v="0"/>
    <n v="0"/>
    <n v="0"/>
    <n v="0"/>
    <n v="1"/>
    <x v="0"/>
    <x v="0"/>
  </r>
  <r>
    <x v="335"/>
    <s v="CC-10026"/>
    <x v="68"/>
    <s v="17:36"/>
    <x v="15"/>
    <x v="10"/>
    <x v="0"/>
    <x v="335"/>
    <x v="2"/>
    <x v="0"/>
    <m/>
    <s v="Sipho Naidoo"/>
    <n v="15000"/>
    <x v="3"/>
    <x v="0"/>
    <n v="0.85848000000000002"/>
    <n v="0"/>
    <n v="0"/>
    <n v="0"/>
    <n v="0"/>
    <n v="0"/>
    <n v="0"/>
    <x v="1"/>
    <x v="0"/>
  </r>
  <r>
    <x v="336"/>
    <s v="CC-10027"/>
    <x v="264"/>
    <s v="13:54"/>
    <x v="11"/>
    <x v="8"/>
    <x v="0"/>
    <x v="336"/>
    <x v="2"/>
    <x v="0"/>
    <m/>
    <s v="Naledi Sithole"/>
    <n v="25000"/>
    <x v="0"/>
    <x v="0"/>
    <n v="0.19316119999999998"/>
    <n v="0"/>
    <n v="0"/>
    <n v="0"/>
    <n v="1"/>
    <n v="0"/>
    <n v="0"/>
    <x v="0"/>
    <x v="0"/>
  </r>
  <r>
    <x v="337"/>
    <s v="CC-10027"/>
    <x v="265"/>
    <s v="Unknown"/>
    <x v="24"/>
    <x v="3"/>
    <x v="0"/>
    <x v="337"/>
    <x v="2"/>
    <x v="0"/>
    <m/>
    <s v="Naledi Sithole"/>
    <n v="25000"/>
    <x v="0"/>
    <x v="0"/>
    <n v="1.7662400000000002E-2"/>
    <n v="0"/>
    <n v="1"/>
    <n v="0"/>
    <n v="0"/>
    <n v="1"/>
    <n v="0"/>
    <x v="3"/>
    <x v="2"/>
  </r>
  <r>
    <x v="338"/>
    <s v="CC-10027"/>
    <x v="266"/>
    <s v="14:26"/>
    <x v="27"/>
    <x v="2"/>
    <x v="0"/>
    <x v="338"/>
    <x v="1"/>
    <x v="0"/>
    <m/>
    <s v="Naledi Sithole"/>
    <n v="25000"/>
    <x v="0"/>
    <x v="0"/>
    <n v="2.8441599999999997E-2"/>
    <n v="0"/>
    <n v="0"/>
    <n v="0"/>
    <n v="0"/>
    <n v="0"/>
    <n v="1"/>
    <x v="0"/>
    <x v="0"/>
  </r>
  <r>
    <x v="339"/>
    <s v="CC-10027"/>
    <x v="198"/>
    <s v="08:45"/>
    <x v="42"/>
    <x v="4"/>
    <x v="0"/>
    <x v="339"/>
    <x v="3"/>
    <x v="0"/>
    <m/>
    <s v="Naledi Sithole"/>
    <n v="25000"/>
    <x v="0"/>
    <x v="0"/>
    <n v="1.15348E-2"/>
    <n v="0"/>
    <n v="0"/>
    <n v="0"/>
    <n v="0"/>
    <n v="0"/>
    <n v="1"/>
    <x v="0"/>
    <x v="0"/>
  </r>
  <r>
    <x v="340"/>
    <s v="CC-10027"/>
    <x v="267"/>
    <s v="15:53"/>
    <x v="27"/>
    <x v="2"/>
    <x v="4"/>
    <x v="340"/>
    <x v="2"/>
    <x v="0"/>
    <m/>
    <s v="Naledi Sithole"/>
    <n v="25000"/>
    <x v="0"/>
    <x v="0"/>
    <n v="1.46728E-2"/>
    <n v="0"/>
    <n v="0"/>
    <n v="0"/>
    <n v="0"/>
    <n v="0"/>
    <n v="0"/>
    <x v="1"/>
    <x v="0"/>
  </r>
  <r>
    <x v="341"/>
    <s v="CC-10027"/>
    <x v="164"/>
    <s v="17:56"/>
    <x v="20"/>
    <x v="6"/>
    <x v="0"/>
    <x v="341"/>
    <x v="1"/>
    <x v="0"/>
    <m/>
    <s v="Naledi Sithole"/>
    <n v="25000"/>
    <x v="0"/>
    <x v="0"/>
    <n v="4.7703599999999999E-2"/>
    <n v="1"/>
    <n v="0"/>
    <n v="0"/>
    <n v="0"/>
    <n v="0"/>
    <n v="1"/>
    <x v="3"/>
    <x v="2"/>
  </r>
  <r>
    <x v="342"/>
    <s v="CC-10027"/>
    <x v="107"/>
    <s v="Unknown"/>
    <x v="31"/>
    <x v="11"/>
    <x v="7"/>
    <x v="342"/>
    <x v="1"/>
    <x v="1"/>
    <m/>
    <s v="Naledi Sithole"/>
    <n v="25000"/>
    <x v="0"/>
    <x v="0"/>
    <n v="4.0869999999999997E-2"/>
    <n v="0"/>
    <n v="1"/>
    <n v="0"/>
    <n v="0"/>
    <n v="0"/>
    <n v="1"/>
    <x v="3"/>
    <x v="2"/>
  </r>
  <r>
    <x v="343"/>
    <s v="CC-10027"/>
    <x v="268"/>
    <s v="10:30"/>
    <x v="24"/>
    <x v="3"/>
    <x v="0"/>
    <x v="343"/>
    <x v="3"/>
    <x v="0"/>
    <m/>
    <s v="Naledi Sithole"/>
    <n v="25000"/>
    <x v="0"/>
    <x v="0"/>
    <n v="2.2369200000000002E-2"/>
    <n v="1"/>
    <n v="0"/>
    <n v="0"/>
    <n v="0"/>
    <n v="0"/>
    <n v="1"/>
    <x v="3"/>
    <x v="2"/>
  </r>
  <r>
    <x v="344"/>
    <s v="CC-10027"/>
    <x v="17"/>
    <s v="Unknown"/>
    <x v="18"/>
    <x v="11"/>
    <x v="0"/>
    <x v="344"/>
    <x v="0"/>
    <x v="0"/>
    <m/>
    <s v="Naledi Sithole"/>
    <n v="25000"/>
    <x v="0"/>
    <x v="0"/>
    <n v="0.11467479999999999"/>
    <n v="0"/>
    <n v="1"/>
    <n v="0"/>
    <n v="0"/>
    <n v="0"/>
    <n v="0"/>
    <x v="0"/>
    <x v="0"/>
  </r>
  <r>
    <x v="345"/>
    <s v="CC-10027"/>
    <x v="269"/>
    <s v="07:07"/>
    <x v="29"/>
    <x v="6"/>
    <x v="1"/>
    <x v="345"/>
    <x v="3"/>
    <x v="0"/>
    <m/>
    <s v="Naledi Sithole"/>
    <n v="25000"/>
    <x v="0"/>
    <x v="0"/>
    <n v="6.2408000000000003E-3"/>
    <n v="0"/>
    <n v="0"/>
    <n v="0"/>
    <n v="0"/>
    <n v="0"/>
    <n v="1"/>
    <x v="0"/>
    <x v="0"/>
  </r>
  <r>
    <x v="346"/>
    <s v="CC-10027"/>
    <x v="270"/>
    <s v="17:05"/>
    <x v="7"/>
    <x v="5"/>
    <x v="2"/>
    <x v="346"/>
    <x v="0"/>
    <x v="0"/>
    <m/>
    <s v="Naledi Sithole"/>
    <n v="25000"/>
    <x v="0"/>
    <x v="0"/>
    <n v="7.0514399999999991E-2"/>
    <n v="1"/>
    <n v="0"/>
    <n v="0"/>
    <n v="0"/>
    <n v="0"/>
    <n v="0"/>
    <x v="0"/>
    <x v="0"/>
  </r>
  <r>
    <x v="347"/>
    <s v="CC-10027"/>
    <x v="15"/>
    <s v="22:59"/>
    <x v="15"/>
    <x v="10"/>
    <x v="0"/>
    <x v="347"/>
    <x v="0"/>
    <x v="0"/>
    <m/>
    <s v="Naledi Sithole"/>
    <n v="25000"/>
    <x v="0"/>
    <x v="0"/>
    <n v="0.32913760000000003"/>
    <n v="1"/>
    <n v="0"/>
    <n v="0"/>
    <n v="0"/>
    <n v="0"/>
    <n v="0"/>
    <x v="0"/>
    <x v="0"/>
  </r>
  <r>
    <x v="348"/>
    <s v="CC-10028"/>
    <x v="210"/>
    <s v="11:50"/>
    <x v="13"/>
    <x v="9"/>
    <x v="8"/>
    <x v="348"/>
    <x v="2"/>
    <x v="0"/>
    <m/>
    <s v="Pieter Naidoo"/>
    <n v="60000"/>
    <x v="4"/>
    <x v="0"/>
    <n v="1.30615E-2"/>
    <n v="0"/>
    <n v="0"/>
    <n v="0"/>
    <n v="0"/>
    <n v="0"/>
    <n v="0"/>
    <x v="1"/>
    <x v="0"/>
  </r>
  <r>
    <x v="349"/>
    <s v="CC-10028"/>
    <x v="271"/>
    <s v="17:10"/>
    <x v="21"/>
    <x v="8"/>
    <x v="1"/>
    <x v="349"/>
    <x v="1"/>
    <x v="0"/>
    <m/>
    <s v="Pieter Naidoo"/>
    <n v="60000"/>
    <x v="4"/>
    <x v="0"/>
    <n v="1.7146166666666667E-2"/>
    <n v="1"/>
    <n v="0"/>
    <n v="0"/>
    <n v="0"/>
    <n v="0"/>
    <n v="1"/>
    <x v="3"/>
    <x v="2"/>
  </r>
  <r>
    <x v="350"/>
    <s v="CC-10028"/>
    <x v="44"/>
    <s v="22:53"/>
    <x v="33"/>
    <x v="1"/>
    <x v="1"/>
    <x v="350"/>
    <x v="2"/>
    <x v="0"/>
    <m/>
    <s v="Pieter Naidoo"/>
    <n v="60000"/>
    <x v="4"/>
    <x v="0"/>
    <n v="4.6047166666666667E-2"/>
    <n v="0"/>
    <n v="0"/>
    <n v="0"/>
    <n v="0"/>
    <n v="1"/>
    <n v="0"/>
    <x v="0"/>
    <x v="0"/>
  </r>
  <r>
    <x v="351"/>
    <s v="CC-10028"/>
    <x v="202"/>
    <s v="Unknown"/>
    <x v="35"/>
    <x v="0"/>
    <x v="1"/>
    <x v="351"/>
    <x v="2"/>
    <x v="0"/>
    <m/>
    <s v="Pieter Naidoo"/>
    <n v="60000"/>
    <x v="4"/>
    <x v="0"/>
    <n v="6.7825999999999997E-2"/>
    <n v="0"/>
    <n v="1"/>
    <n v="0"/>
    <n v="0"/>
    <n v="1"/>
    <n v="0"/>
    <x v="3"/>
    <x v="2"/>
  </r>
  <r>
    <x v="352"/>
    <s v="CC-10028"/>
    <x v="272"/>
    <s v="18:01"/>
    <x v="4"/>
    <x v="3"/>
    <x v="1"/>
    <x v="352"/>
    <x v="3"/>
    <x v="1"/>
    <m/>
    <s v="Pieter Naidoo"/>
    <n v="60000"/>
    <x v="4"/>
    <x v="0"/>
    <n v="9.491833333333333E-3"/>
    <n v="0"/>
    <n v="0"/>
    <n v="0"/>
    <n v="0"/>
    <n v="0"/>
    <n v="1"/>
    <x v="0"/>
    <x v="0"/>
  </r>
  <r>
    <x v="353"/>
    <s v="CC-10028"/>
    <x v="273"/>
    <s v="20:42"/>
    <x v="9"/>
    <x v="3"/>
    <x v="7"/>
    <x v="353"/>
    <x v="2"/>
    <x v="0"/>
    <m/>
    <s v="Pieter Naidoo"/>
    <n v="60000"/>
    <x v="4"/>
    <x v="0"/>
    <n v="5.1544999999999994E-3"/>
    <n v="0"/>
    <n v="0"/>
    <n v="0"/>
    <n v="0"/>
    <n v="0"/>
    <n v="0"/>
    <x v="1"/>
    <x v="0"/>
  </r>
  <r>
    <x v="354"/>
    <s v="CC-10028"/>
    <x v="274"/>
    <s v="22:29"/>
    <x v="7"/>
    <x v="5"/>
    <x v="1"/>
    <x v="354"/>
    <x v="3"/>
    <x v="1"/>
    <m/>
    <s v="Pieter Naidoo"/>
    <n v="60000"/>
    <x v="4"/>
    <x v="0"/>
    <n v="1.9649166666666669E-2"/>
    <n v="1"/>
    <n v="0"/>
    <n v="0"/>
    <n v="0"/>
    <n v="0"/>
    <n v="1"/>
    <x v="3"/>
    <x v="2"/>
  </r>
  <r>
    <x v="355"/>
    <s v="CC-10028"/>
    <x v="275"/>
    <s v="18:01"/>
    <x v="3"/>
    <x v="2"/>
    <x v="7"/>
    <x v="355"/>
    <x v="3"/>
    <x v="0"/>
    <m/>
    <s v="Pieter Naidoo"/>
    <n v="60000"/>
    <x v="4"/>
    <x v="0"/>
    <n v="1.9471166666666668E-2"/>
    <n v="0"/>
    <n v="0"/>
    <n v="0"/>
    <n v="0"/>
    <n v="0"/>
    <n v="1"/>
    <x v="0"/>
    <x v="0"/>
  </r>
  <r>
    <x v="356"/>
    <s v="CC-10028"/>
    <x v="49"/>
    <s v="21:49"/>
    <x v="24"/>
    <x v="3"/>
    <x v="1"/>
    <x v="356"/>
    <x v="2"/>
    <x v="0"/>
    <s v="customer disputed - under review"/>
    <s v="Pieter Naidoo"/>
    <n v="60000"/>
    <x v="4"/>
    <x v="0"/>
    <n v="4.5436666666666663E-3"/>
    <n v="1"/>
    <n v="0"/>
    <n v="0"/>
    <n v="0"/>
    <n v="0"/>
    <n v="0"/>
    <x v="0"/>
    <x v="0"/>
  </r>
  <r>
    <x v="357"/>
    <s v="CC-10028"/>
    <x v="51"/>
    <s v="15:53"/>
    <x v="32"/>
    <x v="1"/>
    <x v="7"/>
    <x v="357"/>
    <x v="0"/>
    <x v="1"/>
    <m/>
    <s v="Pieter Naidoo"/>
    <n v="60000"/>
    <x v="4"/>
    <x v="0"/>
    <n v="2.7019166666666667E-2"/>
    <n v="0"/>
    <n v="0"/>
    <n v="0"/>
    <n v="0"/>
    <n v="0"/>
    <n v="0"/>
    <x v="1"/>
    <x v="0"/>
  </r>
  <r>
    <x v="358"/>
    <s v="CC-10028"/>
    <x v="276"/>
    <s v="07:18"/>
    <x v="24"/>
    <x v="3"/>
    <x v="1"/>
    <x v="358"/>
    <x v="2"/>
    <x v="0"/>
    <m/>
    <s v="Pieter Naidoo"/>
    <n v="60000"/>
    <x v="4"/>
    <x v="0"/>
    <n v="7.4903333333333332E-3"/>
    <n v="1"/>
    <n v="0"/>
    <n v="0"/>
    <n v="0"/>
    <n v="1"/>
    <n v="0"/>
    <x v="3"/>
    <x v="2"/>
  </r>
  <r>
    <x v="359"/>
    <s v="CC-10028"/>
    <x v="86"/>
    <s v="14:21"/>
    <x v="8"/>
    <x v="6"/>
    <x v="1"/>
    <x v="359"/>
    <x v="2"/>
    <x v="1"/>
    <m/>
    <s v="Pieter Naidoo"/>
    <n v="60000"/>
    <x v="4"/>
    <x v="0"/>
    <n v="2.6005166666666666E-2"/>
    <n v="0"/>
    <n v="0"/>
    <n v="0"/>
    <n v="0"/>
    <n v="0"/>
    <n v="0"/>
    <x v="1"/>
    <x v="0"/>
  </r>
  <r>
    <x v="360"/>
    <s v="CC-10029"/>
    <x v="277"/>
    <s v="17:37"/>
    <x v="1"/>
    <x v="1"/>
    <x v="1"/>
    <x v="360"/>
    <x v="1"/>
    <x v="0"/>
    <m/>
    <s v="Pieter Adams"/>
    <n v="50000"/>
    <x v="1"/>
    <x v="1"/>
    <n v="2.4168400000000003E-2"/>
    <n v="0"/>
    <n v="0"/>
    <n v="0"/>
    <n v="0"/>
    <n v="0"/>
    <n v="1"/>
    <x v="0"/>
    <x v="0"/>
  </r>
  <r>
    <x v="361"/>
    <s v="CC-10029"/>
    <x v="278"/>
    <s v="22:28"/>
    <x v="35"/>
    <x v="0"/>
    <x v="6"/>
    <x v="361"/>
    <x v="2"/>
    <x v="0"/>
    <m/>
    <s v="Pieter Adams"/>
    <n v="50000"/>
    <x v="1"/>
    <x v="1"/>
    <n v="6.6436800000000004E-2"/>
    <n v="1"/>
    <n v="0"/>
    <n v="0"/>
    <n v="0"/>
    <n v="1"/>
    <n v="0"/>
    <x v="3"/>
    <x v="2"/>
  </r>
  <r>
    <x v="362"/>
    <s v="CC-10029"/>
    <x v="75"/>
    <s v="18:41"/>
    <x v="8"/>
    <x v="6"/>
    <x v="5"/>
    <x v="362"/>
    <x v="0"/>
    <x v="0"/>
    <m/>
    <s v="Pieter Adams"/>
    <n v="50000"/>
    <x v="1"/>
    <x v="1"/>
    <n v="1.6115600000000001E-2"/>
    <n v="1"/>
    <n v="0"/>
    <n v="0"/>
    <n v="0"/>
    <n v="0"/>
    <n v="0"/>
    <x v="0"/>
    <x v="0"/>
  </r>
  <r>
    <x v="363"/>
    <s v="CC-10029"/>
    <x v="279"/>
    <s v="14:44"/>
    <x v="8"/>
    <x v="6"/>
    <x v="5"/>
    <x v="363"/>
    <x v="1"/>
    <x v="1"/>
    <m/>
    <s v="Pieter Adams"/>
    <n v="50000"/>
    <x v="1"/>
    <x v="1"/>
    <n v="8.9179999999999988E-3"/>
    <n v="0"/>
    <n v="0"/>
    <n v="0"/>
    <n v="0"/>
    <n v="0"/>
    <n v="1"/>
    <x v="0"/>
    <x v="0"/>
  </r>
  <r>
    <x v="364"/>
    <s v="CC-10029"/>
    <x v="280"/>
    <s v="16:40"/>
    <x v="14"/>
    <x v="0"/>
    <x v="5"/>
    <x v="364"/>
    <x v="0"/>
    <x v="0"/>
    <m/>
    <s v="Pieter Adams"/>
    <n v="50000"/>
    <x v="1"/>
    <x v="1"/>
    <n v="8.4188000000000006E-3"/>
    <n v="0"/>
    <n v="0"/>
    <n v="0"/>
    <n v="0"/>
    <n v="0"/>
    <n v="0"/>
    <x v="1"/>
    <x v="0"/>
  </r>
  <r>
    <x v="365"/>
    <s v="CC-10029"/>
    <x v="281"/>
    <s v="18:16"/>
    <x v="40"/>
    <x v="11"/>
    <x v="5"/>
    <x v="365"/>
    <x v="2"/>
    <x v="0"/>
    <m/>
    <s v="Pieter Adams"/>
    <n v="50000"/>
    <x v="1"/>
    <x v="1"/>
    <n v="1.35604E-2"/>
    <n v="0"/>
    <n v="0"/>
    <n v="0"/>
    <n v="0"/>
    <n v="0"/>
    <n v="0"/>
    <x v="1"/>
    <x v="0"/>
  </r>
  <r>
    <x v="366"/>
    <s v="CC-10029"/>
    <x v="128"/>
    <s v="14:20"/>
    <x v="3"/>
    <x v="2"/>
    <x v="5"/>
    <x v="366"/>
    <x v="2"/>
    <x v="0"/>
    <m/>
    <s v="Pieter Adams"/>
    <n v="50000"/>
    <x v="1"/>
    <x v="1"/>
    <n v="2.1201399999999999E-2"/>
    <n v="0"/>
    <n v="0"/>
    <n v="0"/>
    <n v="0"/>
    <n v="0"/>
    <n v="0"/>
    <x v="1"/>
    <x v="0"/>
  </r>
  <r>
    <x v="367"/>
    <s v="CC-10029"/>
    <x v="282"/>
    <s v="19:13"/>
    <x v="14"/>
    <x v="0"/>
    <x v="4"/>
    <x v="367"/>
    <x v="0"/>
    <x v="1"/>
    <m/>
    <s v="Pieter Adams"/>
    <n v="50000"/>
    <x v="1"/>
    <x v="1"/>
    <n v="3.4091999999999997E-2"/>
    <n v="0"/>
    <n v="0"/>
    <n v="0"/>
    <n v="0"/>
    <n v="0"/>
    <n v="0"/>
    <x v="1"/>
    <x v="0"/>
  </r>
  <r>
    <x v="368"/>
    <s v="CC-10029"/>
    <x v="283"/>
    <s v="16:52"/>
    <x v="23"/>
    <x v="10"/>
    <x v="6"/>
    <x v="368"/>
    <x v="1"/>
    <x v="1"/>
    <m/>
    <s v="Pieter Adams"/>
    <n v="50000"/>
    <x v="1"/>
    <x v="1"/>
    <n v="0.3112704"/>
    <n v="1"/>
    <n v="0"/>
    <n v="0"/>
    <n v="0"/>
    <n v="0"/>
    <n v="1"/>
    <x v="3"/>
    <x v="2"/>
  </r>
  <r>
    <x v="369"/>
    <s v="CC-10029"/>
    <x v="284"/>
    <s v="22:54"/>
    <x v="47"/>
    <x v="4"/>
    <x v="8"/>
    <x v="369"/>
    <x v="2"/>
    <x v="0"/>
    <m/>
    <s v="Pieter Adams"/>
    <n v="50000"/>
    <x v="1"/>
    <x v="1"/>
    <n v="4.6731999999999997E-3"/>
    <n v="1"/>
    <n v="0"/>
    <n v="0"/>
    <n v="0"/>
    <n v="0"/>
    <n v="0"/>
    <x v="0"/>
    <x v="0"/>
  </r>
  <r>
    <x v="370"/>
    <s v="CC-10029"/>
    <x v="285"/>
    <s v="08:31"/>
    <x v="40"/>
    <x v="11"/>
    <x v="5"/>
    <x v="370"/>
    <x v="0"/>
    <x v="0"/>
    <m/>
    <s v="Pieter Adams"/>
    <n v="50000"/>
    <x v="1"/>
    <x v="1"/>
    <n v="1.32794E-2"/>
    <n v="1"/>
    <n v="0"/>
    <n v="0"/>
    <n v="0"/>
    <n v="0"/>
    <n v="0"/>
    <x v="0"/>
    <x v="0"/>
  </r>
  <r>
    <x v="371"/>
    <s v="CC-10029"/>
    <x v="236"/>
    <s v="15:31"/>
    <x v="5"/>
    <x v="4"/>
    <x v="5"/>
    <x v="371"/>
    <x v="3"/>
    <x v="0"/>
    <m/>
    <s v="Pieter Adams"/>
    <n v="50000"/>
    <x v="1"/>
    <x v="1"/>
    <n v="5.1034000000000001E-3"/>
    <n v="0"/>
    <n v="0"/>
    <n v="0"/>
    <n v="0"/>
    <n v="0"/>
    <n v="1"/>
    <x v="0"/>
    <x v="0"/>
  </r>
  <r>
    <x v="372"/>
    <s v="CC-10029"/>
    <x v="286"/>
    <s v="10:48"/>
    <x v="24"/>
    <x v="3"/>
    <x v="5"/>
    <x v="372"/>
    <x v="0"/>
    <x v="1"/>
    <m/>
    <s v="Pieter Adams"/>
    <n v="50000"/>
    <x v="1"/>
    <x v="1"/>
    <n v="7.509E-3"/>
    <n v="0"/>
    <n v="0"/>
    <n v="0"/>
    <n v="0"/>
    <n v="0"/>
    <n v="0"/>
    <x v="1"/>
    <x v="0"/>
  </r>
  <r>
    <x v="373"/>
    <s v="CC-10030"/>
    <x v="232"/>
    <s v="18:01"/>
    <x v="33"/>
    <x v="1"/>
    <x v="3"/>
    <x v="373"/>
    <x v="0"/>
    <x v="0"/>
    <m/>
    <s v="Johan Sithole"/>
    <n v="80000"/>
    <x v="3"/>
    <x v="1"/>
    <n v="3.5862999999999999E-2"/>
    <n v="0"/>
    <n v="0"/>
    <n v="0"/>
    <n v="0"/>
    <n v="0"/>
    <n v="0"/>
    <x v="1"/>
    <x v="0"/>
  </r>
  <r>
    <x v="374"/>
    <s v="CC-10030"/>
    <x v="287"/>
    <s v="16:35"/>
    <x v="5"/>
    <x v="4"/>
    <x v="3"/>
    <x v="374"/>
    <x v="2"/>
    <x v="1"/>
    <m/>
    <s v="Johan Sithole"/>
    <n v="80000"/>
    <x v="3"/>
    <x v="1"/>
    <n v="4.2928749999999998E-3"/>
    <n v="0"/>
    <n v="0"/>
    <n v="0"/>
    <n v="0"/>
    <n v="1"/>
    <n v="0"/>
    <x v="0"/>
    <x v="0"/>
  </r>
  <r>
    <x v="375"/>
    <s v="CC-10030"/>
    <x v="288"/>
    <s v="15:49"/>
    <x v="34"/>
    <x v="7"/>
    <x v="3"/>
    <x v="375"/>
    <x v="0"/>
    <x v="0"/>
    <m/>
    <s v="Johan Sithole"/>
    <n v="80000"/>
    <x v="3"/>
    <x v="1"/>
    <n v="1.15905E-2"/>
    <n v="0"/>
    <n v="0"/>
    <n v="0"/>
    <n v="0"/>
    <n v="0"/>
    <n v="0"/>
    <x v="1"/>
    <x v="0"/>
  </r>
  <r>
    <x v="376"/>
    <s v="CC-10030"/>
    <x v="255"/>
    <s v="20:16"/>
    <x v="12"/>
    <x v="3"/>
    <x v="3"/>
    <x v="376"/>
    <x v="1"/>
    <x v="1"/>
    <m/>
    <s v="Johan Sithole"/>
    <n v="80000"/>
    <x v="3"/>
    <x v="1"/>
    <n v="6.3082500000000005E-3"/>
    <n v="0"/>
    <n v="0"/>
    <n v="0"/>
    <n v="0"/>
    <n v="0"/>
    <n v="1"/>
    <x v="0"/>
    <x v="0"/>
  </r>
  <r>
    <x v="377"/>
    <s v="CC-10030"/>
    <x v="289"/>
    <s v="20:00"/>
    <x v="1"/>
    <x v="1"/>
    <x v="3"/>
    <x v="377"/>
    <x v="3"/>
    <x v="0"/>
    <m/>
    <s v="Johan Sithole"/>
    <n v="80000"/>
    <x v="3"/>
    <x v="1"/>
    <n v="1.93925E-2"/>
    <n v="0"/>
    <n v="0"/>
    <n v="0"/>
    <n v="0"/>
    <n v="0"/>
    <n v="1"/>
    <x v="0"/>
    <x v="0"/>
  </r>
  <r>
    <x v="378"/>
    <s v="CC-10030"/>
    <x v="123"/>
    <s v="08:36"/>
    <x v="41"/>
    <x v="7"/>
    <x v="3"/>
    <x v="378"/>
    <x v="2"/>
    <x v="0"/>
    <m/>
    <s v="Johan Sithole"/>
    <n v="80000"/>
    <x v="3"/>
    <x v="1"/>
    <n v="4.7821374999999999E-2"/>
    <n v="0"/>
    <n v="0"/>
    <n v="0"/>
    <n v="0"/>
    <n v="1"/>
    <n v="0"/>
    <x v="0"/>
    <x v="0"/>
  </r>
  <r>
    <x v="379"/>
    <s v="CC-10030"/>
    <x v="112"/>
    <s v="16:20"/>
    <x v="45"/>
    <x v="9"/>
    <x v="3"/>
    <x v="379"/>
    <x v="0"/>
    <x v="0"/>
    <m/>
    <s v="Johan Sithole"/>
    <n v="80000"/>
    <x v="3"/>
    <x v="1"/>
    <n v="3.8558750000000004E-3"/>
    <n v="0"/>
    <n v="0"/>
    <n v="0"/>
    <n v="0"/>
    <n v="0"/>
    <n v="0"/>
    <x v="1"/>
    <x v="0"/>
  </r>
  <r>
    <x v="380"/>
    <s v="CC-10030"/>
    <x v="290"/>
    <s v="10:17"/>
    <x v="24"/>
    <x v="3"/>
    <x v="3"/>
    <x v="380"/>
    <x v="0"/>
    <x v="1"/>
    <m/>
    <s v="Johan Sithole"/>
    <n v="80000"/>
    <x v="3"/>
    <x v="1"/>
    <n v="2.8251249999999999E-3"/>
    <n v="0"/>
    <n v="0"/>
    <n v="0"/>
    <n v="0"/>
    <n v="0"/>
    <n v="0"/>
    <x v="1"/>
    <x v="0"/>
  </r>
  <r>
    <x v="381"/>
    <s v="CC-10030"/>
    <x v="195"/>
    <s v="10:25"/>
    <x v="46"/>
    <x v="1"/>
    <x v="3"/>
    <x v="381"/>
    <x v="2"/>
    <x v="1"/>
    <s v="verified via OTP call"/>
    <s v="Johan Sithole"/>
    <n v="80000"/>
    <x v="3"/>
    <x v="1"/>
    <n v="2.3925624999999999E-2"/>
    <n v="0"/>
    <n v="0"/>
    <n v="0"/>
    <n v="0"/>
    <n v="0"/>
    <n v="0"/>
    <x v="1"/>
    <x v="0"/>
  </r>
  <r>
    <x v="382"/>
    <s v="CC-10030"/>
    <x v="291"/>
    <s v="10:48"/>
    <x v="35"/>
    <x v="0"/>
    <x v="3"/>
    <x v="382"/>
    <x v="2"/>
    <x v="0"/>
    <m/>
    <s v="Johan Sithole"/>
    <n v="80000"/>
    <x v="3"/>
    <x v="1"/>
    <n v="3.2805000000000001E-2"/>
    <n v="0"/>
    <n v="0"/>
    <n v="0"/>
    <n v="0"/>
    <n v="1"/>
    <n v="0"/>
    <x v="0"/>
    <x v="0"/>
  </r>
  <r>
    <x v="383"/>
    <s v="CC-10030"/>
    <x v="63"/>
    <s v="07:47"/>
    <x v="47"/>
    <x v="4"/>
    <x v="3"/>
    <x v="383"/>
    <x v="1"/>
    <x v="0"/>
    <m/>
    <s v="Johan Sithole"/>
    <n v="80000"/>
    <x v="3"/>
    <x v="1"/>
    <n v="3.9612499999999995E-3"/>
    <n v="0"/>
    <n v="0"/>
    <n v="0"/>
    <n v="0"/>
    <n v="0"/>
    <n v="1"/>
    <x v="0"/>
    <x v="0"/>
  </r>
  <r>
    <x v="384"/>
    <s v="CC-10030"/>
    <x v="292"/>
    <s v="10:51"/>
    <x v="38"/>
    <x v="0"/>
    <x v="3"/>
    <x v="384"/>
    <x v="1"/>
    <x v="1"/>
    <m/>
    <s v="Johan Sithole"/>
    <n v="80000"/>
    <x v="3"/>
    <x v="1"/>
    <n v="3.4069999999999996E-2"/>
    <n v="0"/>
    <n v="0"/>
    <n v="0"/>
    <n v="0"/>
    <n v="0"/>
    <n v="1"/>
    <x v="0"/>
    <x v="0"/>
  </r>
  <r>
    <x v="385"/>
    <s v="CC-10030"/>
    <x v="269"/>
    <s v="08:28"/>
    <x v="44"/>
    <x v="1"/>
    <x v="3"/>
    <x v="385"/>
    <x v="0"/>
    <x v="0"/>
    <m/>
    <s v="Johan Sithole"/>
    <n v="80000"/>
    <x v="3"/>
    <x v="1"/>
    <n v="2.3907249999999998E-2"/>
    <n v="0"/>
    <n v="0"/>
    <n v="0"/>
    <n v="0"/>
    <n v="0"/>
    <n v="0"/>
    <x v="1"/>
    <x v="0"/>
  </r>
  <r>
    <x v="386"/>
    <s v="CC-10030"/>
    <x v="144"/>
    <s v="22:29"/>
    <x v="2"/>
    <x v="2"/>
    <x v="3"/>
    <x v="386"/>
    <x v="2"/>
    <x v="1"/>
    <m/>
    <s v="Johan Sithole"/>
    <n v="80000"/>
    <x v="3"/>
    <x v="1"/>
    <n v="8.0523750000000005E-3"/>
    <n v="0"/>
    <n v="0"/>
    <n v="0"/>
    <n v="0"/>
    <n v="1"/>
    <n v="0"/>
    <x v="0"/>
    <x v="0"/>
  </r>
  <r>
    <x v="387"/>
    <s v="CC-10030"/>
    <x v="235"/>
    <s v="19:17"/>
    <x v="19"/>
    <x v="6"/>
    <x v="3"/>
    <x v="387"/>
    <x v="2"/>
    <x v="0"/>
    <m/>
    <s v="Johan Sithole"/>
    <n v="80000"/>
    <x v="3"/>
    <x v="1"/>
    <n v="2.2222499999999998E-3"/>
    <n v="0"/>
    <n v="0"/>
    <n v="0"/>
    <n v="0"/>
    <n v="0"/>
    <n v="0"/>
    <x v="1"/>
    <x v="0"/>
  </r>
  <r>
    <x v="388"/>
    <s v="CC-10031"/>
    <x v="129"/>
    <s v="17:15"/>
    <x v="26"/>
    <x v="2"/>
    <x v="5"/>
    <x v="388"/>
    <x v="0"/>
    <x v="0"/>
    <m/>
    <s v="Pieter Maseko"/>
    <n v="80000"/>
    <x v="0"/>
    <x v="0"/>
    <n v="1.1354625E-2"/>
    <n v="0"/>
    <n v="0"/>
    <n v="0"/>
    <n v="0"/>
    <n v="0"/>
    <n v="0"/>
    <x v="1"/>
    <x v="0"/>
  </r>
  <r>
    <x v="389"/>
    <s v="CC-10031"/>
    <x v="293"/>
    <s v="15:12"/>
    <x v="37"/>
    <x v="10"/>
    <x v="6"/>
    <x v="389"/>
    <x v="2"/>
    <x v="0"/>
    <m/>
    <s v="Pieter Maseko"/>
    <n v="80000"/>
    <x v="0"/>
    <x v="0"/>
    <n v="0.11611300000000001"/>
    <n v="1"/>
    <n v="0"/>
    <n v="0"/>
    <n v="0"/>
    <n v="0"/>
    <n v="0"/>
    <x v="0"/>
    <x v="0"/>
  </r>
  <r>
    <x v="390"/>
    <s v="CC-10031"/>
    <x v="15"/>
    <s v="20:47"/>
    <x v="13"/>
    <x v="9"/>
    <x v="6"/>
    <x v="390"/>
    <x v="3"/>
    <x v="1"/>
    <m/>
    <s v="Pieter Maseko"/>
    <n v="80000"/>
    <x v="0"/>
    <x v="0"/>
    <n v="8.4930000000000005E-3"/>
    <n v="0"/>
    <n v="0"/>
    <n v="0"/>
    <n v="0"/>
    <n v="0"/>
    <n v="1"/>
    <x v="0"/>
    <x v="0"/>
  </r>
  <r>
    <x v="391"/>
    <s v="CC-10031"/>
    <x v="195"/>
    <s v="12:58"/>
    <x v="4"/>
    <x v="3"/>
    <x v="6"/>
    <x v="391"/>
    <x v="1"/>
    <x v="1"/>
    <m/>
    <s v="Pieter Maseko"/>
    <n v="80000"/>
    <x v="0"/>
    <x v="0"/>
    <n v="3.5013750000000001E-3"/>
    <n v="0"/>
    <n v="0"/>
    <n v="0"/>
    <n v="0"/>
    <n v="0"/>
    <n v="1"/>
    <x v="0"/>
    <x v="0"/>
  </r>
  <r>
    <x v="392"/>
    <s v="CC-10031"/>
    <x v="294"/>
    <s v="10:43"/>
    <x v="3"/>
    <x v="2"/>
    <x v="5"/>
    <x v="392"/>
    <x v="0"/>
    <x v="1"/>
    <m/>
    <s v="Pieter Maseko"/>
    <n v="80000"/>
    <x v="0"/>
    <x v="0"/>
    <n v="5.4939999999999998E-3"/>
    <n v="0"/>
    <n v="0"/>
    <n v="0"/>
    <n v="0"/>
    <n v="0"/>
    <n v="0"/>
    <x v="1"/>
    <x v="0"/>
  </r>
  <r>
    <x v="393"/>
    <s v="CC-10031"/>
    <x v="207"/>
    <s v="10:30"/>
    <x v="32"/>
    <x v="1"/>
    <x v="5"/>
    <x v="393"/>
    <x v="1"/>
    <x v="0"/>
    <m/>
    <s v="Pieter Maseko"/>
    <n v="80000"/>
    <x v="0"/>
    <x v="0"/>
    <n v="4.6608750000000001E-3"/>
    <n v="1"/>
    <n v="0"/>
    <n v="0"/>
    <n v="0"/>
    <n v="0"/>
    <n v="1"/>
    <x v="3"/>
    <x v="2"/>
  </r>
  <r>
    <x v="394"/>
    <s v="CC-10031"/>
    <x v="295"/>
    <s v="14:25"/>
    <x v="40"/>
    <x v="11"/>
    <x v="6"/>
    <x v="394"/>
    <x v="0"/>
    <x v="0"/>
    <m/>
    <s v="Pieter Maseko"/>
    <n v="80000"/>
    <x v="0"/>
    <x v="0"/>
    <n v="3.0748124999999998E-2"/>
    <n v="1"/>
    <n v="0"/>
    <n v="0"/>
    <n v="0"/>
    <n v="1"/>
    <n v="0"/>
    <x v="3"/>
    <x v="2"/>
  </r>
  <r>
    <x v="395"/>
    <s v="CC-10031"/>
    <x v="198"/>
    <s v="15:11"/>
    <x v="12"/>
    <x v="3"/>
    <x v="5"/>
    <x v="395"/>
    <x v="0"/>
    <x v="0"/>
    <m/>
    <s v="Pieter Maseko"/>
    <n v="80000"/>
    <x v="0"/>
    <x v="0"/>
    <n v="6.2550000000000001E-3"/>
    <n v="0"/>
    <n v="0"/>
    <n v="0"/>
    <n v="0"/>
    <n v="0"/>
    <n v="0"/>
    <x v="1"/>
    <x v="0"/>
  </r>
  <r>
    <x v="396"/>
    <s v="CC-10031"/>
    <x v="296"/>
    <s v="13:56"/>
    <x v="18"/>
    <x v="11"/>
    <x v="6"/>
    <x v="396"/>
    <x v="1"/>
    <x v="0"/>
    <m/>
    <s v="Pieter Maseko"/>
    <n v="80000"/>
    <x v="0"/>
    <x v="0"/>
    <n v="8.5308750000000003E-3"/>
    <n v="1"/>
    <n v="0"/>
    <n v="0"/>
    <n v="0"/>
    <n v="0"/>
    <n v="1"/>
    <x v="3"/>
    <x v="2"/>
  </r>
  <r>
    <x v="397"/>
    <s v="CC-10032"/>
    <x v="297"/>
    <s v="12:40"/>
    <x v="1"/>
    <x v="1"/>
    <x v="0"/>
    <x v="397"/>
    <x v="1"/>
    <x v="1"/>
    <m/>
    <s v="Lerato Botha"/>
    <n v="15000"/>
    <x v="3"/>
    <x v="0"/>
    <n v="0.14410533333333334"/>
    <n v="0"/>
    <n v="0"/>
    <n v="0"/>
    <n v="0"/>
    <n v="0"/>
    <n v="1"/>
    <x v="0"/>
    <x v="0"/>
  </r>
  <r>
    <x v="398"/>
    <s v="CC-10032"/>
    <x v="298"/>
    <s v="18:53"/>
    <x v="13"/>
    <x v="9"/>
    <x v="0"/>
    <x v="398"/>
    <x v="2"/>
    <x v="0"/>
    <m/>
    <s v="Lerato Botha"/>
    <n v="15000"/>
    <x v="3"/>
    <x v="0"/>
    <n v="3.3126666666666665E-2"/>
    <n v="0"/>
    <n v="0"/>
    <n v="0"/>
    <n v="0"/>
    <n v="1"/>
    <n v="0"/>
    <x v="0"/>
    <x v="0"/>
  </r>
  <r>
    <x v="399"/>
    <s v="CC-10032"/>
    <x v="128"/>
    <s v="19:17"/>
    <x v="14"/>
    <x v="0"/>
    <x v="0"/>
    <x v="399"/>
    <x v="1"/>
    <x v="0"/>
    <m/>
    <s v="Lerato Botha"/>
    <n v="15000"/>
    <x v="3"/>
    <x v="0"/>
    <n v="5.1204666666666669E-2"/>
    <n v="0"/>
    <n v="0"/>
    <n v="0"/>
    <n v="0"/>
    <n v="0"/>
    <n v="1"/>
    <x v="0"/>
    <x v="0"/>
  </r>
  <r>
    <x v="400"/>
    <s v="CC-10032"/>
    <x v="299"/>
    <s v="14:59"/>
    <x v="27"/>
    <x v="2"/>
    <x v="1"/>
    <x v="400"/>
    <x v="0"/>
    <x v="0"/>
    <s v="customer disputed - under review"/>
    <s v="Lerato Botha"/>
    <n v="15000"/>
    <x v="3"/>
    <x v="0"/>
    <n v="5.1324000000000002E-2"/>
    <n v="0"/>
    <n v="0"/>
    <n v="0"/>
    <n v="0"/>
    <n v="0"/>
    <n v="0"/>
    <x v="1"/>
    <x v="0"/>
  </r>
  <r>
    <x v="401"/>
    <s v="CC-10032"/>
    <x v="300"/>
    <s v="08:27"/>
    <x v="30"/>
    <x v="3"/>
    <x v="0"/>
    <x v="401"/>
    <x v="1"/>
    <x v="0"/>
    <s v="customer disputed - under review"/>
    <s v="Lerato Botha"/>
    <n v="15000"/>
    <x v="3"/>
    <x v="0"/>
    <n v="1.4112000000000001E-2"/>
    <n v="1"/>
    <n v="0"/>
    <n v="0"/>
    <n v="0"/>
    <n v="0"/>
    <n v="1"/>
    <x v="3"/>
    <x v="2"/>
  </r>
  <r>
    <x v="402"/>
    <s v="CC-10032"/>
    <x v="301"/>
    <s v="10:11"/>
    <x v="0"/>
    <x v="0"/>
    <x v="0"/>
    <x v="402"/>
    <x v="2"/>
    <x v="0"/>
    <m/>
    <s v="Lerato Botha"/>
    <n v="15000"/>
    <x v="3"/>
    <x v="0"/>
    <n v="0.11639266666666667"/>
    <n v="0"/>
    <n v="0"/>
    <n v="0"/>
    <n v="0"/>
    <n v="0"/>
    <n v="0"/>
    <x v="1"/>
    <x v="0"/>
  </r>
  <r>
    <x v="403"/>
    <s v="CC-10032"/>
    <x v="302"/>
    <s v="19:19"/>
    <x v="24"/>
    <x v="3"/>
    <x v="0"/>
    <x v="403"/>
    <x v="3"/>
    <x v="1"/>
    <m/>
    <s v="Lerato Botha"/>
    <n v="15000"/>
    <x v="3"/>
    <x v="0"/>
    <n v="3.8456666666666667E-2"/>
    <n v="0"/>
    <n v="0"/>
    <n v="0"/>
    <n v="0"/>
    <n v="0"/>
    <n v="1"/>
    <x v="0"/>
    <x v="0"/>
  </r>
  <r>
    <x v="404"/>
    <s v="CC-10032"/>
    <x v="210"/>
    <s v="12:12"/>
    <x v="35"/>
    <x v="0"/>
    <x v="0"/>
    <x v="404"/>
    <x v="1"/>
    <x v="0"/>
    <m/>
    <s v="Lerato Botha"/>
    <n v="15000"/>
    <x v="3"/>
    <x v="0"/>
    <n v="0.26447533333333334"/>
    <n v="0"/>
    <n v="0"/>
    <n v="0"/>
    <n v="0"/>
    <n v="0"/>
    <n v="1"/>
    <x v="0"/>
    <x v="0"/>
  </r>
  <r>
    <x v="405"/>
    <s v="CC-10032"/>
    <x v="303"/>
    <s v="17:24"/>
    <x v="38"/>
    <x v="0"/>
    <x v="0"/>
    <x v="405"/>
    <x v="3"/>
    <x v="0"/>
    <m/>
    <s v="Lerato Botha"/>
    <n v="15000"/>
    <x v="3"/>
    <x v="0"/>
    <n v="0.16354533333333332"/>
    <n v="0"/>
    <n v="0"/>
    <n v="0"/>
    <n v="0"/>
    <n v="0"/>
    <n v="1"/>
    <x v="0"/>
    <x v="0"/>
  </r>
  <r>
    <x v="406"/>
    <s v="CC-10032"/>
    <x v="304"/>
    <s v="19:37"/>
    <x v="40"/>
    <x v="11"/>
    <x v="0"/>
    <x v="406"/>
    <x v="0"/>
    <x v="1"/>
    <m/>
    <s v="Lerato Botha"/>
    <n v="15000"/>
    <x v="3"/>
    <x v="0"/>
    <n v="0.113168"/>
    <n v="0"/>
    <n v="0"/>
    <n v="0"/>
    <n v="0"/>
    <n v="0"/>
    <n v="0"/>
    <x v="1"/>
    <x v="0"/>
  </r>
  <r>
    <x v="407"/>
    <s v="CC-10032"/>
    <x v="305"/>
    <s v="08:09"/>
    <x v="38"/>
    <x v="0"/>
    <x v="0"/>
    <x v="407"/>
    <x v="3"/>
    <x v="0"/>
    <m/>
    <s v="Lerato Botha"/>
    <n v="15000"/>
    <x v="3"/>
    <x v="0"/>
    <n v="0.12406866666666666"/>
    <n v="0"/>
    <n v="0"/>
    <n v="0"/>
    <n v="0"/>
    <n v="0"/>
    <n v="1"/>
    <x v="0"/>
    <x v="0"/>
  </r>
  <r>
    <x v="408"/>
    <s v="CC-10032"/>
    <x v="306"/>
    <s v="Unknown"/>
    <x v="13"/>
    <x v="9"/>
    <x v="0"/>
    <x v="408"/>
    <x v="3"/>
    <x v="0"/>
    <m/>
    <s v="Lerato Botha"/>
    <n v="15000"/>
    <x v="3"/>
    <x v="0"/>
    <n v="9.2493333333333334E-3"/>
    <n v="0"/>
    <n v="1"/>
    <n v="0"/>
    <n v="0"/>
    <n v="0"/>
    <n v="1"/>
    <x v="3"/>
    <x v="2"/>
  </r>
  <r>
    <x v="409"/>
    <s v="CC-10033"/>
    <x v="82"/>
    <s v="10:48"/>
    <x v="25"/>
    <x v="6"/>
    <x v="1"/>
    <x v="409"/>
    <x v="2"/>
    <x v="1"/>
    <m/>
    <s v="Bongani Sithole"/>
    <n v="15000"/>
    <x v="3"/>
    <x v="0"/>
    <n v="1.6571333333333334E-2"/>
    <n v="0"/>
    <n v="0"/>
    <n v="0"/>
    <n v="0"/>
    <n v="0"/>
    <n v="0"/>
    <x v="1"/>
    <x v="0"/>
  </r>
  <r>
    <x v="410"/>
    <s v="CC-10033"/>
    <x v="307"/>
    <s v="07:39"/>
    <x v="0"/>
    <x v="0"/>
    <x v="5"/>
    <x v="410"/>
    <x v="0"/>
    <x v="0"/>
    <m/>
    <s v="Bongani Sithole"/>
    <n v="15000"/>
    <x v="3"/>
    <x v="0"/>
    <n v="2.6483333333333334E-2"/>
    <n v="0"/>
    <n v="0"/>
    <n v="0"/>
    <n v="0"/>
    <n v="0"/>
    <n v="0"/>
    <x v="1"/>
    <x v="0"/>
  </r>
  <r>
    <x v="411"/>
    <s v="CC-10033"/>
    <x v="308"/>
    <s v="22:59"/>
    <x v="36"/>
    <x v="11"/>
    <x v="7"/>
    <x v="411"/>
    <x v="2"/>
    <x v="0"/>
    <m/>
    <s v="Bongani Sithole"/>
    <n v="15000"/>
    <x v="3"/>
    <x v="0"/>
    <n v="0.18993333333333334"/>
    <n v="1"/>
    <n v="0"/>
    <n v="0"/>
    <n v="0"/>
    <n v="0"/>
    <n v="0"/>
    <x v="0"/>
    <x v="0"/>
  </r>
  <r>
    <x v="412"/>
    <s v="CC-10033"/>
    <x v="309"/>
    <s v="07:41"/>
    <x v="28"/>
    <x v="4"/>
    <x v="1"/>
    <x v="412"/>
    <x v="0"/>
    <x v="0"/>
    <m/>
    <s v="Bongani Sithole"/>
    <n v="15000"/>
    <x v="3"/>
    <x v="0"/>
    <n v="2.2586666666666668E-2"/>
    <n v="1"/>
    <n v="0"/>
    <n v="0"/>
    <n v="0"/>
    <n v="0"/>
    <n v="0"/>
    <x v="0"/>
    <x v="0"/>
  </r>
  <r>
    <x v="413"/>
    <s v="CC-10033"/>
    <x v="19"/>
    <s v="15:53"/>
    <x v="3"/>
    <x v="2"/>
    <x v="7"/>
    <x v="413"/>
    <x v="2"/>
    <x v="0"/>
    <m/>
    <s v="Bongani Sithole"/>
    <n v="15000"/>
    <x v="3"/>
    <x v="0"/>
    <n v="6.0783999999999998E-2"/>
    <n v="0"/>
    <n v="0"/>
    <n v="0"/>
    <n v="0"/>
    <n v="0"/>
    <n v="0"/>
    <x v="1"/>
    <x v="0"/>
  </r>
  <r>
    <x v="414"/>
    <s v="CC-10033"/>
    <x v="289"/>
    <s v="07:44"/>
    <x v="47"/>
    <x v="4"/>
    <x v="7"/>
    <x v="414"/>
    <x v="0"/>
    <x v="0"/>
    <m/>
    <s v="Bongani Sithole"/>
    <n v="15000"/>
    <x v="3"/>
    <x v="0"/>
    <n v="2.7273333333333333E-2"/>
    <n v="1"/>
    <n v="0"/>
    <n v="0"/>
    <n v="0"/>
    <n v="0"/>
    <n v="0"/>
    <x v="0"/>
    <x v="0"/>
  </r>
  <r>
    <x v="415"/>
    <s v="CC-10033"/>
    <x v="191"/>
    <s v="14:17"/>
    <x v="47"/>
    <x v="4"/>
    <x v="1"/>
    <x v="415"/>
    <x v="2"/>
    <x v="0"/>
    <m/>
    <s v="Bongani Sithole"/>
    <n v="15000"/>
    <x v="3"/>
    <x v="0"/>
    <n v="1.5599999999999999E-2"/>
    <n v="1"/>
    <n v="0"/>
    <n v="0"/>
    <n v="0"/>
    <n v="0"/>
    <n v="0"/>
    <x v="0"/>
    <x v="0"/>
  </r>
  <r>
    <x v="416"/>
    <s v="CC-10033"/>
    <x v="8"/>
    <s v="12:26"/>
    <x v="6"/>
    <x v="2"/>
    <x v="1"/>
    <x v="416"/>
    <x v="3"/>
    <x v="0"/>
    <m/>
    <s v="Bongani Sithole"/>
    <n v="15000"/>
    <x v="3"/>
    <x v="0"/>
    <n v="4.5722666666666668E-2"/>
    <n v="0"/>
    <n v="0"/>
    <n v="0"/>
    <n v="0"/>
    <n v="0"/>
    <n v="1"/>
    <x v="0"/>
    <x v="0"/>
  </r>
  <r>
    <x v="417"/>
    <s v="CC-10033"/>
    <x v="235"/>
    <s v="12:28"/>
    <x v="14"/>
    <x v="0"/>
    <x v="1"/>
    <x v="417"/>
    <x v="3"/>
    <x v="1"/>
    <m/>
    <s v="Bongani Sithole"/>
    <n v="15000"/>
    <x v="3"/>
    <x v="0"/>
    <n v="0.23410866666666669"/>
    <n v="0"/>
    <n v="0"/>
    <n v="0"/>
    <n v="0"/>
    <n v="0"/>
    <n v="1"/>
    <x v="0"/>
    <x v="0"/>
  </r>
  <r>
    <x v="418"/>
    <s v="CC-10033"/>
    <x v="310"/>
    <s v="09:41"/>
    <x v="13"/>
    <x v="9"/>
    <x v="7"/>
    <x v="418"/>
    <x v="1"/>
    <x v="0"/>
    <m/>
    <s v="Bongani Sithole"/>
    <n v="15000"/>
    <x v="3"/>
    <x v="0"/>
    <n v="3.3121999999999999E-2"/>
    <n v="0"/>
    <n v="0"/>
    <n v="0"/>
    <n v="0"/>
    <n v="0"/>
    <n v="1"/>
    <x v="0"/>
    <x v="0"/>
  </r>
  <r>
    <x v="419"/>
    <s v="CC-10033"/>
    <x v="311"/>
    <s v="Unknown"/>
    <x v="22"/>
    <x v="5"/>
    <x v="1"/>
    <x v="419"/>
    <x v="0"/>
    <x v="0"/>
    <m/>
    <s v="Bongani Sithole"/>
    <n v="15000"/>
    <x v="3"/>
    <x v="0"/>
    <n v="3.9315333333333334E-2"/>
    <n v="1"/>
    <n v="1"/>
    <n v="0"/>
    <n v="0"/>
    <n v="0"/>
    <n v="0"/>
    <x v="3"/>
    <x v="2"/>
  </r>
  <r>
    <x v="420"/>
    <s v="CC-10034"/>
    <x v="312"/>
    <s v="08:39"/>
    <x v="7"/>
    <x v="5"/>
    <x v="4"/>
    <x v="420"/>
    <x v="0"/>
    <x v="0"/>
    <m/>
    <s v="Naledi Sithole"/>
    <n v="30000"/>
    <x v="2"/>
    <x v="0"/>
    <n v="4.9343333333333329E-2"/>
    <n v="0"/>
    <n v="0"/>
    <n v="0"/>
    <n v="0"/>
    <n v="0"/>
    <n v="0"/>
    <x v="1"/>
    <x v="0"/>
  </r>
  <r>
    <x v="421"/>
    <s v="CC-10034"/>
    <x v="313"/>
    <s v="17:13"/>
    <x v="15"/>
    <x v="10"/>
    <x v="1"/>
    <x v="421"/>
    <x v="1"/>
    <x v="0"/>
    <m/>
    <s v="Naledi Sithole"/>
    <n v="30000"/>
    <x v="2"/>
    <x v="0"/>
    <n v="0.22811766666666666"/>
    <n v="0"/>
    <n v="0"/>
    <n v="0"/>
    <n v="0"/>
    <n v="0"/>
    <n v="1"/>
    <x v="0"/>
    <x v="0"/>
  </r>
  <r>
    <x v="422"/>
    <s v="CC-10034"/>
    <x v="17"/>
    <s v="11:10"/>
    <x v="19"/>
    <x v="6"/>
    <x v="8"/>
    <x v="422"/>
    <x v="1"/>
    <x v="0"/>
    <m/>
    <s v="Naledi Sithole"/>
    <n v="30000"/>
    <x v="2"/>
    <x v="0"/>
    <n v="7.4096666666666668E-3"/>
    <n v="1"/>
    <n v="0"/>
    <n v="0"/>
    <n v="0"/>
    <n v="0"/>
    <n v="1"/>
    <x v="3"/>
    <x v="2"/>
  </r>
  <r>
    <x v="423"/>
    <s v="CC-10034"/>
    <x v="307"/>
    <s v="07:51"/>
    <x v="30"/>
    <x v="3"/>
    <x v="4"/>
    <x v="423"/>
    <x v="2"/>
    <x v="0"/>
    <m/>
    <s v="Naledi Sithole"/>
    <n v="30000"/>
    <x v="2"/>
    <x v="0"/>
    <n v="1.7066999999999999E-2"/>
    <n v="1"/>
    <n v="0"/>
    <n v="0"/>
    <n v="0"/>
    <n v="0"/>
    <n v="0"/>
    <x v="0"/>
    <x v="0"/>
  </r>
  <r>
    <x v="424"/>
    <s v="CC-10034"/>
    <x v="314"/>
    <s v="13:10"/>
    <x v="12"/>
    <x v="3"/>
    <x v="4"/>
    <x v="424"/>
    <x v="3"/>
    <x v="0"/>
    <m/>
    <s v="Naledi Sithole"/>
    <n v="30000"/>
    <x v="2"/>
    <x v="0"/>
    <n v="1.6607666666666666E-2"/>
    <n v="0"/>
    <n v="0"/>
    <n v="0"/>
    <n v="0"/>
    <n v="0"/>
    <n v="1"/>
    <x v="0"/>
    <x v="0"/>
  </r>
  <r>
    <x v="425"/>
    <s v="CC-10034"/>
    <x v="55"/>
    <s v="Unknown"/>
    <x v="27"/>
    <x v="2"/>
    <x v="4"/>
    <x v="425"/>
    <x v="3"/>
    <x v="1"/>
    <m/>
    <s v="Naledi Sithole"/>
    <n v="30000"/>
    <x v="2"/>
    <x v="0"/>
    <n v="3.689566666666666E-2"/>
    <n v="0"/>
    <n v="1"/>
    <n v="0"/>
    <n v="0"/>
    <n v="0"/>
    <n v="1"/>
    <x v="3"/>
    <x v="2"/>
  </r>
  <r>
    <x v="426"/>
    <s v="CC-10034"/>
    <x v="174"/>
    <s v="17:00"/>
    <x v="37"/>
    <x v="10"/>
    <x v="4"/>
    <x v="426"/>
    <x v="2"/>
    <x v="1"/>
    <m/>
    <s v="Naledi Sithole"/>
    <n v="30000"/>
    <x v="2"/>
    <x v="0"/>
    <n v="0.43655766666666668"/>
    <n v="0"/>
    <n v="0"/>
    <n v="0"/>
    <n v="0"/>
    <n v="0"/>
    <n v="0"/>
    <x v="1"/>
    <x v="0"/>
  </r>
  <r>
    <x v="427"/>
    <s v="CC-10034"/>
    <x v="315"/>
    <s v="14:02"/>
    <x v="29"/>
    <x v="6"/>
    <x v="8"/>
    <x v="427"/>
    <x v="3"/>
    <x v="0"/>
    <m/>
    <s v="Naledi Sithole"/>
    <n v="30000"/>
    <x v="2"/>
    <x v="0"/>
    <n v="2.7740333333333336E-2"/>
    <n v="0"/>
    <n v="0"/>
    <n v="0"/>
    <n v="1"/>
    <n v="0"/>
    <n v="1"/>
    <x v="3"/>
    <x v="2"/>
  </r>
  <r>
    <x v="428"/>
    <s v="CC-10034"/>
    <x v="316"/>
    <s v="21:31"/>
    <x v="30"/>
    <x v="3"/>
    <x v="4"/>
    <x v="428"/>
    <x v="2"/>
    <x v="0"/>
    <m/>
    <s v="Naledi Sithole"/>
    <n v="30000"/>
    <x v="2"/>
    <x v="0"/>
    <n v="1.1388333333333332E-2"/>
    <n v="1"/>
    <n v="0"/>
    <n v="0"/>
    <n v="0"/>
    <n v="0"/>
    <n v="0"/>
    <x v="0"/>
    <x v="0"/>
  </r>
  <r>
    <x v="429"/>
    <s v="CC-10034"/>
    <x v="317"/>
    <s v="15:33"/>
    <x v="19"/>
    <x v="6"/>
    <x v="4"/>
    <x v="429"/>
    <x v="2"/>
    <x v="0"/>
    <m/>
    <s v="Naledi Sithole"/>
    <n v="30000"/>
    <x v="2"/>
    <x v="0"/>
    <n v="2.9117333333333332E-2"/>
    <n v="0"/>
    <n v="0"/>
    <n v="0"/>
    <n v="0"/>
    <n v="0"/>
    <n v="0"/>
    <x v="1"/>
    <x v="0"/>
  </r>
  <r>
    <x v="430"/>
    <s v="CC-10034"/>
    <x v="318"/>
    <s v="15:18"/>
    <x v="23"/>
    <x v="10"/>
    <x v="8"/>
    <x v="430"/>
    <x v="0"/>
    <x v="0"/>
    <m/>
    <s v="Naledi Sithole"/>
    <n v="30000"/>
    <x v="2"/>
    <x v="0"/>
    <n v="0.42601833333333333"/>
    <n v="0"/>
    <n v="0"/>
    <n v="0"/>
    <n v="0"/>
    <n v="0"/>
    <n v="0"/>
    <x v="1"/>
    <x v="0"/>
  </r>
  <r>
    <x v="431"/>
    <s v="CC-10034"/>
    <x v="273"/>
    <s v="11:56"/>
    <x v="19"/>
    <x v="6"/>
    <x v="4"/>
    <x v="431"/>
    <x v="1"/>
    <x v="0"/>
    <m/>
    <s v="Naledi Sithole"/>
    <n v="30000"/>
    <x v="2"/>
    <x v="0"/>
    <n v="5.8007666666666666E-2"/>
    <n v="1"/>
    <n v="0"/>
    <n v="0"/>
    <n v="1"/>
    <n v="0"/>
    <n v="1"/>
    <x v="2"/>
    <x v="1"/>
  </r>
  <r>
    <x v="432"/>
    <s v="CC-10034"/>
    <x v="69"/>
    <s v="16:28"/>
    <x v="29"/>
    <x v="6"/>
    <x v="4"/>
    <x v="432"/>
    <x v="0"/>
    <x v="0"/>
    <m/>
    <s v="Naledi Sithole"/>
    <n v="30000"/>
    <x v="2"/>
    <x v="0"/>
    <n v="1.2663666666666667E-2"/>
    <n v="0"/>
    <n v="0"/>
    <n v="0"/>
    <n v="0"/>
    <n v="0"/>
    <n v="0"/>
    <x v="1"/>
    <x v="0"/>
  </r>
  <r>
    <x v="433"/>
    <s v="CC-10035"/>
    <x v="319"/>
    <s v="07:48"/>
    <x v="35"/>
    <x v="0"/>
    <x v="2"/>
    <x v="433"/>
    <x v="2"/>
    <x v="0"/>
    <m/>
    <s v="Kabelo Van Der Merwe"/>
    <n v="25000"/>
    <x v="3"/>
    <x v="0"/>
    <n v="9.9217999999999987E-2"/>
    <n v="0"/>
    <n v="0"/>
    <n v="0"/>
    <n v="0"/>
    <n v="0"/>
    <n v="0"/>
    <x v="1"/>
    <x v="0"/>
  </r>
  <r>
    <x v="434"/>
    <s v="CC-10035"/>
    <x v="122"/>
    <s v="10:59"/>
    <x v="20"/>
    <x v="6"/>
    <x v="2"/>
    <x v="434"/>
    <x v="0"/>
    <x v="0"/>
    <m/>
    <s v="Kabelo Van Der Merwe"/>
    <n v="25000"/>
    <x v="3"/>
    <x v="0"/>
    <n v="5.5103599999999996E-2"/>
    <n v="0"/>
    <n v="0"/>
    <n v="0"/>
    <n v="0"/>
    <n v="0"/>
    <n v="0"/>
    <x v="1"/>
    <x v="0"/>
  </r>
  <r>
    <x v="435"/>
    <s v="CC-10035"/>
    <x v="320"/>
    <s v="20:10"/>
    <x v="5"/>
    <x v="4"/>
    <x v="2"/>
    <x v="435"/>
    <x v="0"/>
    <x v="1"/>
    <m/>
    <s v="Kabelo Van Der Merwe"/>
    <n v="25000"/>
    <x v="3"/>
    <x v="0"/>
    <n v="8.5284000000000002E-3"/>
    <n v="0"/>
    <n v="0"/>
    <n v="0"/>
    <n v="0"/>
    <n v="0"/>
    <n v="0"/>
    <x v="1"/>
    <x v="0"/>
  </r>
  <r>
    <x v="436"/>
    <s v="CC-10035"/>
    <x v="321"/>
    <s v="17:52"/>
    <x v="18"/>
    <x v="11"/>
    <x v="2"/>
    <x v="436"/>
    <x v="1"/>
    <x v="0"/>
    <m/>
    <s v="Kabelo Van Der Merwe"/>
    <n v="25000"/>
    <x v="3"/>
    <x v="0"/>
    <n v="4.14384E-2"/>
    <n v="0"/>
    <n v="0"/>
    <n v="0"/>
    <n v="0"/>
    <n v="0"/>
    <n v="1"/>
    <x v="0"/>
    <x v="0"/>
  </r>
  <r>
    <x v="437"/>
    <s v="CC-10035"/>
    <x v="322"/>
    <s v="08:23"/>
    <x v="25"/>
    <x v="6"/>
    <x v="2"/>
    <x v="437"/>
    <x v="1"/>
    <x v="1"/>
    <m/>
    <s v="Kabelo Van Der Merwe"/>
    <n v="25000"/>
    <x v="3"/>
    <x v="0"/>
    <n v="6.2860799999999994E-2"/>
    <n v="0"/>
    <n v="0"/>
    <n v="0"/>
    <n v="0"/>
    <n v="0"/>
    <n v="1"/>
    <x v="0"/>
    <x v="0"/>
  </r>
  <r>
    <x v="438"/>
    <s v="CC-10035"/>
    <x v="323"/>
    <s v="09:00"/>
    <x v="9"/>
    <x v="3"/>
    <x v="2"/>
    <x v="438"/>
    <x v="1"/>
    <x v="0"/>
    <m/>
    <s v="Kabelo Van Der Merwe"/>
    <n v="25000"/>
    <x v="3"/>
    <x v="0"/>
    <n v="1.8897999999999998E-2"/>
    <n v="0"/>
    <n v="0"/>
    <n v="0"/>
    <n v="0"/>
    <n v="0"/>
    <n v="1"/>
    <x v="0"/>
    <x v="0"/>
  </r>
  <r>
    <x v="439"/>
    <s v="CC-10035"/>
    <x v="82"/>
    <s v="21:14"/>
    <x v="24"/>
    <x v="3"/>
    <x v="2"/>
    <x v="439"/>
    <x v="2"/>
    <x v="0"/>
    <m/>
    <s v="Kabelo Van Der Merwe"/>
    <n v="25000"/>
    <x v="3"/>
    <x v="0"/>
    <n v="1.69476E-2"/>
    <n v="0"/>
    <n v="0"/>
    <n v="0"/>
    <n v="0"/>
    <n v="0"/>
    <n v="0"/>
    <x v="1"/>
    <x v="0"/>
  </r>
  <r>
    <x v="440"/>
    <s v="CC-10035"/>
    <x v="324"/>
    <s v="13:26"/>
    <x v="13"/>
    <x v="9"/>
    <x v="2"/>
    <x v="440"/>
    <x v="3"/>
    <x v="1"/>
    <m/>
    <s v="Kabelo Van Der Merwe"/>
    <n v="25000"/>
    <x v="3"/>
    <x v="0"/>
    <n v="1.0359999999999999E-2"/>
    <n v="0"/>
    <n v="0"/>
    <n v="0"/>
    <n v="0"/>
    <n v="0"/>
    <n v="1"/>
    <x v="0"/>
    <x v="0"/>
  </r>
  <r>
    <x v="441"/>
    <s v="CC-10035"/>
    <x v="68"/>
    <s v="10:10"/>
    <x v="22"/>
    <x v="5"/>
    <x v="2"/>
    <x v="441"/>
    <x v="1"/>
    <x v="0"/>
    <m/>
    <s v="Kabelo Van Der Merwe"/>
    <n v="25000"/>
    <x v="3"/>
    <x v="0"/>
    <n v="5.1428000000000001E-2"/>
    <n v="0"/>
    <n v="0"/>
    <n v="0"/>
    <n v="0"/>
    <n v="0"/>
    <n v="1"/>
    <x v="0"/>
    <x v="0"/>
  </r>
  <r>
    <x v="442"/>
    <s v="CC-10035"/>
    <x v="167"/>
    <s v="20:47"/>
    <x v="8"/>
    <x v="6"/>
    <x v="2"/>
    <x v="442"/>
    <x v="1"/>
    <x v="0"/>
    <m/>
    <s v="Kabelo Van Der Merwe"/>
    <n v="25000"/>
    <x v="3"/>
    <x v="0"/>
    <n v="2.7588400000000003E-2"/>
    <n v="0"/>
    <n v="0"/>
    <n v="0"/>
    <n v="0"/>
    <n v="0"/>
    <n v="1"/>
    <x v="0"/>
    <x v="0"/>
  </r>
  <r>
    <x v="443"/>
    <s v="CC-10035"/>
    <x v="325"/>
    <s v="Unknown"/>
    <x v="36"/>
    <x v="11"/>
    <x v="4"/>
    <x v="443"/>
    <x v="2"/>
    <x v="0"/>
    <m/>
    <s v="Kabelo Van Der Merwe"/>
    <n v="25000"/>
    <x v="3"/>
    <x v="0"/>
    <n v="0.1291128"/>
    <n v="0"/>
    <n v="1"/>
    <n v="0"/>
    <n v="0"/>
    <n v="0"/>
    <n v="0"/>
    <x v="0"/>
    <x v="0"/>
  </r>
  <r>
    <x v="444"/>
    <s v="CC-10035"/>
    <x v="326"/>
    <s v="Unknown"/>
    <x v="24"/>
    <x v="3"/>
    <x v="2"/>
    <x v="444"/>
    <x v="3"/>
    <x v="0"/>
    <m/>
    <s v="Kabelo Van Der Merwe"/>
    <n v="25000"/>
    <x v="3"/>
    <x v="0"/>
    <n v="2.5736799999999997E-2"/>
    <n v="1"/>
    <n v="1"/>
    <n v="0"/>
    <n v="0"/>
    <n v="0"/>
    <n v="1"/>
    <x v="2"/>
    <x v="1"/>
  </r>
  <r>
    <x v="445"/>
    <s v="CC-10036"/>
    <x v="40"/>
    <s v="09:05"/>
    <x v="28"/>
    <x v="4"/>
    <x v="2"/>
    <x v="445"/>
    <x v="2"/>
    <x v="0"/>
    <m/>
    <s v="Mariam Naidoo"/>
    <n v="20000"/>
    <x v="2"/>
    <x v="1"/>
    <n v="1.5594999999999999E-2"/>
    <n v="0"/>
    <n v="0"/>
    <n v="0"/>
    <n v="0"/>
    <n v="0"/>
    <n v="0"/>
    <x v="1"/>
    <x v="0"/>
  </r>
  <r>
    <x v="446"/>
    <s v="CC-10036"/>
    <x v="327"/>
    <s v="08:17"/>
    <x v="35"/>
    <x v="0"/>
    <x v="2"/>
    <x v="446"/>
    <x v="2"/>
    <x v="1"/>
    <m/>
    <s v="Mariam Naidoo"/>
    <n v="20000"/>
    <x v="2"/>
    <x v="1"/>
    <n v="0.20058299999999998"/>
    <n v="0"/>
    <n v="0"/>
    <n v="0"/>
    <n v="0"/>
    <n v="0"/>
    <n v="0"/>
    <x v="1"/>
    <x v="0"/>
  </r>
  <r>
    <x v="447"/>
    <s v="CC-10036"/>
    <x v="328"/>
    <s v="15:04"/>
    <x v="37"/>
    <x v="10"/>
    <x v="4"/>
    <x v="447"/>
    <x v="1"/>
    <x v="0"/>
    <m/>
    <s v="Mariam Naidoo"/>
    <n v="20000"/>
    <x v="2"/>
    <x v="1"/>
    <n v="0.58272899999999994"/>
    <n v="0"/>
    <n v="0"/>
    <n v="0"/>
    <n v="0"/>
    <n v="0"/>
    <n v="1"/>
    <x v="0"/>
    <x v="0"/>
  </r>
  <r>
    <x v="448"/>
    <s v="CC-10036"/>
    <x v="163"/>
    <s v="13:27"/>
    <x v="38"/>
    <x v="0"/>
    <x v="2"/>
    <x v="448"/>
    <x v="3"/>
    <x v="0"/>
    <m/>
    <s v="Mariam Naidoo"/>
    <n v="20000"/>
    <x v="2"/>
    <x v="1"/>
    <n v="0.18523050000000002"/>
    <n v="1"/>
    <n v="0"/>
    <n v="0"/>
    <n v="1"/>
    <n v="0"/>
    <n v="1"/>
    <x v="2"/>
    <x v="1"/>
  </r>
  <r>
    <x v="449"/>
    <s v="CC-10036"/>
    <x v="73"/>
    <s v="20:48"/>
    <x v="2"/>
    <x v="2"/>
    <x v="3"/>
    <x v="449"/>
    <x v="2"/>
    <x v="0"/>
    <m/>
    <s v="Mariam Naidoo"/>
    <n v="20000"/>
    <x v="2"/>
    <x v="1"/>
    <n v="3.7042499999999999E-2"/>
    <n v="0"/>
    <n v="0"/>
    <n v="0"/>
    <n v="0"/>
    <n v="0"/>
    <n v="0"/>
    <x v="1"/>
    <x v="0"/>
  </r>
  <r>
    <x v="450"/>
    <s v="CC-10036"/>
    <x v="329"/>
    <s v="13:16"/>
    <x v="27"/>
    <x v="2"/>
    <x v="4"/>
    <x v="450"/>
    <x v="3"/>
    <x v="0"/>
    <m/>
    <s v="Mariam Naidoo"/>
    <n v="20000"/>
    <x v="2"/>
    <x v="1"/>
    <n v="4.4683E-2"/>
    <n v="1"/>
    <n v="0"/>
    <n v="0"/>
    <n v="0"/>
    <n v="0"/>
    <n v="1"/>
    <x v="3"/>
    <x v="2"/>
  </r>
  <r>
    <x v="451"/>
    <s v="CC-10036"/>
    <x v="330"/>
    <s v="19:19"/>
    <x v="16"/>
    <x v="7"/>
    <x v="2"/>
    <x v="451"/>
    <x v="1"/>
    <x v="0"/>
    <m/>
    <s v="Mariam Naidoo"/>
    <n v="20000"/>
    <x v="2"/>
    <x v="1"/>
    <n v="0.53801350000000003"/>
    <n v="1"/>
    <n v="0"/>
    <n v="0"/>
    <n v="0"/>
    <n v="0"/>
    <n v="1"/>
    <x v="3"/>
    <x v="2"/>
  </r>
  <r>
    <x v="452"/>
    <s v="CC-10036"/>
    <x v="124"/>
    <s v="10:32"/>
    <x v="47"/>
    <x v="4"/>
    <x v="2"/>
    <x v="452"/>
    <x v="3"/>
    <x v="0"/>
    <m/>
    <s v="Mariam Naidoo"/>
    <n v="20000"/>
    <x v="2"/>
    <x v="1"/>
    <n v="1.6559500000000001E-2"/>
    <n v="0"/>
    <n v="0"/>
    <n v="0"/>
    <n v="1"/>
    <n v="0"/>
    <n v="1"/>
    <x v="3"/>
    <x v="2"/>
  </r>
  <r>
    <x v="453"/>
    <s v="CC-10036"/>
    <x v="331"/>
    <s v="15:42"/>
    <x v="12"/>
    <x v="3"/>
    <x v="2"/>
    <x v="453"/>
    <x v="0"/>
    <x v="0"/>
    <s v="verified via OTP call"/>
    <s v="Mariam Naidoo"/>
    <n v="20000"/>
    <x v="2"/>
    <x v="1"/>
    <n v="1.1378000000000001E-2"/>
    <n v="0"/>
    <n v="0"/>
    <n v="0"/>
    <n v="0"/>
    <n v="0"/>
    <n v="0"/>
    <x v="1"/>
    <x v="0"/>
  </r>
  <r>
    <x v="454"/>
    <s v="CC-10036"/>
    <x v="175"/>
    <s v="14:59"/>
    <x v="35"/>
    <x v="0"/>
    <x v="2"/>
    <x v="454"/>
    <x v="1"/>
    <x v="0"/>
    <m/>
    <s v="Mariam Naidoo"/>
    <n v="20000"/>
    <x v="2"/>
    <x v="1"/>
    <n v="2.6043500000000001E-2"/>
    <n v="0"/>
    <n v="0"/>
    <n v="0"/>
    <n v="0"/>
    <n v="0"/>
    <n v="1"/>
    <x v="0"/>
    <x v="0"/>
  </r>
  <r>
    <x v="455"/>
    <s v="CC-10036"/>
    <x v="332"/>
    <s v="21:21"/>
    <x v="2"/>
    <x v="2"/>
    <x v="2"/>
    <x v="455"/>
    <x v="1"/>
    <x v="0"/>
    <m/>
    <s v="Mariam Naidoo"/>
    <n v="20000"/>
    <x v="2"/>
    <x v="1"/>
    <n v="1.79905E-2"/>
    <n v="0"/>
    <n v="0"/>
    <n v="0"/>
    <n v="0"/>
    <n v="0"/>
    <n v="1"/>
    <x v="0"/>
    <x v="0"/>
  </r>
  <r>
    <x v="456"/>
    <s v="CC-10037"/>
    <x v="333"/>
    <s v="12:01"/>
    <x v="47"/>
    <x v="4"/>
    <x v="5"/>
    <x v="456"/>
    <x v="2"/>
    <x v="1"/>
    <m/>
    <s v="Bongani Van Der Merwe"/>
    <n v="100000"/>
    <x v="0"/>
    <x v="1"/>
    <n v="3.3868000000000001E-3"/>
    <n v="0"/>
    <n v="0"/>
    <n v="0"/>
    <n v="0"/>
    <n v="0"/>
    <n v="0"/>
    <x v="1"/>
    <x v="0"/>
  </r>
  <r>
    <x v="457"/>
    <s v="CC-10037"/>
    <x v="334"/>
    <s v="09:35"/>
    <x v="13"/>
    <x v="9"/>
    <x v="5"/>
    <x v="457"/>
    <x v="2"/>
    <x v="0"/>
    <m/>
    <s v="Bongani Van Der Merwe"/>
    <n v="100000"/>
    <x v="0"/>
    <x v="1"/>
    <n v="4.7613999999999998E-3"/>
    <n v="0"/>
    <n v="0"/>
    <n v="0"/>
    <n v="0"/>
    <n v="0"/>
    <n v="0"/>
    <x v="1"/>
    <x v="0"/>
  </r>
  <r>
    <x v="458"/>
    <s v="CC-10037"/>
    <x v="335"/>
    <s v="11:47"/>
    <x v="45"/>
    <x v="9"/>
    <x v="5"/>
    <x v="458"/>
    <x v="0"/>
    <x v="0"/>
    <m/>
    <s v="Bongani Van Der Merwe"/>
    <n v="100000"/>
    <x v="0"/>
    <x v="1"/>
    <n v="5.2719000000000004E-3"/>
    <n v="0"/>
    <n v="0"/>
    <n v="0"/>
    <n v="0"/>
    <n v="0"/>
    <n v="0"/>
    <x v="1"/>
    <x v="0"/>
  </r>
  <r>
    <x v="459"/>
    <s v="CC-10037"/>
    <x v="294"/>
    <s v="14:53"/>
    <x v="26"/>
    <x v="2"/>
    <x v="5"/>
    <x v="459"/>
    <x v="0"/>
    <x v="0"/>
    <m/>
    <s v="Bongani Van Der Merwe"/>
    <n v="100000"/>
    <x v="0"/>
    <x v="1"/>
    <n v="1.16799E-2"/>
    <n v="0"/>
    <n v="0"/>
    <n v="0"/>
    <n v="0"/>
    <n v="0"/>
    <n v="0"/>
    <x v="1"/>
    <x v="0"/>
  </r>
  <r>
    <x v="460"/>
    <s v="CC-10037"/>
    <x v="90"/>
    <s v="09:10"/>
    <x v="35"/>
    <x v="0"/>
    <x v="5"/>
    <x v="460"/>
    <x v="3"/>
    <x v="0"/>
    <m/>
    <s v="Bongani Van Der Merwe"/>
    <n v="100000"/>
    <x v="0"/>
    <x v="1"/>
    <n v="3.6772899999999997E-2"/>
    <n v="0"/>
    <n v="0"/>
    <n v="0"/>
    <n v="0"/>
    <n v="0"/>
    <n v="1"/>
    <x v="0"/>
    <x v="0"/>
  </r>
  <r>
    <x v="461"/>
    <s v="CC-10037"/>
    <x v="336"/>
    <s v="09:53"/>
    <x v="11"/>
    <x v="8"/>
    <x v="6"/>
    <x v="461"/>
    <x v="0"/>
    <x v="0"/>
    <m/>
    <s v="Bongani Van Der Merwe"/>
    <n v="100000"/>
    <x v="0"/>
    <x v="1"/>
    <n v="4.1094399999999996E-2"/>
    <n v="0"/>
    <n v="0"/>
    <n v="0"/>
    <n v="0"/>
    <n v="0"/>
    <n v="0"/>
    <x v="1"/>
    <x v="0"/>
  </r>
  <r>
    <x v="462"/>
    <s v="CC-10037"/>
    <x v="220"/>
    <s v="16:26"/>
    <x v="37"/>
    <x v="10"/>
    <x v="6"/>
    <x v="462"/>
    <x v="3"/>
    <x v="0"/>
    <m/>
    <s v="Bongani Van Der Merwe"/>
    <n v="100000"/>
    <x v="0"/>
    <x v="1"/>
    <n v="8.7846299999999988E-2"/>
    <n v="1"/>
    <n v="0"/>
    <n v="0"/>
    <n v="0"/>
    <n v="1"/>
    <n v="1"/>
    <x v="2"/>
    <x v="1"/>
  </r>
  <r>
    <x v="463"/>
    <s v="CC-10037"/>
    <x v="337"/>
    <s v="08:32"/>
    <x v="16"/>
    <x v="7"/>
    <x v="3"/>
    <x v="463"/>
    <x v="0"/>
    <x v="0"/>
    <m/>
    <s v="Bongani Van Der Merwe"/>
    <n v="100000"/>
    <x v="0"/>
    <x v="1"/>
    <n v="7.4430099999999999E-2"/>
    <n v="1"/>
    <n v="0"/>
    <n v="0"/>
    <n v="0"/>
    <n v="0"/>
    <n v="0"/>
    <x v="0"/>
    <x v="0"/>
  </r>
  <r>
    <x v="464"/>
    <s v="CC-10037"/>
    <x v="338"/>
    <s v="12:00"/>
    <x v="30"/>
    <x v="3"/>
    <x v="6"/>
    <x v="464"/>
    <x v="0"/>
    <x v="0"/>
    <m/>
    <s v="Bongani Van Der Merwe"/>
    <n v="100000"/>
    <x v="0"/>
    <x v="1"/>
    <n v="4.9892000000000001E-3"/>
    <n v="1"/>
    <n v="0"/>
    <n v="0"/>
    <n v="0"/>
    <n v="0"/>
    <n v="0"/>
    <x v="0"/>
    <x v="0"/>
  </r>
  <r>
    <x v="465"/>
    <s v="CC-10037"/>
    <x v="339"/>
    <s v="16:48"/>
    <x v="46"/>
    <x v="1"/>
    <x v="6"/>
    <x v="465"/>
    <x v="2"/>
    <x v="0"/>
    <m/>
    <s v="Bongani Van Der Merwe"/>
    <n v="100000"/>
    <x v="0"/>
    <x v="1"/>
    <n v="2.4534400000000001E-2"/>
    <n v="1"/>
    <n v="0"/>
    <n v="0"/>
    <n v="0"/>
    <n v="0"/>
    <n v="0"/>
    <x v="0"/>
    <x v="0"/>
  </r>
  <r>
    <x v="466"/>
    <s v="CC-10038"/>
    <x v="50"/>
    <s v="22:49"/>
    <x v="31"/>
    <x v="11"/>
    <x v="3"/>
    <x v="466"/>
    <x v="3"/>
    <x v="0"/>
    <m/>
    <s v="Sanele Sithole"/>
    <n v="60000"/>
    <x v="1"/>
    <x v="1"/>
    <n v="5.3790333333333336E-2"/>
    <n v="1"/>
    <n v="0"/>
    <n v="0"/>
    <n v="0"/>
    <n v="1"/>
    <n v="1"/>
    <x v="2"/>
    <x v="1"/>
  </r>
  <r>
    <x v="467"/>
    <s v="CC-10038"/>
    <x v="223"/>
    <s v="18:40"/>
    <x v="12"/>
    <x v="3"/>
    <x v="3"/>
    <x v="467"/>
    <x v="0"/>
    <x v="0"/>
    <m/>
    <s v="Sanele Sithole"/>
    <n v="60000"/>
    <x v="1"/>
    <x v="1"/>
    <n v="6.2465000000000003E-3"/>
    <n v="0"/>
    <n v="0"/>
    <n v="0"/>
    <n v="0"/>
    <n v="0"/>
    <n v="0"/>
    <x v="1"/>
    <x v="0"/>
  </r>
  <r>
    <x v="468"/>
    <s v="CC-10038"/>
    <x v="137"/>
    <s v="19:37"/>
    <x v="41"/>
    <x v="7"/>
    <x v="3"/>
    <x v="468"/>
    <x v="3"/>
    <x v="0"/>
    <m/>
    <s v="Sanele Sithole"/>
    <n v="60000"/>
    <x v="1"/>
    <x v="1"/>
    <n v="8.7304666666666669E-2"/>
    <n v="0"/>
    <n v="0"/>
    <n v="0"/>
    <n v="0"/>
    <n v="0"/>
    <n v="1"/>
    <x v="0"/>
    <x v="0"/>
  </r>
  <r>
    <x v="469"/>
    <s v="CC-10038"/>
    <x v="340"/>
    <s v="17:15"/>
    <x v="19"/>
    <x v="6"/>
    <x v="3"/>
    <x v="469"/>
    <x v="1"/>
    <x v="1"/>
    <m/>
    <s v="Sanele Sithole"/>
    <n v="60000"/>
    <x v="1"/>
    <x v="1"/>
    <n v="2.5927333333333333E-2"/>
    <n v="0"/>
    <n v="0"/>
    <n v="0"/>
    <n v="0"/>
    <n v="0"/>
    <n v="1"/>
    <x v="0"/>
    <x v="0"/>
  </r>
  <r>
    <x v="470"/>
    <s v="CC-10038"/>
    <x v="339"/>
    <s v="Unknown"/>
    <x v="30"/>
    <x v="3"/>
    <x v="3"/>
    <x v="470"/>
    <x v="2"/>
    <x v="0"/>
    <m/>
    <s v="Sanele Sithole"/>
    <n v="60000"/>
    <x v="1"/>
    <x v="1"/>
    <n v="1.7725E-3"/>
    <n v="0"/>
    <n v="1"/>
    <n v="0"/>
    <n v="0"/>
    <n v="0"/>
    <n v="0"/>
    <x v="0"/>
    <x v="0"/>
  </r>
  <r>
    <x v="471"/>
    <s v="CC-10038"/>
    <x v="341"/>
    <s v="16:47"/>
    <x v="11"/>
    <x v="8"/>
    <x v="3"/>
    <x v="471"/>
    <x v="3"/>
    <x v="0"/>
    <m/>
    <s v="Sanele Sithole"/>
    <n v="60000"/>
    <x v="1"/>
    <x v="1"/>
    <n v="2.9858166666666668E-2"/>
    <n v="0"/>
    <n v="0"/>
    <n v="0"/>
    <n v="0"/>
    <n v="0"/>
    <n v="1"/>
    <x v="0"/>
    <x v="0"/>
  </r>
  <r>
    <x v="472"/>
    <s v="CC-10038"/>
    <x v="338"/>
    <s v="10:17"/>
    <x v="25"/>
    <x v="6"/>
    <x v="3"/>
    <x v="472"/>
    <x v="1"/>
    <x v="0"/>
    <m/>
    <s v="Sanele Sithole"/>
    <n v="60000"/>
    <x v="1"/>
    <x v="1"/>
    <n v="9.5918333333333324E-3"/>
    <n v="0"/>
    <n v="0"/>
    <n v="0"/>
    <n v="0"/>
    <n v="1"/>
    <n v="1"/>
    <x v="3"/>
    <x v="2"/>
  </r>
  <r>
    <x v="473"/>
    <s v="CC-10038"/>
    <x v="60"/>
    <s v="10:29"/>
    <x v="36"/>
    <x v="11"/>
    <x v="3"/>
    <x v="473"/>
    <x v="3"/>
    <x v="1"/>
    <m/>
    <s v="Sanele Sithole"/>
    <n v="60000"/>
    <x v="1"/>
    <x v="1"/>
    <n v="4.5014666666666668E-2"/>
    <n v="0"/>
    <n v="0"/>
    <n v="0"/>
    <n v="0"/>
    <n v="0"/>
    <n v="1"/>
    <x v="0"/>
    <x v="0"/>
  </r>
  <r>
    <x v="474"/>
    <s v="CC-10038"/>
    <x v="26"/>
    <s v="15:30"/>
    <x v="19"/>
    <x v="6"/>
    <x v="3"/>
    <x v="474"/>
    <x v="3"/>
    <x v="0"/>
    <m/>
    <s v="Sanele Sithole"/>
    <n v="60000"/>
    <x v="1"/>
    <x v="1"/>
    <n v="1.4805333333333334E-2"/>
    <n v="0"/>
    <n v="0"/>
    <n v="0"/>
    <n v="0"/>
    <n v="0"/>
    <n v="1"/>
    <x v="0"/>
    <x v="0"/>
  </r>
  <r>
    <x v="475"/>
    <s v="CC-10039"/>
    <x v="124"/>
    <s v="15:59"/>
    <x v="42"/>
    <x v="4"/>
    <x v="3"/>
    <x v="475"/>
    <x v="1"/>
    <x v="0"/>
    <m/>
    <s v="Rachel Naidoo"/>
    <n v="15000"/>
    <x v="4"/>
    <x v="1"/>
    <n v="1.9699999999999999E-2"/>
    <n v="0"/>
    <n v="0"/>
    <n v="0"/>
    <n v="0"/>
    <n v="0"/>
    <n v="1"/>
    <x v="0"/>
    <x v="0"/>
  </r>
  <r>
    <x v="476"/>
    <s v="CC-10039"/>
    <x v="87"/>
    <s v="08:12"/>
    <x v="5"/>
    <x v="4"/>
    <x v="3"/>
    <x v="476"/>
    <x v="3"/>
    <x v="1"/>
    <m/>
    <s v="Rachel Naidoo"/>
    <n v="15000"/>
    <x v="4"/>
    <x v="1"/>
    <n v="2.7755333333333333E-2"/>
    <n v="0"/>
    <n v="0"/>
    <n v="0"/>
    <n v="0"/>
    <n v="0"/>
    <n v="1"/>
    <x v="0"/>
    <x v="0"/>
  </r>
  <r>
    <x v="477"/>
    <s v="CC-10039"/>
    <x v="66"/>
    <s v="08:39"/>
    <x v="44"/>
    <x v="1"/>
    <x v="3"/>
    <x v="477"/>
    <x v="1"/>
    <x v="0"/>
    <m/>
    <s v="Rachel Naidoo"/>
    <n v="15000"/>
    <x v="4"/>
    <x v="1"/>
    <n v="0.13536400000000001"/>
    <n v="0"/>
    <n v="0"/>
    <n v="0"/>
    <n v="0"/>
    <n v="0"/>
    <n v="1"/>
    <x v="0"/>
    <x v="0"/>
  </r>
  <r>
    <x v="478"/>
    <s v="CC-10039"/>
    <x v="342"/>
    <s v="17:52"/>
    <x v="13"/>
    <x v="9"/>
    <x v="2"/>
    <x v="478"/>
    <x v="1"/>
    <x v="0"/>
    <m/>
    <s v="Rachel Naidoo"/>
    <n v="15000"/>
    <x v="4"/>
    <x v="1"/>
    <n v="2.7639333333333332E-2"/>
    <n v="0"/>
    <n v="0"/>
    <n v="0"/>
    <n v="0"/>
    <n v="1"/>
    <n v="1"/>
    <x v="3"/>
    <x v="2"/>
  </r>
  <r>
    <x v="479"/>
    <s v="CC-10039"/>
    <x v="343"/>
    <s v="12:00"/>
    <x v="4"/>
    <x v="3"/>
    <x v="4"/>
    <x v="479"/>
    <x v="2"/>
    <x v="0"/>
    <m/>
    <s v="Rachel Naidoo"/>
    <n v="15000"/>
    <x v="4"/>
    <x v="1"/>
    <n v="2.7149333333333334E-2"/>
    <n v="1"/>
    <n v="0"/>
    <n v="0"/>
    <n v="0"/>
    <n v="0"/>
    <n v="0"/>
    <x v="0"/>
    <x v="0"/>
  </r>
  <r>
    <x v="480"/>
    <s v="CC-10039"/>
    <x v="276"/>
    <s v="14:05"/>
    <x v="35"/>
    <x v="0"/>
    <x v="3"/>
    <x v="480"/>
    <x v="0"/>
    <x v="1"/>
    <m/>
    <s v="Rachel Naidoo"/>
    <n v="15000"/>
    <x v="4"/>
    <x v="1"/>
    <n v="0.13821066666666665"/>
    <n v="1"/>
    <n v="0"/>
    <n v="0"/>
    <n v="0"/>
    <n v="0"/>
    <n v="0"/>
    <x v="0"/>
    <x v="0"/>
  </r>
  <r>
    <x v="481"/>
    <s v="CC-10039"/>
    <x v="271"/>
    <s v="09:40"/>
    <x v="29"/>
    <x v="6"/>
    <x v="3"/>
    <x v="481"/>
    <x v="1"/>
    <x v="0"/>
    <m/>
    <s v="Rachel Naidoo"/>
    <n v="15000"/>
    <x v="4"/>
    <x v="1"/>
    <n v="8.2818666666666665E-2"/>
    <n v="0"/>
    <n v="0"/>
    <n v="0"/>
    <n v="0"/>
    <n v="0"/>
    <n v="1"/>
    <x v="0"/>
    <x v="0"/>
  </r>
  <r>
    <x v="482"/>
    <s v="CC-10039"/>
    <x v="156"/>
    <s v="19:18"/>
    <x v="28"/>
    <x v="4"/>
    <x v="3"/>
    <x v="482"/>
    <x v="0"/>
    <x v="1"/>
    <m/>
    <s v="Rachel Naidoo"/>
    <n v="15000"/>
    <x v="4"/>
    <x v="1"/>
    <n v="2.8121999999999998E-2"/>
    <n v="0"/>
    <n v="0"/>
    <n v="0"/>
    <n v="0"/>
    <n v="0"/>
    <n v="0"/>
    <x v="1"/>
    <x v="0"/>
  </r>
  <r>
    <x v="483"/>
    <s v="CC-10039"/>
    <x v="344"/>
    <s v="Unknown"/>
    <x v="38"/>
    <x v="0"/>
    <x v="3"/>
    <x v="483"/>
    <x v="3"/>
    <x v="0"/>
    <m/>
    <s v="Rachel Naidoo"/>
    <n v="15000"/>
    <x v="4"/>
    <x v="1"/>
    <n v="0.22414266666666666"/>
    <n v="0"/>
    <n v="1"/>
    <n v="0"/>
    <n v="0"/>
    <n v="0"/>
    <n v="1"/>
    <x v="3"/>
    <x v="2"/>
  </r>
  <r>
    <x v="484"/>
    <s v="CC-10039"/>
    <x v="42"/>
    <s v="10:40"/>
    <x v="16"/>
    <x v="7"/>
    <x v="3"/>
    <x v="484"/>
    <x v="2"/>
    <x v="0"/>
    <m/>
    <s v="Rachel Naidoo"/>
    <n v="15000"/>
    <x v="4"/>
    <x v="1"/>
    <n v="0.18964799999999998"/>
    <n v="0"/>
    <n v="0"/>
    <n v="0"/>
    <n v="0"/>
    <n v="0"/>
    <n v="0"/>
    <x v="1"/>
    <x v="0"/>
  </r>
  <r>
    <x v="485"/>
    <s v="CC-10039"/>
    <x v="22"/>
    <s v="21:44"/>
    <x v="20"/>
    <x v="6"/>
    <x v="3"/>
    <x v="485"/>
    <x v="3"/>
    <x v="0"/>
    <m/>
    <s v="Rachel Naidoo"/>
    <n v="15000"/>
    <x v="4"/>
    <x v="1"/>
    <n v="5.135E-2"/>
    <n v="0"/>
    <n v="0"/>
    <n v="0"/>
    <n v="0"/>
    <n v="0"/>
    <n v="1"/>
    <x v="0"/>
    <x v="0"/>
  </r>
  <r>
    <x v="486"/>
    <s v="CC-10039"/>
    <x v="278"/>
    <s v="18:21"/>
    <x v="27"/>
    <x v="2"/>
    <x v="3"/>
    <x v="486"/>
    <x v="3"/>
    <x v="1"/>
    <m/>
    <s v="Rachel Naidoo"/>
    <n v="15000"/>
    <x v="4"/>
    <x v="1"/>
    <n v="5.5810666666666661E-2"/>
    <n v="0"/>
    <n v="0"/>
    <n v="0"/>
    <n v="0"/>
    <n v="0"/>
    <n v="1"/>
    <x v="0"/>
    <x v="0"/>
  </r>
  <r>
    <x v="487"/>
    <s v="CC-10040"/>
    <x v="112"/>
    <s v="09:01"/>
    <x v="33"/>
    <x v="1"/>
    <x v="3"/>
    <x v="487"/>
    <x v="2"/>
    <x v="0"/>
    <m/>
    <s v="Nomvula Pretorius"/>
    <n v="15000"/>
    <x v="0"/>
    <x v="1"/>
    <n v="5.2772666666666669E-2"/>
    <n v="0"/>
    <n v="0"/>
    <n v="0"/>
    <n v="0"/>
    <n v="0"/>
    <n v="0"/>
    <x v="1"/>
    <x v="0"/>
  </r>
  <r>
    <x v="488"/>
    <s v="CC-10040"/>
    <x v="78"/>
    <s v="18:54"/>
    <x v="46"/>
    <x v="1"/>
    <x v="3"/>
    <x v="488"/>
    <x v="0"/>
    <x v="0"/>
    <m/>
    <s v="Nomvula Pretorius"/>
    <n v="15000"/>
    <x v="0"/>
    <x v="1"/>
    <n v="0.16898266666666664"/>
    <n v="0"/>
    <n v="0"/>
    <n v="0"/>
    <n v="0"/>
    <n v="1"/>
    <n v="0"/>
    <x v="0"/>
    <x v="0"/>
  </r>
  <r>
    <x v="489"/>
    <s v="CC-10040"/>
    <x v="345"/>
    <s v="16:05"/>
    <x v="8"/>
    <x v="6"/>
    <x v="3"/>
    <x v="489"/>
    <x v="1"/>
    <x v="0"/>
    <m/>
    <s v="Nomvula Pretorius"/>
    <n v="15000"/>
    <x v="0"/>
    <x v="1"/>
    <n v="0.11040799999999999"/>
    <n v="0"/>
    <n v="0"/>
    <n v="0"/>
    <n v="0"/>
    <n v="1"/>
    <n v="1"/>
    <x v="3"/>
    <x v="2"/>
  </r>
  <r>
    <x v="490"/>
    <s v="CC-10040"/>
    <x v="58"/>
    <s v="13:32"/>
    <x v="19"/>
    <x v="6"/>
    <x v="3"/>
    <x v="490"/>
    <x v="1"/>
    <x v="0"/>
    <m/>
    <s v="Nomvula Pretorius"/>
    <n v="15000"/>
    <x v="0"/>
    <x v="1"/>
    <n v="7.0843333333333341E-2"/>
    <n v="0"/>
    <n v="0"/>
    <n v="0"/>
    <n v="0"/>
    <n v="0"/>
    <n v="1"/>
    <x v="0"/>
    <x v="0"/>
  </r>
  <r>
    <x v="491"/>
    <s v="CC-10040"/>
    <x v="346"/>
    <s v="22:09"/>
    <x v="27"/>
    <x v="2"/>
    <x v="7"/>
    <x v="491"/>
    <x v="2"/>
    <x v="0"/>
    <m/>
    <s v="Nomvula Pretorius"/>
    <n v="15000"/>
    <x v="0"/>
    <x v="1"/>
    <n v="7.3336666666666661E-2"/>
    <n v="0"/>
    <n v="0"/>
    <n v="0"/>
    <n v="0"/>
    <n v="0"/>
    <n v="0"/>
    <x v="1"/>
    <x v="0"/>
  </r>
  <r>
    <x v="492"/>
    <s v="CC-10040"/>
    <x v="267"/>
    <s v="15:00"/>
    <x v="31"/>
    <x v="11"/>
    <x v="3"/>
    <x v="492"/>
    <x v="1"/>
    <x v="1"/>
    <m/>
    <s v="Nomvula Pretorius"/>
    <n v="15000"/>
    <x v="0"/>
    <x v="1"/>
    <n v="0.12720866666666666"/>
    <n v="1"/>
    <n v="0"/>
    <n v="0"/>
    <n v="0"/>
    <n v="0"/>
    <n v="1"/>
    <x v="3"/>
    <x v="2"/>
  </r>
  <r>
    <x v="493"/>
    <s v="CC-10040"/>
    <x v="347"/>
    <s v="15:07"/>
    <x v="19"/>
    <x v="6"/>
    <x v="3"/>
    <x v="493"/>
    <x v="2"/>
    <x v="1"/>
    <m/>
    <s v="Nomvula Pretorius"/>
    <n v="15000"/>
    <x v="0"/>
    <x v="1"/>
    <n v="3.6593333333333332E-2"/>
    <n v="0"/>
    <n v="0"/>
    <n v="0"/>
    <n v="0"/>
    <n v="0"/>
    <n v="0"/>
    <x v="1"/>
    <x v="0"/>
  </r>
  <r>
    <x v="494"/>
    <s v="CC-10040"/>
    <x v="348"/>
    <s v="17:02"/>
    <x v="4"/>
    <x v="3"/>
    <x v="3"/>
    <x v="494"/>
    <x v="3"/>
    <x v="0"/>
    <m/>
    <s v="Nomvula Pretorius"/>
    <n v="15000"/>
    <x v="0"/>
    <x v="1"/>
    <n v="3.9615999999999998E-2"/>
    <n v="0"/>
    <n v="0"/>
    <n v="0"/>
    <n v="0"/>
    <n v="0"/>
    <n v="1"/>
    <x v="0"/>
    <x v="0"/>
  </r>
  <r>
    <x v="495"/>
    <s v="CC-10040"/>
    <x v="349"/>
    <s v="12:03"/>
    <x v="14"/>
    <x v="0"/>
    <x v="3"/>
    <x v="495"/>
    <x v="1"/>
    <x v="1"/>
    <m/>
    <s v="Nomvula Pretorius"/>
    <n v="15000"/>
    <x v="0"/>
    <x v="1"/>
    <n v="8.1405999999999992E-2"/>
    <n v="0"/>
    <n v="0"/>
    <n v="0"/>
    <n v="0"/>
    <n v="0"/>
    <n v="1"/>
    <x v="0"/>
    <x v="0"/>
  </r>
  <r>
    <x v="496"/>
    <s v="CC-10040"/>
    <x v="160"/>
    <s v="13:41"/>
    <x v="41"/>
    <x v="7"/>
    <x v="3"/>
    <x v="496"/>
    <x v="3"/>
    <x v="0"/>
    <m/>
    <s v="Nomvula Pretorius"/>
    <n v="15000"/>
    <x v="0"/>
    <x v="1"/>
    <n v="0.32608933333333334"/>
    <n v="0"/>
    <n v="0"/>
    <n v="0"/>
    <n v="0"/>
    <n v="0"/>
    <n v="1"/>
    <x v="0"/>
    <x v="0"/>
  </r>
  <r>
    <x v="497"/>
    <s v="CC-10040"/>
    <x v="237"/>
    <s v="11:17"/>
    <x v="32"/>
    <x v="1"/>
    <x v="3"/>
    <x v="497"/>
    <x v="3"/>
    <x v="1"/>
    <m/>
    <s v="Nomvula Pretorius"/>
    <n v="15000"/>
    <x v="0"/>
    <x v="1"/>
    <n v="2.606E-2"/>
    <n v="0"/>
    <n v="0"/>
    <n v="0"/>
    <n v="0"/>
    <n v="0"/>
    <n v="1"/>
    <x v="0"/>
    <x v="0"/>
  </r>
  <r>
    <x v="498"/>
    <s v="CC-10040"/>
    <x v="350"/>
    <s v="Unknown"/>
    <x v="40"/>
    <x v="11"/>
    <x v="3"/>
    <x v="498"/>
    <x v="2"/>
    <x v="0"/>
    <m/>
    <s v="Nomvula Pretorius"/>
    <n v="15000"/>
    <x v="0"/>
    <x v="1"/>
    <n v="0.23259133333333332"/>
    <n v="0"/>
    <n v="1"/>
    <n v="0"/>
    <n v="0"/>
    <n v="1"/>
    <n v="0"/>
    <x v="3"/>
    <x v="2"/>
  </r>
  <r>
    <x v="499"/>
    <s v="CC-10040"/>
    <x v="351"/>
    <s v="20:20"/>
    <x v="11"/>
    <x v="8"/>
    <x v="3"/>
    <x v="499"/>
    <x v="3"/>
    <x v="0"/>
    <m/>
    <s v="Nomvula Pretorius"/>
    <n v="15000"/>
    <x v="0"/>
    <x v="1"/>
    <n v="0.25898933333333335"/>
    <n v="0"/>
    <n v="0"/>
    <n v="0"/>
    <n v="0"/>
    <n v="0"/>
    <n v="1"/>
    <x v="0"/>
    <x v="0"/>
  </r>
  <r>
    <x v="500"/>
    <s v="CC-10040"/>
    <x v="207"/>
    <s v="11:26"/>
    <x v="43"/>
    <x v="8"/>
    <x v="3"/>
    <x v="500"/>
    <x v="0"/>
    <x v="0"/>
    <m/>
    <s v="Nomvula Pretorius"/>
    <n v="15000"/>
    <x v="0"/>
    <x v="1"/>
    <n v="0.28134599999999998"/>
    <n v="0"/>
    <n v="0"/>
    <n v="0"/>
    <n v="0"/>
    <n v="1"/>
    <n v="0"/>
    <x v="0"/>
    <x v="0"/>
  </r>
  <r>
    <x v="501"/>
    <s v="CC-10041"/>
    <x v="352"/>
    <s v="11:59"/>
    <x v="19"/>
    <x v="6"/>
    <x v="7"/>
    <x v="501"/>
    <x v="2"/>
    <x v="0"/>
    <m/>
    <s v="Sanele Adams"/>
    <n v="80000"/>
    <x v="0"/>
    <x v="1"/>
    <n v="5.6046250000000002E-3"/>
    <n v="0"/>
    <n v="0"/>
    <n v="0"/>
    <n v="0"/>
    <n v="1"/>
    <n v="0"/>
    <x v="0"/>
    <x v="0"/>
  </r>
  <r>
    <x v="502"/>
    <s v="CC-10041"/>
    <x v="261"/>
    <s v="18:40"/>
    <x v="11"/>
    <x v="8"/>
    <x v="0"/>
    <x v="502"/>
    <x v="1"/>
    <x v="1"/>
    <m/>
    <s v="Sanele Adams"/>
    <n v="80000"/>
    <x v="0"/>
    <x v="1"/>
    <n v="2.6397000000000004E-2"/>
    <n v="1"/>
    <n v="0"/>
    <n v="0"/>
    <n v="0"/>
    <n v="0"/>
    <n v="1"/>
    <x v="3"/>
    <x v="2"/>
  </r>
  <r>
    <x v="503"/>
    <s v="CC-10041"/>
    <x v="9"/>
    <s v="19:16"/>
    <x v="34"/>
    <x v="7"/>
    <x v="1"/>
    <x v="503"/>
    <x v="3"/>
    <x v="0"/>
    <m/>
    <s v="Sanele Adams"/>
    <n v="80000"/>
    <x v="0"/>
    <x v="1"/>
    <n v="9.0465749999999998E-2"/>
    <n v="1"/>
    <n v="0"/>
    <n v="0"/>
    <n v="0"/>
    <n v="1"/>
    <n v="1"/>
    <x v="2"/>
    <x v="1"/>
  </r>
  <r>
    <x v="504"/>
    <s v="CC-10041"/>
    <x v="103"/>
    <s v="17:35"/>
    <x v="32"/>
    <x v="1"/>
    <x v="0"/>
    <x v="504"/>
    <x v="1"/>
    <x v="0"/>
    <m/>
    <s v="Sanele Adams"/>
    <n v="80000"/>
    <x v="0"/>
    <x v="1"/>
    <n v="1.5162500000000001E-2"/>
    <n v="0"/>
    <n v="0"/>
    <n v="0"/>
    <n v="0"/>
    <n v="0"/>
    <n v="1"/>
    <x v="0"/>
    <x v="0"/>
  </r>
  <r>
    <x v="505"/>
    <s v="CC-10041"/>
    <x v="353"/>
    <s v="13:56"/>
    <x v="37"/>
    <x v="10"/>
    <x v="1"/>
    <x v="505"/>
    <x v="0"/>
    <x v="0"/>
    <m/>
    <s v="Sanele Adams"/>
    <n v="80000"/>
    <x v="0"/>
    <x v="1"/>
    <n v="0.16353575000000001"/>
    <n v="1"/>
    <n v="0"/>
    <n v="0"/>
    <n v="0"/>
    <n v="1"/>
    <n v="0"/>
    <x v="3"/>
    <x v="2"/>
  </r>
  <r>
    <x v="506"/>
    <s v="CC-10041"/>
    <x v="302"/>
    <s v="17:28"/>
    <x v="35"/>
    <x v="0"/>
    <x v="7"/>
    <x v="506"/>
    <x v="1"/>
    <x v="1"/>
    <m/>
    <s v="Sanele Adams"/>
    <n v="80000"/>
    <x v="0"/>
    <x v="1"/>
    <n v="4.2750249999999997E-2"/>
    <n v="0"/>
    <n v="0"/>
    <n v="0"/>
    <n v="0"/>
    <n v="0"/>
    <n v="1"/>
    <x v="0"/>
    <x v="0"/>
  </r>
  <r>
    <x v="507"/>
    <s v="CC-10041"/>
    <x v="354"/>
    <s v="10:54"/>
    <x v="9"/>
    <x v="3"/>
    <x v="7"/>
    <x v="507"/>
    <x v="0"/>
    <x v="1"/>
    <m/>
    <s v="Sanele Adams"/>
    <n v="80000"/>
    <x v="0"/>
    <x v="1"/>
    <n v="1.5573749999999999E-3"/>
    <n v="1"/>
    <n v="0"/>
    <n v="0"/>
    <n v="0"/>
    <n v="0"/>
    <n v="0"/>
    <x v="0"/>
    <x v="0"/>
  </r>
  <r>
    <x v="508"/>
    <s v="CC-10041"/>
    <x v="34"/>
    <s v="16:32"/>
    <x v="18"/>
    <x v="11"/>
    <x v="1"/>
    <x v="508"/>
    <x v="3"/>
    <x v="0"/>
    <m/>
    <s v="Sanele Adams"/>
    <n v="80000"/>
    <x v="0"/>
    <x v="1"/>
    <n v="2.2186625000000001E-2"/>
    <n v="1"/>
    <n v="0"/>
    <n v="0"/>
    <n v="0"/>
    <n v="0"/>
    <n v="1"/>
    <x v="3"/>
    <x v="2"/>
  </r>
  <r>
    <x v="509"/>
    <s v="CC-10041"/>
    <x v="227"/>
    <s v="17:04"/>
    <x v="14"/>
    <x v="0"/>
    <x v="4"/>
    <x v="509"/>
    <x v="1"/>
    <x v="0"/>
    <m/>
    <s v="Sanele Adams"/>
    <n v="80000"/>
    <x v="0"/>
    <x v="1"/>
    <n v="1.6826249999999997E-2"/>
    <n v="0"/>
    <n v="0"/>
    <n v="0"/>
    <n v="0"/>
    <n v="0"/>
    <n v="1"/>
    <x v="0"/>
    <x v="0"/>
  </r>
  <r>
    <x v="510"/>
    <s v="CC-10041"/>
    <x v="289"/>
    <s v="11:48"/>
    <x v="23"/>
    <x v="10"/>
    <x v="1"/>
    <x v="510"/>
    <x v="1"/>
    <x v="0"/>
    <m/>
    <s v="Sanele Adams"/>
    <n v="80000"/>
    <x v="0"/>
    <x v="1"/>
    <n v="3.654375E-2"/>
    <n v="1"/>
    <n v="0"/>
    <n v="0"/>
    <n v="0"/>
    <n v="0"/>
    <n v="1"/>
    <x v="3"/>
    <x v="2"/>
  </r>
  <r>
    <x v="511"/>
    <s v="CC-10041"/>
    <x v="355"/>
    <s v="Unknown"/>
    <x v="0"/>
    <x v="0"/>
    <x v="1"/>
    <x v="511"/>
    <x v="3"/>
    <x v="1"/>
    <m/>
    <s v="Sanele Adams"/>
    <n v="80000"/>
    <x v="0"/>
    <x v="1"/>
    <n v="4.2610624999999999E-2"/>
    <n v="0"/>
    <n v="1"/>
    <n v="0"/>
    <n v="0"/>
    <n v="0"/>
    <n v="1"/>
    <x v="3"/>
    <x v="2"/>
  </r>
  <r>
    <x v="512"/>
    <s v="CC-10042"/>
    <x v="6"/>
    <s v="17:36"/>
    <x v="9"/>
    <x v="3"/>
    <x v="1"/>
    <x v="512"/>
    <x v="3"/>
    <x v="0"/>
    <m/>
    <s v="Fatima Mahlangu"/>
    <n v="40000"/>
    <x v="3"/>
    <x v="1"/>
    <n v="9.6659999999999992E-3"/>
    <n v="0"/>
    <n v="0"/>
    <n v="0"/>
    <n v="0"/>
    <n v="0"/>
    <n v="1"/>
    <x v="0"/>
    <x v="0"/>
  </r>
  <r>
    <x v="513"/>
    <s v="CC-10042"/>
    <x v="151"/>
    <s v="13:49"/>
    <x v="35"/>
    <x v="0"/>
    <x v="2"/>
    <x v="513"/>
    <x v="1"/>
    <x v="0"/>
    <m/>
    <s v="Fatima Mahlangu"/>
    <n v="40000"/>
    <x v="3"/>
    <x v="1"/>
    <n v="5.2929499999999997E-2"/>
    <n v="1"/>
    <n v="0"/>
    <n v="0"/>
    <n v="0"/>
    <n v="0"/>
    <n v="1"/>
    <x v="3"/>
    <x v="2"/>
  </r>
  <r>
    <x v="514"/>
    <s v="CC-10042"/>
    <x v="302"/>
    <s v="12:39"/>
    <x v="2"/>
    <x v="2"/>
    <x v="2"/>
    <x v="514"/>
    <x v="3"/>
    <x v="0"/>
    <m/>
    <s v="Fatima Mahlangu"/>
    <n v="40000"/>
    <x v="3"/>
    <x v="1"/>
    <n v="2.4378999999999998E-2"/>
    <n v="0"/>
    <n v="0"/>
    <n v="0"/>
    <n v="0"/>
    <n v="0"/>
    <n v="1"/>
    <x v="0"/>
    <x v="0"/>
  </r>
  <r>
    <x v="515"/>
    <s v="CC-10042"/>
    <x v="145"/>
    <s v="16:40"/>
    <x v="19"/>
    <x v="6"/>
    <x v="2"/>
    <x v="515"/>
    <x v="2"/>
    <x v="1"/>
    <m/>
    <s v="Fatima Mahlangu"/>
    <n v="40000"/>
    <x v="3"/>
    <x v="1"/>
    <n v="9.3780000000000009E-3"/>
    <n v="0"/>
    <n v="0"/>
    <n v="0"/>
    <n v="0"/>
    <n v="0"/>
    <n v="0"/>
    <x v="1"/>
    <x v="0"/>
  </r>
  <r>
    <x v="516"/>
    <s v="CC-10042"/>
    <x v="36"/>
    <s v="13:27"/>
    <x v="28"/>
    <x v="4"/>
    <x v="2"/>
    <x v="516"/>
    <x v="2"/>
    <x v="1"/>
    <m/>
    <s v="Fatima Mahlangu"/>
    <n v="40000"/>
    <x v="3"/>
    <x v="1"/>
    <n v="9.1837500000000009E-3"/>
    <n v="0"/>
    <n v="0"/>
    <n v="0"/>
    <n v="0"/>
    <n v="0"/>
    <n v="0"/>
    <x v="1"/>
    <x v="0"/>
  </r>
  <r>
    <x v="517"/>
    <s v="CC-10042"/>
    <x v="356"/>
    <s v="17:25"/>
    <x v="47"/>
    <x v="4"/>
    <x v="2"/>
    <x v="517"/>
    <x v="1"/>
    <x v="0"/>
    <m/>
    <s v="Fatima Mahlangu"/>
    <n v="40000"/>
    <x v="3"/>
    <x v="1"/>
    <n v="8.5422499999999995E-3"/>
    <n v="0"/>
    <n v="0"/>
    <n v="0"/>
    <n v="0"/>
    <n v="0"/>
    <n v="1"/>
    <x v="0"/>
    <x v="0"/>
  </r>
  <r>
    <x v="518"/>
    <s v="CC-10042"/>
    <x v="331"/>
    <s v="15:28"/>
    <x v="15"/>
    <x v="10"/>
    <x v="2"/>
    <x v="518"/>
    <x v="3"/>
    <x v="0"/>
    <m/>
    <s v="Fatima Mahlangu"/>
    <n v="40000"/>
    <x v="3"/>
    <x v="1"/>
    <n v="0.21182224999999999"/>
    <n v="0"/>
    <n v="0"/>
    <n v="0"/>
    <n v="0"/>
    <n v="0"/>
    <n v="1"/>
    <x v="0"/>
    <x v="0"/>
  </r>
  <r>
    <x v="519"/>
    <s v="CC-10042"/>
    <x v="357"/>
    <s v="16:24"/>
    <x v="35"/>
    <x v="0"/>
    <x v="2"/>
    <x v="519"/>
    <x v="2"/>
    <x v="0"/>
    <m/>
    <s v="Fatima Mahlangu"/>
    <n v="40000"/>
    <x v="3"/>
    <x v="1"/>
    <n v="1.0557500000000001E-2"/>
    <n v="0"/>
    <n v="0"/>
    <n v="0"/>
    <n v="0"/>
    <n v="0"/>
    <n v="0"/>
    <x v="1"/>
    <x v="0"/>
  </r>
  <r>
    <x v="520"/>
    <s v="CC-10042"/>
    <x v="234"/>
    <s v="14:30"/>
    <x v="14"/>
    <x v="0"/>
    <x v="2"/>
    <x v="520"/>
    <x v="2"/>
    <x v="0"/>
    <m/>
    <s v="Fatima Mahlangu"/>
    <n v="40000"/>
    <x v="3"/>
    <x v="1"/>
    <n v="6.8485500000000005E-2"/>
    <n v="0"/>
    <n v="0"/>
    <n v="0"/>
    <n v="0"/>
    <n v="0"/>
    <n v="0"/>
    <x v="1"/>
    <x v="0"/>
  </r>
  <r>
    <x v="521"/>
    <s v="CC-10042"/>
    <x v="358"/>
    <s v="Unknown"/>
    <x v="29"/>
    <x v="6"/>
    <x v="0"/>
    <x v="521"/>
    <x v="0"/>
    <x v="0"/>
    <m/>
    <s v="Fatima Mahlangu"/>
    <n v="40000"/>
    <x v="3"/>
    <x v="1"/>
    <n v="7.4239999999999992E-3"/>
    <n v="0"/>
    <n v="1"/>
    <n v="0"/>
    <n v="0"/>
    <n v="0"/>
    <n v="0"/>
    <x v="0"/>
    <x v="0"/>
  </r>
  <r>
    <x v="522"/>
    <s v="CC-10042"/>
    <x v="33"/>
    <s v="16:48"/>
    <x v="25"/>
    <x v="6"/>
    <x v="2"/>
    <x v="522"/>
    <x v="2"/>
    <x v="0"/>
    <m/>
    <s v="Fatima Mahlangu"/>
    <n v="40000"/>
    <x v="3"/>
    <x v="1"/>
    <n v="9.279250000000001E-3"/>
    <n v="1"/>
    <n v="0"/>
    <n v="0"/>
    <n v="0"/>
    <n v="0"/>
    <n v="0"/>
    <x v="0"/>
    <x v="0"/>
  </r>
  <r>
    <x v="523"/>
    <s v="CC-10043"/>
    <x v="242"/>
    <s v="11:49"/>
    <x v="45"/>
    <x v="9"/>
    <x v="6"/>
    <x v="523"/>
    <x v="2"/>
    <x v="1"/>
    <m/>
    <s v="Nomvula Adams"/>
    <n v="30000"/>
    <x v="2"/>
    <x v="0"/>
    <n v="1.2419666666666666E-2"/>
    <n v="0"/>
    <n v="0"/>
    <n v="0"/>
    <n v="0"/>
    <n v="0"/>
    <n v="0"/>
    <x v="1"/>
    <x v="0"/>
  </r>
  <r>
    <x v="524"/>
    <s v="CC-10043"/>
    <x v="41"/>
    <s v="Unknown"/>
    <x v="39"/>
    <x v="5"/>
    <x v="1"/>
    <x v="524"/>
    <x v="1"/>
    <x v="1"/>
    <m/>
    <s v="Nomvula Adams"/>
    <n v="30000"/>
    <x v="2"/>
    <x v="0"/>
    <n v="5.4591333333333332E-2"/>
    <n v="1"/>
    <n v="1"/>
    <n v="0"/>
    <n v="0"/>
    <n v="0"/>
    <n v="1"/>
    <x v="2"/>
    <x v="1"/>
  </r>
  <r>
    <x v="525"/>
    <s v="CC-10043"/>
    <x v="83"/>
    <s v="08:32"/>
    <x v="18"/>
    <x v="11"/>
    <x v="7"/>
    <x v="525"/>
    <x v="1"/>
    <x v="0"/>
    <m/>
    <s v="Nomvula Adams"/>
    <n v="30000"/>
    <x v="2"/>
    <x v="0"/>
    <n v="3.0668666666666664E-2"/>
    <n v="0"/>
    <n v="0"/>
    <n v="0"/>
    <n v="0"/>
    <n v="0"/>
    <n v="1"/>
    <x v="0"/>
    <x v="0"/>
  </r>
  <r>
    <x v="526"/>
    <s v="CC-10043"/>
    <x v="359"/>
    <s v="17:27"/>
    <x v="24"/>
    <x v="3"/>
    <x v="1"/>
    <x v="526"/>
    <x v="0"/>
    <x v="1"/>
    <m/>
    <s v="Nomvula Adams"/>
    <n v="30000"/>
    <x v="2"/>
    <x v="0"/>
    <n v="1.9963999999999999E-2"/>
    <n v="1"/>
    <n v="0"/>
    <n v="0"/>
    <n v="0"/>
    <n v="0"/>
    <n v="0"/>
    <x v="0"/>
    <x v="0"/>
  </r>
  <r>
    <x v="527"/>
    <s v="CC-10043"/>
    <x v="360"/>
    <s v="11:09"/>
    <x v="30"/>
    <x v="3"/>
    <x v="1"/>
    <x v="527"/>
    <x v="2"/>
    <x v="0"/>
    <m/>
    <s v="Nomvula Adams"/>
    <n v="30000"/>
    <x v="2"/>
    <x v="0"/>
    <n v="8.8039999999999993E-3"/>
    <n v="0"/>
    <n v="0"/>
    <n v="0"/>
    <n v="0"/>
    <n v="0"/>
    <n v="0"/>
    <x v="1"/>
    <x v="0"/>
  </r>
  <r>
    <x v="528"/>
    <s v="CC-10043"/>
    <x v="361"/>
    <s v="20:40"/>
    <x v="39"/>
    <x v="5"/>
    <x v="1"/>
    <x v="528"/>
    <x v="2"/>
    <x v="1"/>
    <m/>
    <s v="Nomvula Adams"/>
    <n v="30000"/>
    <x v="2"/>
    <x v="0"/>
    <n v="6.4715333333333333E-2"/>
    <n v="0"/>
    <n v="0"/>
    <n v="0"/>
    <n v="0"/>
    <n v="0"/>
    <n v="0"/>
    <x v="1"/>
    <x v="0"/>
  </r>
  <r>
    <x v="529"/>
    <s v="CC-10043"/>
    <x v="362"/>
    <s v="15:46"/>
    <x v="47"/>
    <x v="4"/>
    <x v="7"/>
    <x v="529"/>
    <x v="2"/>
    <x v="0"/>
    <m/>
    <s v="Nomvula Adams"/>
    <n v="30000"/>
    <x v="2"/>
    <x v="0"/>
    <n v="1.0167333333333332E-2"/>
    <n v="0"/>
    <n v="0"/>
    <n v="0"/>
    <n v="0"/>
    <n v="0"/>
    <n v="0"/>
    <x v="1"/>
    <x v="0"/>
  </r>
  <r>
    <x v="530"/>
    <s v="CC-10043"/>
    <x v="363"/>
    <s v="18:08"/>
    <x v="35"/>
    <x v="0"/>
    <x v="1"/>
    <x v="530"/>
    <x v="0"/>
    <x v="0"/>
    <m/>
    <s v="Nomvula Adams"/>
    <n v="30000"/>
    <x v="2"/>
    <x v="0"/>
    <n v="0.12543333333333334"/>
    <n v="1"/>
    <n v="0"/>
    <n v="0"/>
    <n v="0"/>
    <n v="0"/>
    <n v="0"/>
    <x v="0"/>
    <x v="0"/>
  </r>
  <r>
    <x v="531"/>
    <s v="CC-10043"/>
    <x v="210"/>
    <s v="18:36"/>
    <x v="27"/>
    <x v="2"/>
    <x v="1"/>
    <x v="531"/>
    <x v="2"/>
    <x v="1"/>
    <m/>
    <s v="Nomvula Adams"/>
    <n v="30000"/>
    <x v="2"/>
    <x v="0"/>
    <n v="3.2098333333333333E-2"/>
    <n v="0"/>
    <n v="0"/>
    <n v="0"/>
    <n v="0"/>
    <n v="0"/>
    <n v="0"/>
    <x v="1"/>
    <x v="0"/>
  </r>
  <r>
    <x v="532"/>
    <s v="CC-10043"/>
    <x v="327"/>
    <s v="13:22"/>
    <x v="6"/>
    <x v="2"/>
    <x v="1"/>
    <x v="532"/>
    <x v="1"/>
    <x v="0"/>
    <m/>
    <s v="Nomvula Adams"/>
    <n v="30000"/>
    <x v="2"/>
    <x v="0"/>
    <n v="3.4394333333333332E-2"/>
    <n v="0"/>
    <n v="0"/>
    <n v="0"/>
    <n v="0"/>
    <n v="0"/>
    <n v="1"/>
    <x v="0"/>
    <x v="0"/>
  </r>
  <r>
    <x v="533"/>
    <s v="CC-10044"/>
    <x v="278"/>
    <s v="19:47"/>
    <x v="45"/>
    <x v="9"/>
    <x v="0"/>
    <x v="533"/>
    <x v="1"/>
    <x v="0"/>
    <m/>
    <s v="Johan Naidoo"/>
    <n v="20000"/>
    <x v="4"/>
    <x v="0"/>
    <n v="2.7354000000000003E-2"/>
    <n v="0"/>
    <n v="0"/>
    <n v="0"/>
    <n v="0"/>
    <n v="0"/>
    <n v="1"/>
    <x v="0"/>
    <x v="0"/>
  </r>
  <r>
    <x v="534"/>
    <s v="CC-10044"/>
    <x v="364"/>
    <s v="11:47"/>
    <x v="9"/>
    <x v="3"/>
    <x v="0"/>
    <x v="534"/>
    <x v="0"/>
    <x v="0"/>
    <s v="verified via OTP call"/>
    <s v="Johan Naidoo"/>
    <n v="20000"/>
    <x v="4"/>
    <x v="0"/>
    <n v="2.1125999999999999E-2"/>
    <n v="0"/>
    <n v="0"/>
    <n v="0"/>
    <n v="0"/>
    <n v="0"/>
    <n v="0"/>
    <x v="1"/>
    <x v="0"/>
  </r>
  <r>
    <x v="535"/>
    <s v="CC-10044"/>
    <x v="280"/>
    <s v="15:15"/>
    <x v="24"/>
    <x v="3"/>
    <x v="0"/>
    <x v="535"/>
    <x v="3"/>
    <x v="0"/>
    <m/>
    <s v="Johan Naidoo"/>
    <n v="20000"/>
    <x v="4"/>
    <x v="0"/>
    <n v="1.3599000000000002E-2"/>
    <n v="0"/>
    <n v="0"/>
    <n v="0"/>
    <n v="0"/>
    <n v="0"/>
    <n v="1"/>
    <x v="0"/>
    <x v="0"/>
  </r>
  <r>
    <x v="536"/>
    <s v="CC-10044"/>
    <x v="278"/>
    <s v="10:30"/>
    <x v="4"/>
    <x v="3"/>
    <x v="0"/>
    <x v="536"/>
    <x v="1"/>
    <x v="0"/>
    <m/>
    <s v="Johan Naidoo"/>
    <n v="20000"/>
    <x v="4"/>
    <x v="0"/>
    <n v="6.9480000000000002E-3"/>
    <n v="0"/>
    <n v="0"/>
    <n v="0"/>
    <n v="0"/>
    <n v="0"/>
    <n v="1"/>
    <x v="0"/>
    <x v="0"/>
  </r>
  <r>
    <x v="537"/>
    <s v="CC-10044"/>
    <x v="340"/>
    <s v="15:02"/>
    <x v="32"/>
    <x v="1"/>
    <x v="0"/>
    <x v="537"/>
    <x v="3"/>
    <x v="0"/>
    <m/>
    <s v="Johan Naidoo"/>
    <n v="20000"/>
    <x v="4"/>
    <x v="0"/>
    <n v="0.13255899999999998"/>
    <n v="0"/>
    <n v="0"/>
    <n v="0"/>
    <n v="0"/>
    <n v="0"/>
    <n v="1"/>
    <x v="0"/>
    <x v="0"/>
  </r>
  <r>
    <x v="538"/>
    <s v="CC-10044"/>
    <x v="78"/>
    <s v="21:29"/>
    <x v="8"/>
    <x v="6"/>
    <x v="5"/>
    <x v="538"/>
    <x v="0"/>
    <x v="0"/>
    <m/>
    <s v="Johan Naidoo"/>
    <n v="20000"/>
    <x v="4"/>
    <x v="0"/>
    <n v="7.2585999999999998E-2"/>
    <n v="0"/>
    <n v="0"/>
    <n v="0"/>
    <n v="0"/>
    <n v="1"/>
    <n v="0"/>
    <x v="0"/>
    <x v="0"/>
  </r>
  <r>
    <x v="539"/>
    <s v="CC-10044"/>
    <x v="365"/>
    <s v="07:12"/>
    <x v="15"/>
    <x v="10"/>
    <x v="0"/>
    <x v="539"/>
    <x v="2"/>
    <x v="1"/>
    <m/>
    <s v="Johan Naidoo"/>
    <n v="20000"/>
    <x v="4"/>
    <x v="0"/>
    <n v="0.71247899999999997"/>
    <n v="1"/>
    <n v="0"/>
    <n v="0"/>
    <n v="0"/>
    <n v="0"/>
    <n v="0"/>
    <x v="0"/>
    <x v="0"/>
  </r>
  <r>
    <x v="540"/>
    <s v="CC-10044"/>
    <x v="311"/>
    <s v="22:08"/>
    <x v="6"/>
    <x v="2"/>
    <x v="0"/>
    <x v="540"/>
    <x v="2"/>
    <x v="0"/>
    <m/>
    <s v="Johan Naidoo"/>
    <n v="20000"/>
    <x v="4"/>
    <x v="0"/>
    <n v="2.4430500000000001E-2"/>
    <n v="0"/>
    <n v="0"/>
    <n v="0"/>
    <n v="1"/>
    <n v="0"/>
    <n v="0"/>
    <x v="0"/>
    <x v="0"/>
  </r>
  <r>
    <x v="541"/>
    <s v="CC-10044"/>
    <x v="175"/>
    <s v="09:27"/>
    <x v="42"/>
    <x v="4"/>
    <x v="0"/>
    <x v="541"/>
    <x v="1"/>
    <x v="0"/>
    <m/>
    <s v="Johan Naidoo"/>
    <n v="20000"/>
    <x v="4"/>
    <x v="0"/>
    <n v="1.9443000000000002E-2"/>
    <n v="0"/>
    <n v="0"/>
    <n v="0"/>
    <n v="0"/>
    <n v="0"/>
    <n v="1"/>
    <x v="0"/>
    <x v="0"/>
  </r>
  <r>
    <x v="542"/>
    <s v="CC-10044"/>
    <x v="228"/>
    <s v="21:00"/>
    <x v="11"/>
    <x v="8"/>
    <x v="0"/>
    <x v="542"/>
    <x v="0"/>
    <x v="0"/>
    <s v="chargeback initiated"/>
    <s v="Johan Naidoo"/>
    <n v="20000"/>
    <x v="4"/>
    <x v="0"/>
    <n v="6.0542999999999993E-2"/>
    <n v="0"/>
    <n v="0"/>
    <n v="0"/>
    <n v="0"/>
    <n v="0"/>
    <n v="0"/>
    <x v="1"/>
    <x v="0"/>
  </r>
  <r>
    <x v="543"/>
    <s v="CC-10044"/>
    <x v="97"/>
    <s v="13:35"/>
    <x v="24"/>
    <x v="3"/>
    <x v="2"/>
    <x v="543"/>
    <x v="3"/>
    <x v="0"/>
    <m/>
    <s v="Johan Naidoo"/>
    <n v="20000"/>
    <x v="4"/>
    <x v="0"/>
    <n v="8.1930000000000006E-3"/>
    <n v="0"/>
    <n v="0"/>
    <n v="0"/>
    <n v="0"/>
    <n v="1"/>
    <n v="1"/>
    <x v="3"/>
    <x v="2"/>
  </r>
  <r>
    <x v="544"/>
    <s v="CC-10045"/>
    <x v="100"/>
    <s v="09:07"/>
    <x v="13"/>
    <x v="9"/>
    <x v="4"/>
    <x v="544"/>
    <x v="0"/>
    <x v="0"/>
    <m/>
    <s v="Precious Pretorius"/>
    <n v="20000"/>
    <x v="2"/>
    <x v="1"/>
    <n v="2.82315E-2"/>
    <n v="1"/>
    <n v="0"/>
    <n v="0"/>
    <n v="0"/>
    <n v="0"/>
    <n v="0"/>
    <x v="0"/>
    <x v="0"/>
  </r>
  <r>
    <x v="545"/>
    <s v="CC-10045"/>
    <x v="366"/>
    <s v="18:55"/>
    <x v="30"/>
    <x v="3"/>
    <x v="8"/>
    <x v="545"/>
    <x v="3"/>
    <x v="1"/>
    <m/>
    <s v="Precious Pretorius"/>
    <n v="20000"/>
    <x v="2"/>
    <x v="1"/>
    <n v="1.4002000000000001E-2"/>
    <n v="1"/>
    <n v="0"/>
    <n v="0"/>
    <n v="0"/>
    <n v="0"/>
    <n v="1"/>
    <x v="3"/>
    <x v="2"/>
  </r>
  <r>
    <x v="546"/>
    <s v="CC-10045"/>
    <x v="174"/>
    <s v="09:20"/>
    <x v="34"/>
    <x v="7"/>
    <x v="8"/>
    <x v="546"/>
    <x v="1"/>
    <x v="1"/>
    <m/>
    <s v="Precious Pretorius"/>
    <n v="20000"/>
    <x v="2"/>
    <x v="1"/>
    <n v="0.25819899999999996"/>
    <n v="1"/>
    <n v="0"/>
    <n v="0"/>
    <n v="0"/>
    <n v="0"/>
    <n v="1"/>
    <x v="3"/>
    <x v="2"/>
  </r>
  <r>
    <x v="547"/>
    <s v="CC-10045"/>
    <x v="80"/>
    <s v="14:05"/>
    <x v="24"/>
    <x v="3"/>
    <x v="2"/>
    <x v="547"/>
    <x v="1"/>
    <x v="0"/>
    <m/>
    <s v="Precious Pretorius"/>
    <n v="20000"/>
    <x v="2"/>
    <x v="1"/>
    <n v="2.1969499999999999E-2"/>
    <n v="1"/>
    <n v="0"/>
    <n v="0"/>
    <n v="0"/>
    <n v="0"/>
    <n v="1"/>
    <x v="3"/>
    <x v="2"/>
  </r>
  <r>
    <x v="548"/>
    <s v="CC-10045"/>
    <x v="367"/>
    <s v="20:24"/>
    <x v="39"/>
    <x v="5"/>
    <x v="8"/>
    <x v="548"/>
    <x v="1"/>
    <x v="0"/>
    <m/>
    <s v="Precious Pretorius"/>
    <n v="20000"/>
    <x v="2"/>
    <x v="1"/>
    <n v="7.0303499999999991E-2"/>
    <n v="1"/>
    <n v="0"/>
    <n v="0"/>
    <n v="0"/>
    <n v="0"/>
    <n v="1"/>
    <x v="3"/>
    <x v="2"/>
  </r>
  <r>
    <x v="549"/>
    <s v="CC-10045"/>
    <x v="328"/>
    <s v="17:20"/>
    <x v="1"/>
    <x v="1"/>
    <x v="0"/>
    <x v="549"/>
    <x v="3"/>
    <x v="0"/>
    <m/>
    <s v="Precious Pretorius"/>
    <n v="20000"/>
    <x v="2"/>
    <x v="1"/>
    <n v="4.9238999999999998E-2"/>
    <n v="1"/>
    <n v="0"/>
    <n v="0"/>
    <n v="0"/>
    <n v="0"/>
    <n v="1"/>
    <x v="3"/>
    <x v="2"/>
  </r>
  <r>
    <x v="550"/>
    <s v="CC-10045"/>
    <x v="75"/>
    <s v="22:17"/>
    <x v="31"/>
    <x v="11"/>
    <x v="4"/>
    <x v="550"/>
    <x v="3"/>
    <x v="0"/>
    <m/>
    <s v="Precious Pretorius"/>
    <n v="20000"/>
    <x v="2"/>
    <x v="1"/>
    <n v="0.138179"/>
    <n v="1"/>
    <n v="0"/>
    <n v="0"/>
    <n v="0"/>
    <n v="1"/>
    <n v="1"/>
    <x v="2"/>
    <x v="1"/>
  </r>
  <r>
    <x v="551"/>
    <s v="CC-10045"/>
    <x v="185"/>
    <s v="13:22"/>
    <x v="22"/>
    <x v="5"/>
    <x v="8"/>
    <x v="551"/>
    <x v="3"/>
    <x v="1"/>
    <m/>
    <s v="Precious Pretorius"/>
    <n v="20000"/>
    <x v="2"/>
    <x v="1"/>
    <n v="0.1024795"/>
    <n v="1"/>
    <n v="0"/>
    <n v="0"/>
    <n v="0"/>
    <n v="0"/>
    <n v="1"/>
    <x v="3"/>
    <x v="2"/>
  </r>
  <r>
    <x v="552"/>
    <s v="CC-10045"/>
    <x v="368"/>
    <s v="17:33"/>
    <x v="13"/>
    <x v="9"/>
    <x v="4"/>
    <x v="552"/>
    <x v="3"/>
    <x v="0"/>
    <m/>
    <s v="Precious Pretorius"/>
    <n v="20000"/>
    <x v="2"/>
    <x v="1"/>
    <n v="2.9510500000000002E-2"/>
    <n v="1"/>
    <n v="0"/>
    <n v="0"/>
    <n v="0"/>
    <n v="0"/>
    <n v="1"/>
    <x v="3"/>
    <x v="2"/>
  </r>
  <r>
    <x v="553"/>
    <s v="CC-10046"/>
    <x v="141"/>
    <s v="15:48"/>
    <x v="27"/>
    <x v="2"/>
    <x v="0"/>
    <x v="553"/>
    <x v="1"/>
    <x v="1"/>
    <m/>
    <s v="Aisha Nkosi"/>
    <n v="80000"/>
    <x v="0"/>
    <x v="0"/>
    <n v="4.2509999999999996E-3"/>
    <n v="1"/>
    <n v="0"/>
    <n v="0"/>
    <n v="0"/>
    <n v="0"/>
    <n v="1"/>
    <x v="3"/>
    <x v="2"/>
  </r>
  <r>
    <x v="554"/>
    <s v="CC-10046"/>
    <x v="369"/>
    <s v="13:07"/>
    <x v="18"/>
    <x v="11"/>
    <x v="0"/>
    <x v="554"/>
    <x v="2"/>
    <x v="1"/>
    <m/>
    <s v="Aisha Nkosi"/>
    <n v="80000"/>
    <x v="0"/>
    <x v="0"/>
    <n v="2.4095249999999999E-2"/>
    <n v="0"/>
    <n v="0"/>
    <n v="0"/>
    <n v="0"/>
    <n v="0"/>
    <n v="0"/>
    <x v="1"/>
    <x v="0"/>
  </r>
  <r>
    <x v="555"/>
    <s v="CC-10046"/>
    <x v="82"/>
    <s v="17:35"/>
    <x v="25"/>
    <x v="6"/>
    <x v="3"/>
    <x v="555"/>
    <x v="0"/>
    <x v="0"/>
    <m/>
    <s v="Aisha Nkosi"/>
    <n v="80000"/>
    <x v="0"/>
    <x v="0"/>
    <n v="8.3948749999999996E-3"/>
    <n v="0"/>
    <n v="0"/>
    <n v="0"/>
    <n v="0"/>
    <n v="0"/>
    <n v="0"/>
    <x v="1"/>
    <x v="0"/>
  </r>
  <r>
    <x v="556"/>
    <s v="CC-10046"/>
    <x v="370"/>
    <s v="20:55"/>
    <x v="30"/>
    <x v="3"/>
    <x v="0"/>
    <x v="556"/>
    <x v="0"/>
    <x v="0"/>
    <m/>
    <s v="Aisha Nkosi"/>
    <n v="80000"/>
    <x v="0"/>
    <x v="0"/>
    <n v="4.2006250000000004E-3"/>
    <n v="1"/>
    <n v="0"/>
    <n v="0"/>
    <n v="0"/>
    <n v="0"/>
    <n v="0"/>
    <x v="0"/>
    <x v="0"/>
  </r>
  <r>
    <x v="557"/>
    <s v="CC-10046"/>
    <x v="303"/>
    <s v="15:36"/>
    <x v="6"/>
    <x v="2"/>
    <x v="0"/>
    <x v="557"/>
    <x v="1"/>
    <x v="0"/>
    <m/>
    <s v="Aisha Nkosi"/>
    <n v="80000"/>
    <x v="0"/>
    <x v="0"/>
    <n v="7.6439999999999998E-3"/>
    <n v="0"/>
    <n v="0"/>
    <n v="0"/>
    <n v="0"/>
    <n v="0"/>
    <n v="1"/>
    <x v="0"/>
    <x v="0"/>
  </r>
  <r>
    <x v="558"/>
    <s v="CC-10046"/>
    <x v="257"/>
    <s v="20:19"/>
    <x v="37"/>
    <x v="10"/>
    <x v="0"/>
    <x v="558"/>
    <x v="3"/>
    <x v="0"/>
    <m/>
    <s v="Aisha Nkosi"/>
    <n v="80000"/>
    <x v="0"/>
    <x v="0"/>
    <n v="0.20668850000000002"/>
    <n v="0"/>
    <n v="0"/>
    <n v="0"/>
    <n v="0"/>
    <n v="0"/>
    <n v="1"/>
    <x v="0"/>
    <x v="0"/>
  </r>
  <r>
    <x v="559"/>
    <s v="CC-10046"/>
    <x v="309"/>
    <s v="13:13"/>
    <x v="27"/>
    <x v="2"/>
    <x v="0"/>
    <x v="559"/>
    <x v="2"/>
    <x v="0"/>
    <m/>
    <s v="Aisha Nkosi"/>
    <n v="80000"/>
    <x v="0"/>
    <x v="0"/>
    <n v="1.3627625000000001E-2"/>
    <n v="0"/>
    <n v="0"/>
    <n v="0"/>
    <n v="0"/>
    <n v="0"/>
    <n v="0"/>
    <x v="1"/>
    <x v="0"/>
  </r>
  <r>
    <x v="560"/>
    <s v="CC-10046"/>
    <x v="201"/>
    <s v="14:11"/>
    <x v="30"/>
    <x v="3"/>
    <x v="0"/>
    <x v="560"/>
    <x v="2"/>
    <x v="0"/>
    <m/>
    <s v="Aisha Nkosi"/>
    <n v="80000"/>
    <x v="0"/>
    <x v="0"/>
    <n v="8.074375E-3"/>
    <n v="0"/>
    <n v="0"/>
    <n v="0"/>
    <n v="0"/>
    <n v="0"/>
    <n v="0"/>
    <x v="1"/>
    <x v="0"/>
  </r>
  <r>
    <x v="561"/>
    <s v="CC-10046"/>
    <x v="190"/>
    <s v="Unknown"/>
    <x v="30"/>
    <x v="3"/>
    <x v="0"/>
    <x v="561"/>
    <x v="0"/>
    <x v="0"/>
    <m/>
    <s v="Aisha Nkosi"/>
    <n v="80000"/>
    <x v="0"/>
    <x v="0"/>
    <n v="6.0368749999999997E-3"/>
    <n v="0"/>
    <n v="1"/>
    <n v="0"/>
    <n v="0"/>
    <n v="0"/>
    <n v="0"/>
    <x v="0"/>
    <x v="0"/>
  </r>
  <r>
    <x v="562"/>
    <s v="CC-10046"/>
    <x v="368"/>
    <s v="20:19"/>
    <x v="30"/>
    <x v="3"/>
    <x v="1"/>
    <x v="562"/>
    <x v="3"/>
    <x v="0"/>
    <m/>
    <s v="Aisha Nkosi"/>
    <n v="80000"/>
    <x v="0"/>
    <x v="0"/>
    <n v="6.12125E-3"/>
    <n v="0"/>
    <n v="0"/>
    <n v="0"/>
    <n v="0"/>
    <n v="0"/>
    <n v="1"/>
    <x v="0"/>
    <x v="0"/>
  </r>
  <r>
    <x v="563"/>
    <s v="CC-10046"/>
    <x v="371"/>
    <s v="15:13"/>
    <x v="35"/>
    <x v="0"/>
    <x v="0"/>
    <x v="563"/>
    <x v="0"/>
    <x v="0"/>
    <m/>
    <s v="Aisha Nkosi"/>
    <n v="80000"/>
    <x v="0"/>
    <x v="0"/>
    <n v="8.6614999999999991E-3"/>
    <n v="1"/>
    <n v="0"/>
    <n v="0"/>
    <n v="0"/>
    <n v="0"/>
    <n v="0"/>
    <x v="0"/>
    <x v="0"/>
  </r>
  <r>
    <x v="564"/>
    <s v="CC-10046"/>
    <x v="124"/>
    <s v="11:37"/>
    <x v="8"/>
    <x v="6"/>
    <x v="0"/>
    <x v="564"/>
    <x v="0"/>
    <x v="0"/>
    <m/>
    <s v="Aisha Nkosi"/>
    <n v="80000"/>
    <x v="0"/>
    <x v="0"/>
    <n v="1.952125E-2"/>
    <n v="0"/>
    <n v="0"/>
    <n v="0"/>
    <n v="0"/>
    <n v="0"/>
    <n v="0"/>
    <x v="1"/>
    <x v="0"/>
  </r>
  <r>
    <x v="565"/>
    <s v="CC-10046"/>
    <x v="372"/>
    <s v="10:52"/>
    <x v="26"/>
    <x v="2"/>
    <x v="0"/>
    <x v="565"/>
    <x v="1"/>
    <x v="0"/>
    <m/>
    <s v="Aisha Nkosi"/>
    <n v="80000"/>
    <x v="0"/>
    <x v="0"/>
    <n v="4.9022500000000004E-3"/>
    <n v="0"/>
    <n v="0"/>
    <n v="0"/>
    <n v="0"/>
    <n v="0"/>
    <n v="1"/>
    <x v="0"/>
    <x v="0"/>
  </r>
  <r>
    <x v="566"/>
    <s v="CC-10047"/>
    <x v="20"/>
    <s v="11:46"/>
    <x v="7"/>
    <x v="5"/>
    <x v="3"/>
    <x v="566"/>
    <x v="1"/>
    <x v="0"/>
    <m/>
    <s v="Sanele Pretorius"/>
    <n v="15000"/>
    <x v="2"/>
    <x v="0"/>
    <n v="8.1612666666666667E-2"/>
    <n v="0"/>
    <n v="0"/>
    <n v="0"/>
    <n v="0"/>
    <n v="0"/>
    <n v="1"/>
    <x v="0"/>
    <x v="0"/>
  </r>
  <r>
    <x v="567"/>
    <s v="CC-10047"/>
    <x v="227"/>
    <s v="13:18"/>
    <x v="22"/>
    <x v="5"/>
    <x v="0"/>
    <x v="387"/>
    <x v="0"/>
    <x v="0"/>
    <m/>
    <s v="Sanele Pretorius"/>
    <n v="15000"/>
    <x v="2"/>
    <x v="0"/>
    <n v="1.1852E-2"/>
    <n v="1"/>
    <n v="0"/>
    <n v="0"/>
    <n v="0"/>
    <n v="0"/>
    <n v="0"/>
    <x v="0"/>
    <x v="0"/>
  </r>
  <r>
    <x v="568"/>
    <s v="CC-10047"/>
    <x v="147"/>
    <s v="13:14"/>
    <x v="42"/>
    <x v="4"/>
    <x v="5"/>
    <x v="567"/>
    <x v="0"/>
    <x v="0"/>
    <m/>
    <s v="Sanele Pretorius"/>
    <n v="15000"/>
    <x v="2"/>
    <x v="0"/>
    <n v="1.8141999999999998E-2"/>
    <n v="1"/>
    <n v="0"/>
    <n v="0"/>
    <n v="0"/>
    <n v="0"/>
    <n v="0"/>
    <x v="0"/>
    <x v="0"/>
  </r>
  <r>
    <x v="569"/>
    <s v="CC-10047"/>
    <x v="373"/>
    <s v="13:42"/>
    <x v="25"/>
    <x v="6"/>
    <x v="6"/>
    <x v="568"/>
    <x v="3"/>
    <x v="0"/>
    <m/>
    <s v="Sanele Pretorius"/>
    <n v="15000"/>
    <x v="2"/>
    <x v="0"/>
    <n v="8.6019333333333337E-2"/>
    <n v="1"/>
    <n v="0"/>
    <n v="0"/>
    <n v="0"/>
    <n v="0"/>
    <n v="1"/>
    <x v="3"/>
    <x v="2"/>
  </r>
  <r>
    <x v="570"/>
    <s v="CC-10047"/>
    <x v="269"/>
    <s v="20:38"/>
    <x v="28"/>
    <x v="4"/>
    <x v="5"/>
    <x v="569"/>
    <x v="1"/>
    <x v="1"/>
    <m/>
    <s v="Sanele Pretorius"/>
    <n v="15000"/>
    <x v="2"/>
    <x v="0"/>
    <n v="1.3057333333333334E-2"/>
    <n v="1"/>
    <n v="0"/>
    <n v="0"/>
    <n v="0"/>
    <n v="0"/>
    <n v="1"/>
    <x v="3"/>
    <x v="2"/>
  </r>
  <r>
    <x v="571"/>
    <s v="CC-10047"/>
    <x v="100"/>
    <s v="07:05"/>
    <x v="8"/>
    <x v="6"/>
    <x v="6"/>
    <x v="570"/>
    <x v="2"/>
    <x v="1"/>
    <m/>
    <s v="Sanele Pretorius"/>
    <n v="15000"/>
    <x v="2"/>
    <x v="0"/>
    <n v="7.3128666666666675E-2"/>
    <n v="1"/>
    <n v="0"/>
    <n v="0"/>
    <n v="0"/>
    <n v="0"/>
    <n v="0"/>
    <x v="0"/>
    <x v="0"/>
  </r>
  <r>
    <x v="572"/>
    <s v="CC-10047"/>
    <x v="122"/>
    <s v="21:15"/>
    <x v="34"/>
    <x v="7"/>
    <x v="0"/>
    <x v="571"/>
    <x v="0"/>
    <x v="0"/>
    <m/>
    <s v="Sanele Pretorius"/>
    <n v="15000"/>
    <x v="2"/>
    <x v="0"/>
    <n v="0.25583066666666665"/>
    <n v="1"/>
    <n v="0"/>
    <n v="0"/>
    <n v="0"/>
    <n v="0"/>
    <n v="0"/>
    <x v="0"/>
    <x v="0"/>
  </r>
  <r>
    <x v="573"/>
    <s v="CC-10047"/>
    <x v="161"/>
    <s v="13:11"/>
    <x v="5"/>
    <x v="4"/>
    <x v="0"/>
    <x v="572"/>
    <x v="0"/>
    <x v="0"/>
    <m/>
    <s v="Sanele Pretorius"/>
    <n v="15000"/>
    <x v="2"/>
    <x v="0"/>
    <n v="2.2046666666666666E-2"/>
    <n v="1"/>
    <n v="0"/>
    <n v="0"/>
    <n v="0"/>
    <n v="0"/>
    <n v="0"/>
    <x v="0"/>
    <x v="0"/>
  </r>
  <r>
    <x v="574"/>
    <s v="CC-10047"/>
    <x v="3"/>
    <s v="22:23"/>
    <x v="2"/>
    <x v="2"/>
    <x v="0"/>
    <x v="573"/>
    <x v="3"/>
    <x v="0"/>
    <m/>
    <s v="Sanele Pretorius"/>
    <n v="15000"/>
    <x v="2"/>
    <x v="0"/>
    <n v="2.6637333333333332E-2"/>
    <n v="1"/>
    <n v="0"/>
    <n v="0"/>
    <n v="0"/>
    <n v="0"/>
    <n v="1"/>
    <x v="3"/>
    <x v="2"/>
  </r>
  <r>
    <x v="575"/>
    <s v="CC-10047"/>
    <x v="249"/>
    <s v="14:19"/>
    <x v="27"/>
    <x v="2"/>
    <x v="5"/>
    <x v="574"/>
    <x v="1"/>
    <x v="0"/>
    <m/>
    <s v="Sanele Pretorius"/>
    <n v="15000"/>
    <x v="2"/>
    <x v="0"/>
    <n v="3.930666666666667E-2"/>
    <n v="1"/>
    <n v="0"/>
    <n v="0"/>
    <n v="0"/>
    <n v="0"/>
    <n v="1"/>
    <x v="3"/>
    <x v="2"/>
  </r>
  <r>
    <x v="576"/>
    <s v="CC-10047"/>
    <x v="374"/>
    <s v="07:25"/>
    <x v="30"/>
    <x v="3"/>
    <x v="6"/>
    <x v="575"/>
    <x v="0"/>
    <x v="0"/>
    <m/>
    <s v="Sanele Pretorius"/>
    <n v="15000"/>
    <x v="2"/>
    <x v="0"/>
    <n v="1.3495333333333333E-2"/>
    <n v="1"/>
    <n v="0"/>
    <n v="0"/>
    <n v="0"/>
    <n v="0"/>
    <n v="0"/>
    <x v="0"/>
    <x v="0"/>
  </r>
  <r>
    <x v="577"/>
    <s v="CC-10048"/>
    <x v="158"/>
    <s v="12:47"/>
    <x v="26"/>
    <x v="2"/>
    <x v="3"/>
    <x v="576"/>
    <x v="2"/>
    <x v="0"/>
    <m/>
    <s v="Johan Zulu"/>
    <n v="40000"/>
    <x v="3"/>
    <x v="1"/>
    <n v="1.3566499999999999E-2"/>
    <n v="1"/>
    <n v="0"/>
    <n v="0"/>
    <n v="0"/>
    <n v="0"/>
    <n v="0"/>
    <x v="0"/>
    <x v="0"/>
  </r>
  <r>
    <x v="578"/>
    <s v="CC-10048"/>
    <x v="375"/>
    <s v="14:45"/>
    <x v="30"/>
    <x v="3"/>
    <x v="3"/>
    <x v="577"/>
    <x v="1"/>
    <x v="0"/>
    <m/>
    <s v="Johan Zulu"/>
    <n v="40000"/>
    <x v="3"/>
    <x v="1"/>
    <n v="1.4717500000000001E-2"/>
    <n v="1"/>
    <n v="0"/>
    <n v="0"/>
    <n v="0"/>
    <n v="0"/>
    <n v="1"/>
    <x v="3"/>
    <x v="2"/>
  </r>
  <r>
    <x v="579"/>
    <s v="CC-10048"/>
    <x v="376"/>
    <s v="18:18"/>
    <x v="25"/>
    <x v="6"/>
    <x v="8"/>
    <x v="578"/>
    <x v="2"/>
    <x v="0"/>
    <m/>
    <s v="Johan Zulu"/>
    <n v="40000"/>
    <x v="3"/>
    <x v="1"/>
    <n v="4.1355500000000003E-2"/>
    <n v="1"/>
    <n v="0"/>
    <n v="0"/>
    <n v="0"/>
    <n v="0"/>
    <n v="0"/>
    <x v="0"/>
    <x v="0"/>
  </r>
  <r>
    <x v="580"/>
    <s v="CC-10048"/>
    <x v="50"/>
    <s v="20:46"/>
    <x v="18"/>
    <x v="11"/>
    <x v="4"/>
    <x v="579"/>
    <x v="3"/>
    <x v="0"/>
    <m/>
    <s v="Johan Zulu"/>
    <n v="40000"/>
    <x v="3"/>
    <x v="1"/>
    <n v="7.7664750000000005E-2"/>
    <n v="1"/>
    <n v="0"/>
    <n v="0"/>
    <n v="0"/>
    <n v="0"/>
    <n v="1"/>
    <x v="3"/>
    <x v="2"/>
  </r>
  <r>
    <x v="581"/>
    <s v="CC-10048"/>
    <x v="212"/>
    <s v="13:03"/>
    <x v="30"/>
    <x v="3"/>
    <x v="4"/>
    <x v="580"/>
    <x v="2"/>
    <x v="0"/>
    <m/>
    <s v="Johan Zulu"/>
    <n v="40000"/>
    <x v="3"/>
    <x v="1"/>
    <n v="1.5672249999999999E-2"/>
    <n v="1"/>
    <n v="0"/>
    <n v="0"/>
    <n v="0"/>
    <n v="0"/>
    <n v="0"/>
    <x v="0"/>
    <x v="0"/>
  </r>
  <r>
    <x v="582"/>
    <s v="CC-10048"/>
    <x v="21"/>
    <s v="12:16"/>
    <x v="19"/>
    <x v="6"/>
    <x v="8"/>
    <x v="581"/>
    <x v="3"/>
    <x v="0"/>
    <m/>
    <s v="Johan Zulu"/>
    <n v="40000"/>
    <x v="3"/>
    <x v="1"/>
    <n v="4.4832749999999998E-2"/>
    <n v="1"/>
    <n v="0"/>
    <n v="0"/>
    <n v="0"/>
    <n v="0"/>
    <n v="1"/>
    <x v="3"/>
    <x v="2"/>
  </r>
  <r>
    <x v="583"/>
    <s v="CC-10048"/>
    <x v="377"/>
    <s v="18:53"/>
    <x v="30"/>
    <x v="3"/>
    <x v="1"/>
    <x v="582"/>
    <x v="3"/>
    <x v="0"/>
    <m/>
    <s v="Johan Zulu"/>
    <n v="40000"/>
    <x v="3"/>
    <x v="1"/>
    <n v="1.2963249999999999E-2"/>
    <n v="1"/>
    <n v="0"/>
    <n v="0"/>
    <n v="0"/>
    <n v="0"/>
    <n v="1"/>
    <x v="3"/>
    <x v="2"/>
  </r>
  <r>
    <x v="584"/>
    <s v="CC-10048"/>
    <x v="378"/>
    <s v="10:07"/>
    <x v="20"/>
    <x v="6"/>
    <x v="4"/>
    <x v="583"/>
    <x v="2"/>
    <x v="0"/>
    <m/>
    <s v="Johan Zulu"/>
    <n v="40000"/>
    <x v="3"/>
    <x v="1"/>
    <n v="3.7434249999999995E-2"/>
    <n v="1"/>
    <n v="0"/>
    <n v="0"/>
    <n v="0"/>
    <n v="0"/>
    <n v="0"/>
    <x v="0"/>
    <x v="0"/>
  </r>
  <r>
    <x v="585"/>
    <s v="CC-10049"/>
    <x v="105"/>
    <s v="14:46"/>
    <x v="45"/>
    <x v="9"/>
    <x v="0"/>
    <x v="584"/>
    <x v="1"/>
    <x v="0"/>
    <m/>
    <s v="Mariam Dlamini"/>
    <n v="20000"/>
    <x v="0"/>
    <x v="1"/>
    <n v="1.8074E-2"/>
    <n v="1"/>
    <n v="0"/>
    <n v="0"/>
    <n v="0"/>
    <n v="0"/>
    <n v="1"/>
    <x v="3"/>
    <x v="2"/>
  </r>
  <r>
    <x v="586"/>
    <s v="CC-10049"/>
    <x v="379"/>
    <s v="22:21"/>
    <x v="6"/>
    <x v="2"/>
    <x v="0"/>
    <x v="585"/>
    <x v="0"/>
    <x v="0"/>
    <m/>
    <s v="Mariam Dlamini"/>
    <n v="20000"/>
    <x v="0"/>
    <x v="1"/>
    <n v="4.7501999999999996E-2"/>
    <n v="0"/>
    <n v="0"/>
    <n v="0"/>
    <n v="0"/>
    <n v="0"/>
    <n v="0"/>
    <x v="1"/>
    <x v="0"/>
  </r>
  <r>
    <x v="587"/>
    <s v="CC-10049"/>
    <x v="380"/>
    <s v="10:11"/>
    <x v="18"/>
    <x v="11"/>
    <x v="0"/>
    <x v="586"/>
    <x v="2"/>
    <x v="0"/>
    <m/>
    <s v="Mariam Dlamini"/>
    <n v="20000"/>
    <x v="0"/>
    <x v="1"/>
    <n v="0.16791800000000001"/>
    <n v="0"/>
    <n v="0"/>
    <n v="0"/>
    <n v="0"/>
    <n v="0"/>
    <n v="0"/>
    <x v="1"/>
    <x v="0"/>
  </r>
  <r>
    <x v="588"/>
    <s v="CC-10049"/>
    <x v="35"/>
    <s v="20:19"/>
    <x v="8"/>
    <x v="6"/>
    <x v="0"/>
    <x v="587"/>
    <x v="3"/>
    <x v="0"/>
    <m/>
    <s v="Mariam Dlamini"/>
    <n v="20000"/>
    <x v="0"/>
    <x v="1"/>
    <n v="2.6068500000000001E-2"/>
    <n v="0"/>
    <n v="0"/>
    <n v="0"/>
    <n v="0"/>
    <n v="0"/>
    <n v="1"/>
    <x v="0"/>
    <x v="0"/>
  </r>
  <r>
    <x v="589"/>
    <s v="CC-10049"/>
    <x v="379"/>
    <s v="18:13"/>
    <x v="20"/>
    <x v="6"/>
    <x v="0"/>
    <x v="588"/>
    <x v="3"/>
    <x v="0"/>
    <m/>
    <s v="Mariam Dlamini"/>
    <n v="20000"/>
    <x v="0"/>
    <x v="1"/>
    <n v="6.3100500000000004E-2"/>
    <n v="0"/>
    <n v="0"/>
    <n v="0"/>
    <n v="0"/>
    <n v="0"/>
    <n v="1"/>
    <x v="0"/>
    <x v="0"/>
  </r>
  <r>
    <x v="590"/>
    <s v="CC-10049"/>
    <x v="186"/>
    <s v="16:44"/>
    <x v="30"/>
    <x v="3"/>
    <x v="0"/>
    <x v="589"/>
    <x v="2"/>
    <x v="0"/>
    <m/>
    <s v="Mariam Dlamini"/>
    <n v="20000"/>
    <x v="0"/>
    <x v="1"/>
    <n v="1.3653E-2"/>
    <n v="0"/>
    <n v="0"/>
    <n v="0"/>
    <n v="0"/>
    <n v="0"/>
    <n v="0"/>
    <x v="1"/>
    <x v="0"/>
  </r>
  <r>
    <x v="591"/>
    <s v="CC-10049"/>
    <x v="213"/>
    <s v="22:04"/>
    <x v="24"/>
    <x v="3"/>
    <x v="0"/>
    <x v="590"/>
    <x v="1"/>
    <x v="0"/>
    <m/>
    <s v="Mariam Dlamini"/>
    <n v="20000"/>
    <x v="0"/>
    <x v="1"/>
    <n v="1.5969999999999998E-2"/>
    <n v="0"/>
    <n v="0"/>
    <n v="0"/>
    <n v="0"/>
    <n v="0"/>
    <n v="1"/>
    <x v="0"/>
    <x v="0"/>
  </r>
  <r>
    <x v="592"/>
    <s v="CC-10049"/>
    <x v="149"/>
    <s v="15:51"/>
    <x v="36"/>
    <x v="11"/>
    <x v="4"/>
    <x v="591"/>
    <x v="0"/>
    <x v="0"/>
    <m/>
    <s v="Mariam Dlamini"/>
    <n v="20000"/>
    <x v="0"/>
    <x v="1"/>
    <n v="0.105947"/>
    <n v="0"/>
    <n v="0"/>
    <n v="0"/>
    <n v="0"/>
    <n v="0"/>
    <n v="0"/>
    <x v="1"/>
    <x v="0"/>
  </r>
  <r>
    <x v="593"/>
    <s v="CC-10049"/>
    <x v="8"/>
    <s v="10:58"/>
    <x v="6"/>
    <x v="2"/>
    <x v="0"/>
    <x v="592"/>
    <x v="1"/>
    <x v="0"/>
    <m/>
    <s v="Mariam Dlamini"/>
    <n v="20000"/>
    <x v="0"/>
    <x v="1"/>
    <n v="2.8765499999999996E-2"/>
    <n v="1"/>
    <n v="0"/>
    <n v="0"/>
    <n v="0"/>
    <n v="0"/>
    <n v="1"/>
    <x v="3"/>
    <x v="2"/>
  </r>
  <r>
    <x v="594"/>
    <s v="CC-10049"/>
    <x v="381"/>
    <s v="16:10"/>
    <x v="12"/>
    <x v="3"/>
    <x v="0"/>
    <x v="593"/>
    <x v="2"/>
    <x v="0"/>
    <m/>
    <s v="Mariam Dlamini"/>
    <n v="20000"/>
    <x v="0"/>
    <x v="1"/>
    <n v="2.8074000000000002E-2"/>
    <n v="0"/>
    <n v="0"/>
    <n v="0"/>
    <n v="0"/>
    <n v="0"/>
    <n v="0"/>
    <x v="1"/>
    <x v="0"/>
  </r>
  <r>
    <x v="595"/>
    <s v="CC-10049"/>
    <x v="223"/>
    <s v="08:06"/>
    <x v="46"/>
    <x v="1"/>
    <x v="0"/>
    <x v="594"/>
    <x v="2"/>
    <x v="1"/>
    <m/>
    <s v="Mariam Dlamini"/>
    <n v="20000"/>
    <x v="0"/>
    <x v="1"/>
    <n v="0.1224645"/>
    <n v="0"/>
    <n v="0"/>
    <n v="0"/>
    <n v="0"/>
    <n v="0"/>
    <n v="0"/>
    <x v="1"/>
    <x v="0"/>
  </r>
  <r>
    <x v="596"/>
    <s v="CC-10050"/>
    <x v="320"/>
    <s v="16:38"/>
    <x v="45"/>
    <x v="9"/>
    <x v="2"/>
    <x v="595"/>
    <x v="0"/>
    <x v="1"/>
    <m/>
    <s v="Precious Botha"/>
    <n v="60000"/>
    <x v="1"/>
    <x v="0"/>
    <n v="1.3271166666666667E-2"/>
    <n v="0"/>
    <n v="0"/>
    <n v="0"/>
    <n v="0"/>
    <n v="1"/>
    <n v="0"/>
    <x v="0"/>
    <x v="0"/>
  </r>
  <r>
    <x v="597"/>
    <s v="CC-10050"/>
    <x v="109"/>
    <s v="16:02"/>
    <x v="15"/>
    <x v="10"/>
    <x v="2"/>
    <x v="596"/>
    <x v="0"/>
    <x v="0"/>
    <m/>
    <s v="Precious Botha"/>
    <n v="60000"/>
    <x v="1"/>
    <x v="0"/>
    <n v="0.19158233333333335"/>
    <n v="0"/>
    <n v="0"/>
    <n v="0"/>
    <n v="0"/>
    <n v="0"/>
    <n v="0"/>
    <x v="1"/>
    <x v="0"/>
  </r>
  <r>
    <x v="598"/>
    <s v="CC-10050"/>
    <x v="250"/>
    <s v="12:13"/>
    <x v="22"/>
    <x v="5"/>
    <x v="2"/>
    <x v="597"/>
    <x v="2"/>
    <x v="0"/>
    <m/>
    <s v="Precious Botha"/>
    <n v="60000"/>
    <x v="1"/>
    <x v="0"/>
    <n v="1.2205500000000001E-2"/>
    <n v="0"/>
    <n v="0"/>
    <n v="0"/>
    <n v="0"/>
    <n v="0"/>
    <n v="0"/>
    <x v="1"/>
    <x v="0"/>
  </r>
  <r>
    <x v="599"/>
    <s v="CC-10050"/>
    <x v="382"/>
    <s v="10:27"/>
    <x v="4"/>
    <x v="3"/>
    <x v="2"/>
    <x v="598"/>
    <x v="3"/>
    <x v="0"/>
    <m/>
    <s v="Precious Botha"/>
    <n v="60000"/>
    <x v="1"/>
    <x v="0"/>
    <n v="9.8261666666666671E-3"/>
    <n v="0"/>
    <n v="0"/>
    <n v="0"/>
    <n v="0"/>
    <n v="0"/>
    <n v="1"/>
    <x v="0"/>
    <x v="0"/>
  </r>
  <r>
    <x v="600"/>
    <s v="CC-10050"/>
    <x v="40"/>
    <s v="17:23"/>
    <x v="33"/>
    <x v="1"/>
    <x v="2"/>
    <x v="599"/>
    <x v="2"/>
    <x v="0"/>
    <m/>
    <s v="Precious Botha"/>
    <n v="60000"/>
    <x v="1"/>
    <x v="0"/>
    <n v="2.4880833333333331E-2"/>
    <n v="0"/>
    <n v="0"/>
    <n v="0"/>
    <n v="0"/>
    <n v="0"/>
    <n v="0"/>
    <x v="1"/>
    <x v="0"/>
  </r>
  <r>
    <x v="601"/>
    <s v="CC-10050"/>
    <x v="213"/>
    <s v="07:15"/>
    <x v="30"/>
    <x v="3"/>
    <x v="2"/>
    <x v="600"/>
    <x v="2"/>
    <x v="0"/>
    <m/>
    <s v="Precious Botha"/>
    <n v="60000"/>
    <x v="1"/>
    <x v="0"/>
    <n v="9.317333333333332E-3"/>
    <n v="0"/>
    <n v="0"/>
    <n v="0"/>
    <n v="0"/>
    <n v="1"/>
    <n v="0"/>
    <x v="0"/>
    <x v="0"/>
  </r>
  <r>
    <x v="602"/>
    <s v="CC-10050"/>
    <x v="79"/>
    <s v="22:38"/>
    <x v="8"/>
    <x v="6"/>
    <x v="2"/>
    <x v="601"/>
    <x v="2"/>
    <x v="0"/>
    <m/>
    <s v="Precious Botha"/>
    <n v="60000"/>
    <x v="1"/>
    <x v="0"/>
    <n v="2.3738333333333334E-2"/>
    <n v="0"/>
    <n v="0"/>
    <n v="0"/>
    <n v="0"/>
    <n v="0"/>
    <n v="0"/>
    <x v="1"/>
    <x v="0"/>
  </r>
  <r>
    <x v="603"/>
    <s v="CC-10050"/>
    <x v="383"/>
    <s v="17:10"/>
    <x v="34"/>
    <x v="7"/>
    <x v="2"/>
    <x v="602"/>
    <x v="3"/>
    <x v="0"/>
    <m/>
    <s v="Precious Botha"/>
    <n v="60000"/>
    <x v="1"/>
    <x v="0"/>
    <n v="0.16215016666666668"/>
    <n v="0"/>
    <n v="0"/>
    <n v="0"/>
    <n v="0"/>
    <n v="0"/>
    <n v="1"/>
    <x v="0"/>
    <x v="0"/>
  </r>
  <r>
    <x v="604"/>
    <s v="CC-10050"/>
    <x v="384"/>
    <s v="14:25"/>
    <x v="3"/>
    <x v="2"/>
    <x v="2"/>
    <x v="603"/>
    <x v="2"/>
    <x v="0"/>
    <m/>
    <s v="Precious Botha"/>
    <n v="60000"/>
    <x v="1"/>
    <x v="0"/>
    <n v="1.8125333333333334E-2"/>
    <n v="0"/>
    <n v="0"/>
    <n v="0"/>
    <n v="0"/>
    <n v="0"/>
    <n v="0"/>
    <x v="1"/>
    <x v="0"/>
  </r>
  <r>
    <x v="605"/>
    <s v="CC-10050"/>
    <x v="385"/>
    <s v="10:21"/>
    <x v="30"/>
    <x v="3"/>
    <x v="2"/>
    <x v="604"/>
    <x v="1"/>
    <x v="0"/>
    <m/>
    <s v="Precious Botha"/>
    <n v="60000"/>
    <x v="1"/>
    <x v="0"/>
    <n v="3.9673333333333331E-3"/>
    <n v="0"/>
    <n v="0"/>
    <n v="0"/>
    <n v="0"/>
    <n v="0"/>
    <n v="1"/>
    <x v="0"/>
    <x v="0"/>
  </r>
  <r>
    <x v="606"/>
    <s v="CC-10050"/>
    <x v="386"/>
    <s v="Unknown"/>
    <x v="30"/>
    <x v="3"/>
    <x v="2"/>
    <x v="605"/>
    <x v="0"/>
    <x v="0"/>
    <m/>
    <s v="Precious Botha"/>
    <n v="60000"/>
    <x v="1"/>
    <x v="0"/>
    <n v="5.3438333333333332E-3"/>
    <n v="0"/>
    <n v="1"/>
    <n v="0"/>
    <n v="0"/>
    <n v="0"/>
    <n v="0"/>
    <x v="0"/>
    <x v="0"/>
  </r>
  <r>
    <x v="607"/>
    <s v="CC-10051"/>
    <x v="83"/>
    <s v="10:13"/>
    <x v="47"/>
    <x v="4"/>
    <x v="0"/>
    <x v="606"/>
    <x v="1"/>
    <x v="0"/>
    <m/>
    <s v="Precious Van Der Merwe"/>
    <n v="100000"/>
    <x v="1"/>
    <x v="1"/>
    <n v="3.0810000000000004E-3"/>
    <n v="0"/>
    <n v="0"/>
    <n v="0"/>
    <n v="0"/>
    <n v="0"/>
    <n v="1"/>
    <x v="0"/>
    <x v="0"/>
  </r>
  <r>
    <x v="608"/>
    <s v="CC-10051"/>
    <x v="140"/>
    <s v="12:18"/>
    <x v="38"/>
    <x v="0"/>
    <x v="0"/>
    <x v="607"/>
    <x v="3"/>
    <x v="0"/>
    <m/>
    <s v="Precious Van Der Merwe"/>
    <n v="100000"/>
    <x v="1"/>
    <x v="1"/>
    <n v="3.7765199999999999E-2"/>
    <n v="0"/>
    <n v="0"/>
    <n v="0"/>
    <n v="0"/>
    <n v="0"/>
    <n v="1"/>
    <x v="0"/>
    <x v="0"/>
  </r>
  <r>
    <x v="609"/>
    <s v="CC-10051"/>
    <x v="369"/>
    <s v="20:14"/>
    <x v="8"/>
    <x v="6"/>
    <x v="0"/>
    <x v="608"/>
    <x v="2"/>
    <x v="0"/>
    <m/>
    <s v="Precious Van Der Merwe"/>
    <n v="100000"/>
    <x v="1"/>
    <x v="1"/>
    <n v="1.5333599999999999E-2"/>
    <n v="0"/>
    <n v="0"/>
    <n v="0"/>
    <n v="0"/>
    <n v="0"/>
    <n v="0"/>
    <x v="1"/>
    <x v="0"/>
  </r>
  <r>
    <x v="610"/>
    <s v="CC-10051"/>
    <x v="387"/>
    <s v="21:22"/>
    <x v="30"/>
    <x v="3"/>
    <x v="0"/>
    <x v="609"/>
    <x v="2"/>
    <x v="0"/>
    <m/>
    <s v="Precious Van Der Merwe"/>
    <n v="100000"/>
    <x v="1"/>
    <x v="1"/>
    <n v="1.5019E-3"/>
    <n v="0"/>
    <n v="0"/>
    <n v="0"/>
    <n v="0"/>
    <n v="0"/>
    <n v="0"/>
    <x v="1"/>
    <x v="0"/>
  </r>
  <r>
    <x v="611"/>
    <s v="CC-10051"/>
    <x v="210"/>
    <s v="20:13"/>
    <x v="32"/>
    <x v="1"/>
    <x v="0"/>
    <x v="610"/>
    <x v="2"/>
    <x v="0"/>
    <m/>
    <s v="Precious Van Der Merwe"/>
    <n v="100000"/>
    <x v="1"/>
    <x v="1"/>
    <n v="1.0271199999999999E-2"/>
    <n v="0"/>
    <n v="0"/>
    <n v="0"/>
    <n v="0"/>
    <n v="0"/>
    <n v="0"/>
    <x v="1"/>
    <x v="0"/>
  </r>
  <r>
    <x v="612"/>
    <s v="CC-10051"/>
    <x v="176"/>
    <s v="12:54"/>
    <x v="23"/>
    <x v="10"/>
    <x v="0"/>
    <x v="611"/>
    <x v="1"/>
    <x v="0"/>
    <m/>
    <s v="Precious Van Der Merwe"/>
    <n v="100000"/>
    <x v="1"/>
    <x v="1"/>
    <n v="6.8428500000000003E-2"/>
    <n v="0"/>
    <n v="0"/>
    <n v="0"/>
    <n v="0"/>
    <n v="1"/>
    <n v="1"/>
    <x v="3"/>
    <x v="2"/>
  </r>
  <r>
    <x v="613"/>
    <s v="CC-10051"/>
    <x v="388"/>
    <s v="16:02"/>
    <x v="21"/>
    <x v="8"/>
    <x v="4"/>
    <x v="612"/>
    <x v="0"/>
    <x v="0"/>
    <s v="chargeback initiated"/>
    <s v="Precious Van Der Merwe"/>
    <n v="100000"/>
    <x v="1"/>
    <x v="1"/>
    <n v="1.6829300000000002E-2"/>
    <n v="0"/>
    <n v="0"/>
    <n v="0"/>
    <n v="0"/>
    <n v="0"/>
    <n v="0"/>
    <x v="1"/>
    <x v="0"/>
  </r>
  <r>
    <x v="614"/>
    <s v="CC-10051"/>
    <x v="389"/>
    <s v="15:05"/>
    <x v="22"/>
    <x v="5"/>
    <x v="0"/>
    <x v="613"/>
    <x v="3"/>
    <x v="0"/>
    <m/>
    <s v="Precious Van Der Merwe"/>
    <n v="100000"/>
    <x v="1"/>
    <x v="1"/>
    <n v="5.5391999999999993E-3"/>
    <n v="1"/>
    <n v="0"/>
    <n v="0"/>
    <n v="0"/>
    <n v="1"/>
    <n v="1"/>
    <x v="2"/>
    <x v="1"/>
  </r>
  <r>
    <x v="615"/>
    <s v="CC-10051"/>
    <x v="227"/>
    <s v="22:09"/>
    <x v="14"/>
    <x v="0"/>
    <x v="0"/>
    <x v="614"/>
    <x v="2"/>
    <x v="0"/>
    <m/>
    <s v="Precious Van Der Merwe"/>
    <n v="100000"/>
    <x v="1"/>
    <x v="1"/>
    <n v="1.5809699999999999E-2"/>
    <n v="0"/>
    <n v="0"/>
    <n v="0"/>
    <n v="0"/>
    <n v="0"/>
    <n v="0"/>
    <x v="1"/>
    <x v="0"/>
  </r>
  <r>
    <x v="616"/>
    <s v="CC-10051"/>
    <x v="390"/>
    <s v="20:43"/>
    <x v="30"/>
    <x v="3"/>
    <x v="0"/>
    <x v="615"/>
    <x v="0"/>
    <x v="1"/>
    <m/>
    <s v="Precious Van Der Merwe"/>
    <n v="100000"/>
    <x v="1"/>
    <x v="1"/>
    <n v="6.3760000000000006E-3"/>
    <n v="0"/>
    <n v="0"/>
    <n v="0"/>
    <n v="0"/>
    <n v="0"/>
    <n v="0"/>
    <x v="1"/>
    <x v="0"/>
  </r>
  <r>
    <x v="617"/>
    <s v="CC-10051"/>
    <x v="391"/>
    <s v="10:59"/>
    <x v="8"/>
    <x v="6"/>
    <x v="0"/>
    <x v="616"/>
    <x v="3"/>
    <x v="0"/>
    <m/>
    <s v="Precious Van Der Merwe"/>
    <n v="100000"/>
    <x v="1"/>
    <x v="1"/>
    <n v="1.77374E-2"/>
    <n v="0"/>
    <n v="0"/>
    <n v="0"/>
    <n v="0"/>
    <n v="0"/>
    <n v="1"/>
    <x v="0"/>
    <x v="0"/>
  </r>
  <r>
    <x v="618"/>
    <s v="CC-10051"/>
    <x v="190"/>
    <s v="19:19"/>
    <x v="43"/>
    <x v="8"/>
    <x v="0"/>
    <x v="617"/>
    <x v="3"/>
    <x v="1"/>
    <m/>
    <s v="Precious Van Der Merwe"/>
    <n v="100000"/>
    <x v="1"/>
    <x v="1"/>
    <n v="4.08081E-2"/>
    <n v="0"/>
    <n v="0"/>
    <n v="0"/>
    <n v="0"/>
    <n v="0"/>
    <n v="1"/>
    <x v="0"/>
    <x v="0"/>
  </r>
  <r>
    <x v="619"/>
    <s v="CC-10051"/>
    <x v="392"/>
    <s v="18:30"/>
    <x v="30"/>
    <x v="3"/>
    <x v="0"/>
    <x v="618"/>
    <x v="2"/>
    <x v="0"/>
    <s v="customer disputed - under review"/>
    <s v="Precious Van Der Merwe"/>
    <n v="100000"/>
    <x v="1"/>
    <x v="1"/>
    <n v="4.5414999999999995E-3"/>
    <n v="0"/>
    <n v="0"/>
    <n v="0"/>
    <n v="0"/>
    <n v="1"/>
    <n v="0"/>
    <x v="0"/>
    <x v="0"/>
  </r>
  <r>
    <x v="620"/>
    <s v="CC-10051"/>
    <x v="393"/>
    <s v="18:45"/>
    <x v="34"/>
    <x v="7"/>
    <x v="0"/>
    <x v="619"/>
    <x v="0"/>
    <x v="0"/>
    <m/>
    <s v="Precious Van Der Merwe"/>
    <n v="100000"/>
    <x v="1"/>
    <x v="1"/>
    <n v="6.5522700000000003E-2"/>
    <n v="0"/>
    <n v="0"/>
    <n v="0"/>
    <n v="0"/>
    <n v="0"/>
    <n v="0"/>
    <x v="1"/>
    <x v="0"/>
  </r>
  <r>
    <x v="621"/>
    <s v="CC-10052"/>
    <x v="210"/>
    <s v="21:12"/>
    <x v="27"/>
    <x v="2"/>
    <x v="2"/>
    <x v="620"/>
    <x v="2"/>
    <x v="0"/>
    <m/>
    <s v="Johan Dlamini"/>
    <n v="30000"/>
    <x v="4"/>
    <x v="1"/>
    <n v="3.0657666666666666E-2"/>
    <n v="0"/>
    <n v="0"/>
    <n v="0"/>
    <n v="0"/>
    <n v="0"/>
    <n v="0"/>
    <x v="1"/>
    <x v="0"/>
  </r>
  <r>
    <x v="622"/>
    <s v="CC-10052"/>
    <x v="394"/>
    <s v="12:02"/>
    <x v="22"/>
    <x v="5"/>
    <x v="2"/>
    <x v="621"/>
    <x v="2"/>
    <x v="0"/>
    <m/>
    <s v="Johan Dlamini"/>
    <n v="30000"/>
    <x v="4"/>
    <x v="1"/>
    <n v="5.5855666666666672E-2"/>
    <n v="0"/>
    <n v="0"/>
    <n v="0"/>
    <n v="0"/>
    <n v="0"/>
    <n v="0"/>
    <x v="1"/>
    <x v="0"/>
  </r>
  <r>
    <x v="623"/>
    <s v="CC-10052"/>
    <x v="127"/>
    <s v="15:05"/>
    <x v="42"/>
    <x v="4"/>
    <x v="2"/>
    <x v="622"/>
    <x v="3"/>
    <x v="0"/>
    <m/>
    <s v="Johan Dlamini"/>
    <n v="30000"/>
    <x v="4"/>
    <x v="1"/>
    <n v="8.8166666666666671E-3"/>
    <n v="0"/>
    <n v="0"/>
    <n v="0"/>
    <n v="0"/>
    <n v="0"/>
    <n v="1"/>
    <x v="0"/>
    <x v="0"/>
  </r>
  <r>
    <x v="624"/>
    <s v="CC-10052"/>
    <x v="43"/>
    <s v="16:47"/>
    <x v="42"/>
    <x v="4"/>
    <x v="2"/>
    <x v="623"/>
    <x v="0"/>
    <x v="0"/>
    <m/>
    <s v="Johan Dlamini"/>
    <n v="30000"/>
    <x v="4"/>
    <x v="1"/>
    <n v="1.0390666666666668E-2"/>
    <n v="0"/>
    <n v="0"/>
    <n v="0"/>
    <n v="0"/>
    <n v="0"/>
    <n v="0"/>
    <x v="1"/>
    <x v="0"/>
  </r>
  <r>
    <x v="625"/>
    <s v="CC-10052"/>
    <x v="287"/>
    <s v="13:35"/>
    <x v="26"/>
    <x v="2"/>
    <x v="2"/>
    <x v="624"/>
    <x v="2"/>
    <x v="1"/>
    <m/>
    <s v="Johan Dlamini"/>
    <n v="30000"/>
    <x v="4"/>
    <x v="1"/>
    <n v="2.6701999999999997E-2"/>
    <n v="0"/>
    <n v="0"/>
    <n v="0"/>
    <n v="0"/>
    <n v="0"/>
    <n v="0"/>
    <x v="1"/>
    <x v="0"/>
  </r>
  <r>
    <x v="626"/>
    <s v="CC-10052"/>
    <x v="13"/>
    <s v="17:55"/>
    <x v="20"/>
    <x v="6"/>
    <x v="2"/>
    <x v="625"/>
    <x v="1"/>
    <x v="0"/>
    <m/>
    <s v="Johan Dlamini"/>
    <n v="30000"/>
    <x v="4"/>
    <x v="1"/>
    <n v="1.4107E-2"/>
    <n v="0"/>
    <n v="0"/>
    <n v="0"/>
    <n v="0"/>
    <n v="0"/>
    <n v="1"/>
    <x v="0"/>
    <x v="0"/>
  </r>
  <r>
    <x v="627"/>
    <s v="CC-10052"/>
    <x v="114"/>
    <s v="11:58"/>
    <x v="47"/>
    <x v="4"/>
    <x v="2"/>
    <x v="626"/>
    <x v="0"/>
    <x v="1"/>
    <m/>
    <s v="Johan Dlamini"/>
    <n v="30000"/>
    <x v="4"/>
    <x v="1"/>
    <n v="8.2516666666666676E-3"/>
    <n v="0"/>
    <n v="0"/>
    <n v="0"/>
    <n v="0"/>
    <n v="0"/>
    <n v="0"/>
    <x v="1"/>
    <x v="0"/>
  </r>
  <r>
    <x v="628"/>
    <s v="CC-10052"/>
    <x v="237"/>
    <s v="19:13"/>
    <x v="29"/>
    <x v="6"/>
    <x v="2"/>
    <x v="627"/>
    <x v="0"/>
    <x v="0"/>
    <m/>
    <s v="Johan Dlamini"/>
    <n v="30000"/>
    <x v="4"/>
    <x v="1"/>
    <n v="8.4189999999999994E-3"/>
    <n v="0"/>
    <n v="0"/>
    <n v="0"/>
    <n v="0"/>
    <n v="0"/>
    <n v="0"/>
    <x v="1"/>
    <x v="0"/>
  </r>
  <r>
    <x v="629"/>
    <s v="CC-10052"/>
    <x v="395"/>
    <s v="15:57"/>
    <x v="19"/>
    <x v="6"/>
    <x v="2"/>
    <x v="628"/>
    <x v="3"/>
    <x v="0"/>
    <m/>
    <s v="Johan Dlamini"/>
    <n v="30000"/>
    <x v="4"/>
    <x v="1"/>
    <n v="8.1910000000000004E-3"/>
    <n v="0"/>
    <n v="0"/>
    <n v="0"/>
    <n v="0"/>
    <n v="0"/>
    <n v="1"/>
    <x v="0"/>
    <x v="0"/>
  </r>
  <r>
    <x v="630"/>
    <s v="CC-10052"/>
    <x v="34"/>
    <s v="14:32"/>
    <x v="25"/>
    <x v="6"/>
    <x v="2"/>
    <x v="629"/>
    <x v="0"/>
    <x v="0"/>
    <m/>
    <s v="Johan Dlamini"/>
    <n v="30000"/>
    <x v="4"/>
    <x v="1"/>
    <n v="4.8218999999999998E-2"/>
    <n v="0"/>
    <n v="0"/>
    <n v="0"/>
    <n v="0"/>
    <n v="0"/>
    <n v="0"/>
    <x v="1"/>
    <x v="0"/>
  </r>
  <r>
    <x v="631"/>
    <s v="CC-10053"/>
    <x v="77"/>
    <s v="17:53"/>
    <x v="28"/>
    <x v="4"/>
    <x v="4"/>
    <x v="630"/>
    <x v="1"/>
    <x v="0"/>
    <m/>
    <s v="Pieter Govender"/>
    <n v="40000"/>
    <x v="1"/>
    <x v="1"/>
    <n v="3.4157499999999999E-3"/>
    <n v="0"/>
    <n v="0"/>
    <n v="0"/>
    <n v="0"/>
    <n v="0"/>
    <n v="1"/>
    <x v="0"/>
    <x v="0"/>
  </r>
  <r>
    <x v="632"/>
    <s v="CC-10053"/>
    <x v="396"/>
    <s v="08:15"/>
    <x v="18"/>
    <x v="11"/>
    <x v="1"/>
    <x v="631"/>
    <x v="3"/>
    <x v="0"/>
    <m/>
    <s v="Pieter Govender"/>
    <n v="40000"/>
    <x v="1"/>
    <x v="1"/>
    <n v="1.016775E-2"/>
    <n v="0"/>
    <n v="0"/>
    <n v="0"/>
    <n v="0"/>
    <n v="0"/>
    <n v="1"/>
    <x v="0"/>
    <x v="0"/>
  </r>
  <r>
    <x v="633"/>
    <s v="CC-10053"/>
    <x v="397"/>
    <s v="16:11"/>
    <x v="8"/>
    <x v="6"/>
    <x v="4"/>
    <x v="632"/>
    <x v="3"/>
    <x v="0"/>
    <s v="customer disputed - under review"/>
    <s v="Pieter Govender"/>
    <n v="40000"/>
    <x v="1"/>
    <x v="1"/>
    <n v="2.29695E-2"/>
    <n v="1"/>
    <n v="0"/>
    <n v="0"/>
    <n v="0"/>
    <n v="0"/>
    <n v="1"/>
    <x v="3"/>
    <x v="2"/>
  </r>
  <r>
    <x v="634"/>
    <s v="CC-10053"/>
    <x v="398"/>
    <s v="21:30"/>
    <x v="13"/>
    <x v="9"/>
    <x v="4"/>
    <x v="633"/>
    <x v="1"/>
    <x v="0"/>
    <m/>
    <s v="Pieter Govender"/>
    <n v="40000"/>
    <x v="1"/>
    <x v="1"/>
    <n v="2.0841499999999999E-2"/>
    <n v="0"/>
    <n v="0"/>
    <n v="0"/>
    <n v="0"/>
    <n v="0"/>
    <n v="1"/>
    <x v="0"/>
    <x v="0"/>
  </r>
  <r>
    <x v="635"/>
    <s v="CC-10053"/>
    <x v="399"/>
    <s v="22:57"/>
    <x v="36"/>
    <x v="11"/>
    <x v="4"/>
    <x v="634"/>
    <x v="0"/>
    <x v="0"/>
    <m/>
    <s v="Pieter Govender"/>
    <n v="40000"/>
    <x v="1"/>
    <x v="1"/>
    <n v="6.8681500000000006E-2"/>
    <n v="0"/>
    <n v="0"/>
    <n v="0"/>
    <n v="0"/>
    <n v="0"/>
    <n v="0"/>
    <x v="1"/>
    <x v="0"/>
  </r>
  <r>
    <x v="636"/>
    <s v="CC-10053"/>
    <x v="400"/>
    <s v="10:41"/>
    <x v="43"/>
    <x v="8"/>
    <x v="8"/>
    <x v="635"/>
    <x v="1"/>
    <x v="1"/>
    <m/>
    <s v="Pieter Govender"/>
    <n v="40000"/>
    <x v="1"/>
    <x v="1"/>
    <n v="1.0779500000000001E-2"/>
    <n v="0"/>
    <n v="0"/>
    <n v="0"/>
    <n v="0"/>
    <n v="0"/>
    <n v="1"/>
    <x v="0"/>
    <x v="0"/>
  </r>
  <r>
    <x v="637"/>
    <s v="CC-10053"/>
    <x v="94"/>
    <s v="12:33"/>
    <x v="38"/>
    <x v="0"/>
    <x v="4"/>
    <x v="636"/>
    <x v="0"/>
    <x v="0"/>
    <m/>
    <s v="Pieter Govender"/>
    <n v="40000"/>
    <x v="1"/>
    <x v="1"/>
    <n v="4.2216250000000004E-2"/>
    <n v="1"/>
    <n v="0"/>
    <n v="0"/>
    <n v="0"/>
    <n v="1"/>
    <n v="0"/>
    <x v="3"/>
    <x v="2"/>
  </r>
  <r>
    <x v="638"/>
    <s v="CC-10053"/>
    <x v="232"/>
    <s v="21:31"/>
    <x v="38"/>
    <x v="0"/>
    <x v="2"/>
    <x v="637"/>
    <x v="1"/>
    <x v="0"/>
    <m/>
    <s v="Pieter Govender"/>
    <n v="40000"/>
    <x v="1"/>
    <x v="1"/>
    <n v="1.317225E-2"/>
    <n v="0"/>
    <n v="0"/>
    <n v="0"/>
    <n v="0"/>
    <n v="0"/>
    <n v="1"/>
    <x v="0"/>
    <x v="0"/>
  </r>
  <r>
    <x v="639"/>
    <s v="CC-10053"/>
    <x v="325"/>
    <s v="10:49"/>
    <x v="37"/>
    <x v="10"/>
    <x v="4"/>
    <x v="638"/>
    <x v="2"/>
    <x v="0"/>
    <m/>
    <s v="Pieter Govender"/>
    <n v="40000"/>
    <x v="1"/>
    <x v="1"/>
    <n v="4.3936000000000003E-2"/>
    <n v="1"/>
    <n v="0"/>
    <n v="0"/>
    <n v="0"/>
    <n v="0"/>
    <n v="0"/>
    <x v="0"/>
    <x v="0"/>
  </r>
  <r>
    <x v="640"/>
    <s v="CC-10053"/>
    <x v="401"/>
    <s v="Unknown"/>
    <x v="12"/>
    <x v="3"/>
    <x v="8"/>
    <x v="639"/>
    <x v="3"/>
    <x v="1"/>
    <m/>
    <s v="Pieter Govender"/>
    <n v="40000"/>
    <x v="1"/>
    <x v="1"/>
    <n v="7.6927499999999991E-3"/>
    <n v="0"/>
    <n v="1"/>
    <n v="0"/>
    <n v="0"/>
    <n v="0"/>
    <n v="1"/>
    <x v="3"/>
    <x v="2"/>
  </r>
  <r>
    <x v="641"/>
    <s v="CC-10053"/>
    <x v="402"/>
    <s v="Unknown"/>
    <x v="17"/>
    <x v="5"/>
    <x v="8"/>
    <x v="640"/>
    <x v="2"/>
    <x v="0"/>
    <m/>
    <s v="Pieter Govender"/>
    <n v="40000"/>
    <x v="1"/>
    <x v="1"/>
    <n v="1.3110249999999999E-2"/>
    <n v="1"/>
    <n v="1"/>
    <n v="0"/>
    <n v="0"/>
    <n v="0"/>
    <n v="0"/>
    <x v="3"/>
    <x v="2"/>
  </r>
  <r>
    <x v="642"/>
    <s v="CC-10053"/>
    <x v="176"/>
    <s v="08:45"/>
    <x v="29"/>
    <x v="6"/>
    <x v="4"/>
    <x v="641"/>
    <x v="0"/>
    <x v="0"/>
    <m/>
    <s v="Pieter Govender"/>
    <n v="40000"/>
    <x v="1"/>
    <x v="1"/>
    <n v="1.6462250000000001E-2"/>
    <n v="1"/>
    <n v="0"/>
    <n v="0"/>
    <n v="0"/>
    <n v="0"/>
    <n v="0"/>
    <x v="0"/>
    <x v="0"/>
  </r>
  <r>
    <x v="643"/>
    <s v="CC-10053"/>
    <x v="403"/>
    <s v="11:18"/>
    <x v="38"/>
    <x v="0"/>
    <x v="4"/>
    <x v="642"/>
    <x v="1"/>
    <x v="0"/>
    <m/>
    <s v="Pieter Govender"/>
    <n v="40000"/>
    <x v="1"/>
    <x v="1"/>
    <n v="0.11230599999999999"/>
    <n v="0"/>
    <n v="0"/>
    <n v="0"/>
    <n v="0"/>
    <n v="0"/>
    <n v="1"/>
    <x v="0"/>
    <x v="0"/>
  </r>
  <r>
    <x v="644"/>
    <s v="CC-10053"/>
    <x v="155"/>
    <s v="13:28"/>
    <x v="38"/>
    <x v="0"/>
    <x v="4"/>
    <x v="643"/>
    <x v="1"/>
    <x v="0"/>
    <m/>
    <s v="Pieter Govender"/>
    <n v="40000"/>
    <x v="1"/>
    <x v="1"/>
    <n v="5.2653999999999999E-2"/>
    <n v="0"/>
    <n v="0"/>
    <n v="0"/>
    <n v="0"/>
    <n v="0"/>
    <n v="1"/>
    <x v="0"/>
    <x v="0"/>
  </r>
  <r>
    <x v="645"/>
    <s v="CC-10053"/>
    <x v="359"/>
    <s v="10:35"/>
    <x v="42"/>
    <x v="4"/>
    <x v="3"/>
    <x v="644"/>
    <x v="2"/>
    <x v="0"/>
    <m/>
    <s v="Pieter Govender"/>
    <n v="40000"/>
    <x v="1"/>
    <x v="1"/>
    <n v="1.07715E-2"/>
    <n v="0"/>
    <n v="0"/>
    <n v="0"/>
    <n v="0"/>
    <n v="0"/>
    <n v="0"/>
    <x v="1"/>
    <x v="0"/>
  </r>
  <r>
    <x v="646"/>
    <s v="CC-10053"/>
    <x v="404"/>
    <s v="07:41"/>
    <x v="14"/>
    <x v="0"/>
    <x v="4"/>
    <x v="645"/>
    <x v="0"/>
    <x v="0"/>
    <m/>
    <s v="Pieter Govender"/>
    <n v="40000"/>
    <x v="1"/>
    <x v="1"/>
    <n v="9.1282749999999996E-2"/>
    <n v="1"/>
    <n v="0"/>
    <n v="0"/>
    <n v="0"/>
    <n v="0"/>
    <n v="0"/>
    <x v="0"/>
    <x v="0"/>
  </r>
  <r>
    <x v="647"/>
    <s v="CC-10054"/>
    <x v="262"/>
    <s v="13:52"/>
    <x v="20"/>
    <x v="6"/>
    <x v="4"/>
    <x v="646"/>
    <x v="1"/>
    <x v="1"/>
    <m/>
    <s v="Lindiwe Maseko"/>
    <n v="15000"/>
    <x v="2"/>
    <x v="1"/>
    <n v="4.5485999999999999E-2"/>
    <n v="0"/>
    <n v="0"/>
    <n v="0"/>
    <n v="0"/>
    <n v="0"/>
    <n v="1"/>
    <x v="0"/>
    <x v="0"/>
  </r>
  <r>
    <x v="648"/>
    <s v="CC-10054"/>
    <x v="405"/>
    <s v="11:12"/>
    <x v="39"/>
    <x v="5"/>
    <x v="5"/>
    <x v="647"/>
    <x v="0"/>
    <x v="0"/>
    <s v="customer disputed - under review"/>
    <s v="Lindiwe Maseko"/>
    <n v="15000"/>
    <x v="2"/>
    <x v="1"/>
    <n v="3.8717999999999995E-2"/>
    <n v="1"/>
    <n v="0"/>
    <n v="0"/>
    <n v="0"/>
    <n v="0"/>
    <n v="0"/>
    <x v="0"/>
    <x v="0"/>
  </r>
  <r>
    <x v="649"/>
    <s v="CC-10054"/>
    <x v="22"/>
    <s v="13:33"/>
    <x v="27"/>
    <x v="2"/>
    <x v="5"/>
    <x v="648"/>
    <x v="2"/>
    <x v="0"/>
    <m/>
    <s v="Lindiwe Maseko"/>
    <n v="15000"/>
    <x v="2"/>
    <x v="1"/>
    <n v="3.6026000000000002E-2"/>
    <n v="0"/>
    <n v="0"/>
    <n v="0"/>
    <n v="0"/>
    <n v="0"/>
    <n v="0"/>
    <x v="1"/>
    <x v="0"/>
  </r>
  <r>
    <x v="650"/>
    <s v="CC-10054"/>
    <x v="216"/>
    <s v="14:02"/>
    <x v="9"/>
    <x v="3"/>
    <x v="5"/>
    <x v="649"/>
    <x v="3"/>
    <x v="0"/>
    <m/>
    <s v="Lindiwe Maseko"/>
    <n v="15000"/>
    <x v="2"/>
    <x v="1"/>
    <n v="9.9386666666666668E-3"/>
    <n v="0"/>
    <n v="0"/>
    <n v="0"/>
    <n v="0"/>
    <n v="0"/>
    <n v="1"/>
    <x v="0"/>
    <x v="0"/>
  </r>
  <r>
    <x v="651"/>
    <s v="CC-10054"/>
    <x v="184"/>
    <s v="19:35"/>
    <x v="27"/>
    <x v="2"/>
    <x v="5"/>
    <x v="650"/>
    <x v="3"/>
    <x v="1"/>
    <m/>
    <s v="Lindiwe Maseko"/>
    <n v="15000"/>
    <x v="2"/>
    <x v="1"/>
    <n v="5.1330000000000001E-2"/>
    <n v="0"/>
    <n v="0"/>
    <n v="0"/>
    <n v="0"/>
    <n v="0"/>
    <n v="1"/>
    <x v="0"/>
    <x v="0"/>
  </r>
  <r>
    <x v="652"/>
    <s v="CC-10054"/>
    <x v="406"/>
    <s v="09:34"/>
    <x v="24"/>
    <x v="3"/>
    <x v="5"/>
    <x v="651"/>
    <x v="0"/>
    <x v="0"/>
    <m/>
    <s v="Lindiwe Maseko"/>
    <n v="15000"/>
    <x v="2"/>
    <x v="1"/>
    <n v="2.5098000000000002E-2"/>
    <n v="0"/>
    <n v="0"/>
    <n v="0"/>
    <n v="0"/>
    <n v="0"/>
    <n v="0"/>
    <x v="1"/>
    <x v="0"/>
  </r>
  <r>
    <x v="653"/>
    <s v="CC-10054"/>
    <x v="407"/>
    <s v="10:00"/>
    <x v="2"/>
    <x v="2"/>
    <x v="6"/>
    <x v="652"/>
    <x v="1"/>
    <x v="1"/>
    <m/>
    <s v="Lindiwe Maseko"/>
    <n v="15000"/>
    <x v="2"/>
    <x v="1"/>
    <n v="6.0884000000000001E-2"/>
    <n v="0"/>
    <n v="0"/>
    <n v="0"/>
    <n v="0"/>
    <n v="0"/>
    <n v="1"/>
    <x v="0"/>
    <x v="0"/>
  </r>
  <r>
    <x v="654"/>
    <s v="CC-10054"/>
    <x v="395"/>
    <s v="11:34"/>
    <x v="16"/>
    <x v="7"/>
    <x v="5"/>
    <x v="653"/>
    <x v="3"/>
    <x v="0"/>
    <m/>
    <s v="Lindiwe Maseko"/>
    <n v="15000"/>
    <x v="2"/>
    <x v="1"/>
    <n v="0.30399666666666664"/>
    <n v="1"/>
    <n v="0"/>
    <n v="0"/>
    <n v="0"/>
    <n v="0"/>
    <n v="1"/>
    <x v="3"/>
    <x v="2"/>
  </r>
  <r>
    <x v="655"/>
    <s v="CC-10054"/>
    <x v="58"/>
    <s v="08:29"/>
    <x v="44"/>
    <x v="1"/>
    <x v="6"/>
    <x v="654"/>
    <x v="2"/>
    <x v="0"/>
    <m/>
    <s v="Lindiwe Maseko"/>
    <n v="15000"/>
    <x v="2"/>
    <x v="1"/>
    <n v="0.18323666666666669"/>
    <n v="0"/>
    <n v="0"/>
    <n v="0"/>
    <n v="0"/>
    <n v="0"/>
    <n v="0"/>
    <x v="1"/>
    <x v="0"/>
  </r>
  <r>
    <x v="656"/>
    <s v="CC-10054"/>
    <x v="174"/>
    <s v="21:10"/>
    <x v="15"/>
    <x v="10"/>
    <x v="5"/>
    <x v="655"/>
    <x v="2"/>
    <x v="0"/>
    <m/>
    <s v="Lindiwe Maseko"/>
    <n v="15000"/>
    <x v="2"/>
    <x v="1"/>
    <n v="0.38546266666666662"/>
    <n v="1"/>
    <n v="0"/>
    <n v="0"/>
    <n v="0"/>
    <n v="1"/>
    <n v="0"/>
    <x v="3"/>
    <x v="2"/>
  </r>
  <r>
    <x v="657"/>
    <s v="CC-10054"/>
    <x v="269"/>
    <s v="08:27"/>
    <x v="13"/>
    <x v="9"/>
    <x v="5"/>
    <x v="656"/>
    <x v="3"/>
    <x v="1"/>
    <m/>
    <s v="Lindiwe Maseko"/>
    <n v="15000"/>
    <x v="2"/>
    <x v="1"/>
    <n v="5.9231333333333337E-2"/>
    <n v="0"/>
    <n v="0"/>
    <n v="0"/>
    <n v="0"/>
    <n v="0"/>
    <n v="1"/>
    <x v="0"/>
    <x v="0"/>
  </r>
  <r>
    <x v="658"/>
    <s v="CC-10054"/>
    <x v="408"/>
    <s v="12:39"/>
    <x v="16"/>
    <x v="7"/>
    <x v="5"/>
    <x v="657"/>
    <x v="0"/>
    <x v="0"/>
    <m/>
    <s v="Lindiwe Maseko"/>
    <n v="15000"/>
    <x v="2"/>
    <x v="1"/>
    <n v="0.30054399999999998"/>
    <n v="0"/>
    <n v="0"/>
    <n v="0"/>
    <n v="0"/>
    <n v="0"/>
    <n v="0"/>
    <x v="1"/>
    <x v="0"/>
  </r>
  <r>
    <x v="659"/>
    <s v="CC-10055"/>
    <x v="186"/>
    <s v="14:23"/>
    <x v="39"/>
    <x v="5"/>
    <x v="3"/>
    <x v="658"/>
    <x v="0"/>
    <x v="0"/>
    <m/>
    <s v="David Adams"/>
    <n v="50000"/>
    <x v="4"/>
    <x v="1"/>
    <n v="1.1273599999999998E-2"/>
    <n v="0"/>
    <n v="0"/>
    <n v="0"/>
    <n v="0"/>
    <n v="0"/>
    <n v="0"/>
    <x v="1"/>
    <x v="0"/>
  </r>
  <r>
    <x v="660"/>
    <s v="CC-10055"/>
    <x v="253"/>
    <s v="17:46"/>
    <x v="36"/>
    <x v="11"/>
    <x v="3"/>
    <x v="659"/>
    <x v="1"/>
    <x v="0"/>
    <m/>
    <s v="David Adams"/>
    <n v="50000"/>
    <x v="4"/>
    <x v="1"/>
    <n v="4.1532200000000005E-2"/>
    <n v="0"/>
    <n v="0"/>
    <n v="0"/>
    <n v="0"/>
    <n v="0"/>
    <n v="1"/>
    <x v="0"/>
    <x v="0"/>
  </r>
  <r>
    <x v="661"/>
    <s v="CC-10055"/>
    <x v="409"/>
    <s v="17:54"/>
    <x v="10"/>
    <x v="7"/>
    <x v="3"/>
    <x v="660"/>
    <x v="3"/>
    <x v="0"/>
    <m/>
    <s v="David Adams"/>
    <n v="50000"/>
    <x v="4"/>
    <x v="1"/>
    <n v="9.03394E-2"/>
    <n v="0"/>
    <n v="0"/>
    <n v="0"/>
    <n v="0"/>
    <n v="0"/>
    <n v="1"/>
    <x v="0"/>
    <x v="0"/>
  </r>
  <r>
    <x v="662"/>
    <s v="CC-10055"/>
    <x v="95"/>
    <s v="22:26"/>
    <x v="30"/>
    <x v="3"/>
    <x v="3"/>
    <x v="661"/>
    <x v="1"/>
    <x v="1"/>
    <m/>
    <s v="David Adams"/>
    <n v="50000"/>
    <x v="4"/>
    <x v="1"/>
    <n v="4.5978E-3"/>
    <n v="0"/>
    <n v="0"/>
    <n v="0"/>
    <n v="0"/>
    <n v="0"/>
    <n v="1"/>
    <x v="0"/>
    <x v="0"/>
  </r>
  <r>
    <x v="663"/>
    <s v="CC-10055"/>
    <x v="410"/>
    <s v="15:59"/>
    <x v="2"/>
    <x v="2"/>
    <x v="3"/>
    <x v="662"/>
    <x v="3"/>
    <x v="1"/>
    <m/>
    <s v="David Adams"/>
    <n v="50000"/>
    <x v="4"/>
    <x v="1"/>
    <n v="1.98376E-2"/>
    <n v="0"/>
    <n v="0"/>
    <n v="0"/>
    <n v="0"/>
    <n v="0"/>
    <n v="1"/>
    <x v="0"/>
    <x v="0"/>
  </r>
  <r>
    <x v="664"/>
    <s v="CC-10055"/>
    <x v="285"/>
    <s v="22:52"/>
    <x v="13"/>
    <x v="9"/>
    <x v="3"/>
    <x v="663"/>
    <x v="3"/>
    <x v="1"/>
    <m/>
    <s v="David Adams"/>
    <n v="50000"/>
    <x v="4"/>
    <x v="1"/>
    <n v="1.24718E-2"/>
    <n v="0"/>
    <n v="0"/>
    <n v="0"/>
    <n v="0"/>
    <n v="0"/>
    <n v="1"/>
    <x v="0"/>
    <x v="0"/>
  </r>
  <r>
    <x v="665"/>
    <s v="CC-10055"/>
    <x v="411"/>
    <s v="Unknown"/>
    <x v="20"/>
    <x v="6"/>
    <x v="3"/>
    <x v="664"/>
    <x v="2"/>
    <x v="0"/>
    <m/>
    <s v="David Adams"/>
    <n v="50000"/>
    <x v="4"/>
    <x v="1"/>
    <n v="3.1966999999999995E-2"/>
    <n v="0"/>
    <n v="1"/>
    <n v="0"/>
    <n v="0"/>
    <n v="0"/>
    <n v="0"/>
    <x v="0"/>
    <x v="0"/>
  </r>
  <r>
    <x v="666"/>
    <s v="CC-10055"/>
    <x v="137"/>
    <s v="10:32"/>
    <x v="18"/>
    <x v="11"/>
    <x v="3"/>
    <x v="665"/>
    <x v="1"/>
    <x v="0"/>
    <m/>
    <s v="David Adams"/>
    <n v="50000"/>
    <x v="4"/>
    <x v="1"/>
    <n v="1.24078E-2"/>
    <n v="0"/>
    <n v="0"/>
    <n v="0"/>
    <n v="0"/>
    <n v="0"/>
    <n v="1"/>
    <x v="0"/>
    <x v="0"/>
  </r>
  <r>
    <x v="667"/>
    <s v="CC-10055"/>
    <x v="406"/>
    <s v="07:06"/>
    <x v="47"/>
    <x v="4"/>
    <x v="0"/>
    <x v="666"/>
    <x v="0"/>
    <x v="0"/>
    <m/>
    <s v="David Adams"/>
    <n v="50000"/>
    <x v="4"/>
    <x v="1"/>
    <n v="3.9748000000000006E-3"/>
    <n v="0"/>
    <n v="0"/>
    <n v="0"/>
    <n v="0"/>
    <n v="0"/>
    <n v="0"/>
    <x v="1"/>
    <x v="0"/>
  </r>
  <r>
    <x v="668"/>
    <s v="CC-10055"/>
    <x v="412"/>
    <s v="14:01"/>
    <x v="35"/>
    <x v="0"/>
    <x v="3"/>
    <x v="667"/>
    <x v="2"/>
    <x v="0"/>
    <m/>
    <s v="David Adams"/>
    <n v="50000"/>
    <x v="4"/>
    <x v="1"/>
    <n v="1.5907999999999999E-2"/>
    <n v="1"/>
    <n v="0"/>
    <n v="0"/>
    <n v="0"/>
    <n v="0"/>
    <n v="0"/>
    <x v="0"/>
    <x v="0"/>
  </r>
  <r>
    <x v="669"/>
    <s v="CC-10056"/>
    <x v="163"/>
    <s v="14:46"/>
    <x v="44"/>
    <x v="1"/>
    <x v="5"/>
    <x v="668"/>
    <x v="1"/>
    <x v="0"/>
    <m/>
    <s v="Pieter Fourie"/>
    <n v="100000"/>
    <x v="0"/>
    <x v="1"/>
    <n v="4.0821E-3"/>
    <n v="0"/>
    <n v="0"/>
    <n v="0"/>
    <n v="0"/>
    <n v="0"/>
    <n v="1"/>
    <x v="0"/>
    <x v="0"/>
  </r>
  <r>
    <x v="670"/>
    <s v="CC-10056"/>
    <x v="413"/>
    <s v="10:17"/>
    <x v="42"/>
    <x v="4"/>
    <x v="4"/>
    <x v="669"/>
    <x v="1"/>
    <x v="0"/>
    <s v="verified via OTP call"/>
    <s v="Pieter Fourie"/>
    <n v="100000"/>
    <x v="0"/>
    <x v="1"/>
    <n v="2.2728000000000002E-3"/>
    <n v="1"/>
    <n v="0"/>
    <n v="0"/>
    <n v="0"/>
    <n v="1"/>
    <n v="1"/>
    <x v="2"/>
    <x v="1"/>
  </r>
  <r>
    <x v="671"/>
    <s v="CC-10056"/>
    <x v="414"/>
    <s v="07:24"/>
    <x v="30"/>
    <x v="3"/>
    <x v="4"/>
    <x v="670"/>
    <x v="1"/>
    <x v="0"/>
    <s v="verified via OTP call"/>
    <s v="Pieter Fourie"/>
    <n v="100000"/>
    <x v="0"/>
    <x v="1"/>
    <n v="5.7360000000000006E-3"/>
    <n v="0"/>
    <n v="0"/>
    <n v="0"/>
    <n v="0"/>
    <n v="0"/>
    <n v="1"/>
    <x v="0"/>
    <x v="0"/>
  </r>
  <r>
    <x v="672"/>
    <s v="CC-10056"/>
    <x v="46"/>
    <s v="21:24"/>
    <x v="43"/>
    <x v="8"/>
    <x v="4"/>
    <x v="671"/>
    <x v="1"/>
    <x v="1"/>
    <m/>
    <s v="Pieter Fourie"/>
    <n v="100000"/>
    <x v="0"/>
    <x v="1"/>
    <n v="6.1303999999999994E-3"/>
    <n v="0"/>
    <n v="0"/>
    <n v="0"/>
    <n v="0"/>
    <n v="0"/>
    <n v="1"/>
    <x v="0"/>
    <x v="0"/>
  </r>
  <r>
    <x v="673"/>
    <s v="CC-10056"/>
    <x v="415"/>
    <s v="12:30"/>
    <x v="43"/>
    <x v="8"/>
    <x v="4"/>
    <x v="672"/>
    <x v="0"/>
    <x v="0"/>
    <m/>
    <s v="Pieter Fourie"/>
    <n v="100000"/>
    <x v="0"/>
    <x v="1"/>
    <n v="4.5687399999999996E-2"/>
    <n v="0"/>
    <n v="0"/>
    <n v="0"/>
    <n v="0"/>
    <n v="1"/>
    <n v="0"/>
    <x v="0"/>
    <x v="0"/>
  </r>
  <r>
    <x v="674"/>
    <s v="CC-10056"/>
    <x v="236"/>
    <s v="09:46"/>
    <x v="42"/>
    <x v="4"/>
    <x v="4"/>
    <x v="673"/>
    <x v="3"/>
    <x v="0"/>
    <m/>
    <s v="Pieter Fourie"/>
    <n v="100000"/>
    <x v="0"/>
    <x v="1"/>
    <n v="2.5061000000000003E-3"/>
    <n v="0"/>
    <n v="0"/>
    <n v="0"/>
    <n v="0"/>
    <n v="1"/>
    <n v="1"/>
    <x v="3"/>
    <x v="2"/>
  </r>
  <r>
    <x v="675"/>
    <s v="CC-10056"/>
    <x v="410"/>
    <s v="08:10"/>
    <x v="40"/>
    <x v="11"/>
    <x v="4"/>
    <x v="674"/>
    <x v="1"/>
    <x v="0"/>
    <m/>
    <s v="Pieter Fourie"/>
    <n v="100000"/>
    <x v="0"/>
    <x v="1"/>
    <n v="1.5503800000000002E-2"/>
    <n v="0"/>
    <n v="0"/>
    <n v="0"/>
    <n v="0"/>
    <n v="0"/>
    <n v="1"/>
    <x v="0"/>
    <x v="0"/>
  </r>
  <r>
    <x v="676"/>
    <s v="CC-10056"/>
    <x v="140"/>
    <s v="14:12"/>
    <x v="4"/>
    <x v="3"/>
    <x v="4"/>
    <x v="675"/>
    <x v="2"/>
    <x v="0"/>
    <m/>
    <s v="Pieter Fourie"/>
    <n v="100000"/>
    <x v="0"/>
    <x v="1"/>
    <n v="5.1862999999999996E-3"/>
    <n v="0"/>
    <n v="0"/>
    <n v="0"/>
    <n v="0"/>
    <n v="0"/>
    <n v="0"/>
    <x v="1"/>
    <x v="0"/>
  </r>
  <r>
    <x v="677"/>
    <s v="CC-10056"/>
    <x v="337"/>
    <s v="11:46"/>
    <x v="3"/>
    <x v="2"/>
    <x v="4"/>
    <x v="676"/>
    <x v="3"/>
    <x v="1"/>
    <m/>
    <s v="Pieter Fourie"/>
    <n v="100000"/>
    <x v="0"/>
    <x v="1"/>
    <n v="1.13968E-2"/>
    <n v="0"/>
    <n v="0"/>
    <n v="0"/>
    <n v="0"/>
    <n v="0"/>
    <n v="1"/>
    <x v="0"/>
    <x v="0"/>
  </r>
  <r>
    <x v="678"/>
    <s v="CC-10056"/>
    <x v="261"/>
    <s v="22:03"/>
    <x v="15"/>
    <x v="10"/>
    <x v="6"/>
    <x v="677"/>
    <x v="0"/>
    <x v="0"/>
    <m/>
    <s v="Pieter Fourie"/>
    <n v="100000"/>
    <x v="0"/>
    <x v="1"/>
    <n v="9.2408400000000002E-2"/>
    <n v="0"/>
    <n v="0"/>
    <n v="0"/>
    <n v="0"/>
    <n v="0"/>
    <n v="0"/>
    <x v="1"/>
    <x v="0"/>
  </r>
  <r>
    <x v="679"/>
    <s v="CC-10056"/>
    <x v="23"/>
    <s v="10:52"/>
    <x v="14"/>
    <x v="0"/>
    <x v="4"/>
    <x v="678"/>
    <x v="0"/>
    <x v="0"/>
    <m/>
    <s v="Pieter Fourie"/>
    <n v="100000"/>
    <x v="0"/>
    <x v="1"/>
    <n v="3.2431799999999997E-2"/>
    <n v="1"/>
    <n v="0"/>
    <n v="0"/>
    <n v="0"/>
    <n v="0"/>
    <n v="0"/>
    <x v="0"/>
    <x v="0"/>
  </r>
  <r>
    <x v="680"/>
    <s v="CC-10056"/>
    <x v="416"/>
    <s v="19:43"/>
    <x v="36"/>
    <x v="11"/>
    <x v="8"/>
    <x v="679"/>
    <x v="3"/>
    <x v="1"/>
    <m/>
    <s v="Pieter Fourie"/>
    <n v="100000"/>
    <x v="0"/>
    <x v="1"/>
    <n v="2.4760999999999998E-2"/>
    <n v="0"/>
    <n v="0"/>
    <n v="0"/>
    <n v="0"/>
    <n v="0"/>
    <n v="1"/>
    <x v="0"/>
    <x v="0"/>
  </r>
  <r>
    <x v="681"/>
    <s v="CC-10056"/>
    <x v="320"/>
    <s v="18:08"/>
    <x v="5"/>
    <x v="4"/>
    <x v="4"/>
    <x v="680"/>
    <x v="0"/>
    <x v="0"/>
    <s v="customer disputed - under review"/>
    <s v="Pieter Fourie"/>
    <n v="100000"/>
    <x v="0"/>
    <x v="1"/>
    <n v="1.0698999999999999E-3"/>
    <n v="1"/>
    <n v="0"/>
    <n v="0"/>
    <n v="0"/>
    <n v="0"/>
    <n v="0"/>
    <x v="0"/>
    <x v="0"/>
  </r>
  <r>
    <x v="682"/>
    <s v="CC-10057"/>
    <x v="31"/>
    <s v="19:26"/>
    <x v="29"/>
    <x v="6"/>
    <x v="1"/>
    <x v="681"/>
    <x v="2"/>
    <x v="0"/>
    <m/>
    <s v="David Sithole"/>
    <n v="25000"/>
    <x v="1"/>
    <x v="1"/>
    <n v="8.7615999999999996E-3"/>
    <n v="0"/>
    <n v="0"/>
    <n v="0"/>
    <n v="0"/>
    <n v="0"/>
    <n v="0"/>
    <x v="1"/>
    <x v="0"/>
  </r>
  <r>
    <x v="683"/>
    <s v="CC-10057"/>
    <x v="128"/>
    <s v="07:07"/>
    <x v="0"/>
    <x v="0"/>
    <x v="1"/>
    <x v="682"/>
    <x v="1"/>
    <x v="0"/>
    <m/>
    <s v="David Sithole"/>
    <n v="25000"/>
    <x v="1"/>
    <x v="1"/>
    <n v="0.16154760000000001"/>
    <n v="1"/>
    <n v="0"/>
    <n v="0"/>
    <n v="0"/>
    <n v="0"/>
    <n v="1"/>
    <x v="3"/>
    <x v="2"/>
  </r>
  <r>
    <x v="684"/>
    <s v="CC-10057"/>
    <x v="409"/>
    <s v="21:54"/>
    <x v="23"/>
    <x v="10"/>
    <x v="7"/>
    <x v="683"/>
    <x v="1"/>
    <x v="0"/>
    <m/>
    <s v="David Sithole"/>
    <n v="25000"/>
    <x v="1"/>
    <x v="1"/>
    <n v="0.1588552"/>
    <n v="1"/>
    <n v="0"/>
    <n v="0"/>
    <n v="0"/>
    <n v="0"/>
    <n v="1"/>
    <x v="3"/>
    <x v="2"/>
  </r>
  <r>
    <x v="685"/>
    <s v="CC-10057"/>
    <x v="388"/>
    <s v="10:51"/>
    <x v="45"/>
    <x v="9"/>
    <x v="7"/>
    <x v="684"/>
    <x v="0"/>
    <x v="0"/>
    <m/>
    <s v="David Sithole"/>
    <n v="25000"/>
    <x v="1"/>
    <x v="1"/>
    <n v="2.0524000000000002E-3"/>
    <n v="1"/>
    <n v="0"/>
    <n v="0"/>
    <n v="0"/>
    <n v="0"/>
    <n v="0"/>
    <x v="0"/>
    <x v="0"/>
  </r>
  <r>
    <x v="686"/>
    <s v="CC-10057"/>
    <x v="73"/>
    <s v="11:52"/>
    <x v="23"/>
    <x v="10"/>
    <x v="1"/>
    <x v="685"/>
    <x v="0"/>
    <x v="0"/>
    <m/>
    <s v="David Sithole"/>
    <n v="25000"/>
    <x v="1"/>
    <x v="1"/>
    <n v="6.8275600000000006E-2"/>
    <n v="1"/>
    <n v="0"/>
    <n v="0"/>
    <n v="0"/>
    <n v="0"/>
    <n v="0"/>
    <x v="0"/>
    <x v="0"/>
  </r>
  <r>
    <x v="687"/>
    <s v="CC-10057"/>
    <x v="27"/>
    <s v="16:55"/>
    <x v="29"/>
    <x v="6"/>
    <x v="1"/>
    <x v="686"/>
    <x v="3"/>
    <x v="0"/>
    <m/>
    <s v="David Sithole"/>
    <n v="25000"/>
    <x v="1"/>
    <x v="1"/>
    <n v="4.2095600000000004E-2"/>
    <n v="1"/>
    <n v="0"/>
    <n v="0"/>
    <n v="0"/>
    <n v="0"/>
    <n v="1"/>
    <x v="3"/>
    <x v="2"/>
  </r>
  <r>
    <x v="688"/>
    <s v="CC-10057"/>
    <x v="283"/>
    <s v="13:18"/>
    <x v="35"/>
    <x v="0"/>
    <x v="5"/>
    <x v="687"/>
    <x v="0"/>
    <x v="0"/>
    <m/>
    <s v="David Sithole"/>
    <n v="25000"/>
    <x v="1"/>
    <x v="1"/>
    <n v="3.4272399999999995E-2"/>
    <n v="1"/>
    <n v="0"/>
    <n v="0"/>
    <n v="0"/>
    <n v="0"/>
    <n v="0"/>
    <x v="0"/>
    <x v="0"/>
  </r>
  <r>
    <x v="689"/>
    <s v="CC-10057"/>
    <x v="281"/>
    <s v="22:26"/>
    <x v="0"/>
    <x v="0"/>
    <x v="4"/>
    <x v="688"/>
    <x v="3"/>
    <x v="0"/>
    <m/>
    <s v="David Sithole"/>
    <n v="25000"/>
    <x v="1"/>
    <x v="1"/>
    <n v="2.5542800000000001E-2"/>
    <n v="1"/>
    <n v="0"/>
    <n v="0"/>
    <n v="0"/>
    <n v="0"/>
    <n v="1"/>
    <x v="3"/>
    <x v="2"/>
  </r>
  <r>
    <x v="690"/>
    <s v="CC-10057"/>
    <x v="116"/>
    <s v="08:20"/>
    <x v="29"/>
    <x v="6"/>
    <x v="7"/>
    <x v="689"/>
    <x v="1"/>
    <x v="0"/>
    <m/>
    <s v="David Sithole"/>
    <n v="25000"/>
    <x v="1"/>
    <x v="1"/>
    <n v="5.9882399999999995E-2"/>
    <n v="1"/>
    <n v="0"/>
    <n v="0"/>
    <n v="0"/>
    <n v="0"/>
    <n v="1"/>
    <x v="3"/>
    <x v="2"/>
  </r>
  <r>
    <x v="691"/>
    <s v="CC-10057"/>
    <x v="417"/>
    <s v="17:10"/>
    <x v="47"/>
    <x v="4"/>
    <x v="0"/>
    <x v="690"/>
    <x v="2"/>
    <x v="0"/>
    <m/>
    <s v="David Sithole"/>
    <n v="25000"/>
    <x v="1"/>
    <x v="1"/>
    <n v="1.1903199999999999E-2"/>
    <n v="1"/>
    <n v="0"/>
    <n v="0"/>
    <n v="0"/>
    <n v="0"/>
    <n v="0"/>
    <x v="0"/>
    <x v="0"/>
  </r>
  <r>
    <x v="692"/>
    <s v="CC-10057"/>
    <x v="166"/>
    <s v="Unknown"/>
    <x v="7"/>
    <x v="5"/>
    <x v="1"/>
    <x v="691"/>
    <x v="1"/>
    <x v="0"/>
    <m/>
    <s v="David Sithole"/>
    <n v="25000"/>
    <x v="1"/>
    <x v="1"/>
    <n v="8.4147199999999991E-2"/>
    <n v="1"/>
    <n v="1"/>
    <n v="0"/>
    <n v="0"/>
    <n v="0"/>
    <n v="1"/>
    <x v="2"/>
    <x v="1"/>
  </r>
  <r>
    <x v="693"/>
    <s v="CC-10058"/>
    <x v="134"/>
    <s v="13:36"/>
    <x v="30"/>
    <x v="3"/>
    <x v="3"/>
    <x v="692"/>
    <x v="2"/>
    <x v="0"/>
    <m/>
    <s v="Naledi Mahlangu"/>
    <n v="60000"/>
    <x v="1"/>
    <x v="0"/>
    <n v="2.1806666666666667E-3"/>
    <n v="1"/>
    <n v="0"/>
    <n v="0"/>
    <n v="0"/>
    <n v="0"/>
    <n v="0"/>
    <x v="0"/>
    <x v="0"/>
  </r>
  <r>
    <x v="694"/>
    <s v="CC-10058"/>
    <x v="189"/>
    <s v="08:38"/>
    <x v="8"/>
    <x v="6"/>
    <x v="4"/>
    <x v="693"/>
    <x v="3"/>
    <x v="0"/>
    <m/>
    <s v="Naledi Mahlangu"/>
    <n v="60000"/>
    <x v="1"/>
    <x v="0"/>
    <n v="2.1283166666666666E-2"/>
    <n v="1"/>
    <n v="0"/>
    <n v="0"/>
    <n v="0"/>
    <n v="0"/>
    <n v="1"/>
    <x v="3"/>
    <x v="2"/>
  </r>
  <r>
    <x v="695"/>
    <s v="CC-10058"/>
    <x v="418"/>
    <s v="09:02"/>
    <x v="29"/>
    <x v="6"/>
    <x v="8"/>
    <x v="694"/>
    <x v="3"/>
    <x v="0"/>
    <m/>
    <s v="Naledi Mahlangu"/>
    <n v="60000"/>
    <x v="1"/>
    <x v="0"/>
    <n v="9.8545000000000004E-3"/>
    <n v="0"/>
    <n v="0"/>
    <n v="0"/>
    <n v="0"/>
    <n v="0"/>
    <n v="1"/>
    <x v="0"/>
    <x v="0"/>
  </r>
  <r>
    <x v="696"/>
    <s v="CC-10058"/>
    <x v="419"/>
    <s v="21:15"/>
    <x v="38"/>
    <x v="0"/>
    <x v="4"/>
    <x v="695"/>
    <x v="0"/>
    <x v="0"/>
    <m/>
    <s v="Naledi Mahlangu"/>
    <n v="60000"/>
    <x v="1"/>
    <x v="0"/>
    <n v="7.2440833333333329E-2"/>
    <n v="1"/>
    <n v="0"/>
    <n v="0"/>
    <n v="0"/>
    <n v="0"/>
    <n v="0"/>
    <x v="0"/>
    <x v="0"/>
  </r>
  <r>
    <x v="697"/>
    <s v="CC-10058"/>
    <x v="392"/>
    <s v="13:38"/>
    <x v="31"/>
    <x v="11"/>
    <x v="4"/>
    <x v="696"/>
    <x v="1"/>
    <x v="0"/>
    <m/>
    <s v="Naledi Mahlangu"/>
    <n v="60000"/>
    <x v="1"/>
    <x v="0"/>
    <n v="5.5075166666666668E-2"/>
    <n v="0"/>
    <n v="0"/>
    <n v="0"/>
    <n v="0"/>
    <n v="0"/>
    <n v="1"/>
    <x v="0"/>
    <x v="0"/>
  </r>
  <r>
    <x v="698"/>
    <s v="CC-10058"/>
    <x v="420"/>
    <s v="20:51"/>
    <x v="20"/>
    <x v="6"/>
    <x v="4"/>
    <x v="697"/>
    <x v="1"/>
    <x v="0"/>
    <m/>
    <s v="Naledi Mahlangu"/>
    <n v="60000"/>
    <x v="1"/>
    <x v="0"/>
    <n v="2.9567333333333334E-2"/>
    <n v="0"/>
    <n v="0"/>
    <n v="0"/>
    <n v="0"/>
    <n v="0"/>
    <n v="1"/>
    <x v="0"/>
    <x v="0"/>
  </r>
  <r>
    <x v="699"/>
    <s v="CC-10058"/>
    <x v="63"/>
    <s v="08:45"/>
    <x v="0"/>
    <x v="0"/>
    <x v="4"/>
    <x v="698"/>
    <x v="0"/>
    <x v="0"/>
    <m/>
    <s v="Naledi Mahlangu"/>
    <n v="60000"/>
    <x v="1"/>
    <x v="0"/>
    <n v="2.9443666666666663E-2"/>
    <n v="0"/>
    <n v="0"/>
    <n v="0"/>
    <n v="0"/>
    <n v="0"/>
    <n v="0"/>
    <x v="1"/>
    <x v="0"/>
  </r>
  <r>
    <x v="700"/>
    <s v="CC-10058"/>
    <x v="421"/>
    <s v="11:38"/>
    <x v="9"/>
    <x v="3"/>
    <x v="4"/>
    <x v="699"/>
    <x v="0"/>
    <x v="1"/>
    <m/>
    <s v="Naledi Mahlangu"/>
    <n v="60000"/>
    <x v="1"/>
    <x v="0"/>
    <n v="9.2996666666666662E-3"/>
    <n v="0"/>
    <n v="0"/>
    <n v="0"/>
    <n v="0"/>
    <n v="0"/>
    <n v="0"/>
    <x v="1"/>
    <x v="0"/>
  </r>
  <r>
    <x v="701"/>
    <s v="CC-10058"/>
    <x v="214"/>
    <s v="14:39"/>
    <x v="36"/>
    <x v="11"/>
    <x v="4"/>
    <x v="700"/>
    <x v="0"/>
    <x v="0"/>
    <m/>
    <s v="Naledi Mahlangu"/>
    <n v="60000"/>
    <x v="1"/>
    <x v="0"/>
    <n v="5.411266666666667E-2"/>
    <n v="0"/>
    <n v="0"/>
    <n v="0"/>
    <n v="0"/>
    <n v="0"/>
    <n v="0"/>
    <x v="1"/>
    <x v="0"/>
  </r>
  <r>
    <x v="702"/>
    <s v="CC-10058"/>
    <x v="297"/>
    <s v="14:12"/>
    <x v="30"/>
    <x v="3"/>
    <x v="4"/>
    <x v="701"/>
    <x v="2"/>
    <x v="0"/>
    <m/>
    <s v="Naledi Mahlangu"/>
    <n v="60000"/>
    <x v="1"/>
    <x v="0"/>
    <n v="1.668E-3"/>
    <n v="0"/>
    <n v="0"/>
    <n v="0"/>
    <n v="0"/>
    <n v="0"/>
    <n v="0"/>
    <x v="1"/>
    <x v="0"/>
  </r>
  <r>
    <x v="703"/>
    <s v="CC-10058"/>
    <x v="422"/>
    <s v="11:01"/>
    <x v="35"/>
    <x v="0"/>
    <x v="3"/>
    <x v="702"/>
    <x v="3"/>
    <x v="0"/>
    <m/>
    <s v="Naledi Mahlangu"/>
    <n v="60000"/>
    <x v="1"/>
    <x v="0"/>
    <n v="6.4558333333333329E-2"/>
    <n v="0"/>
    <n v="0"/>
    <n v="0"/>
    <n v="0"/>
    <n v="0"/>
    <n v="1"/>
    <x v="0"/>
    <x v="0"/>
  </r>
  <r>
    <x v="704"/>
    <s v="CC-10058"/>
    <x v="423"/>
    <s v="13:04"/>
    <x v="44"/>
    <x v="1"/>
    <x v="4"/>
    <x v="703"/>
    <x v="1"/>
    <x v="0"/>
    <m/>
    <s v="Naledi Mahlangu"/>
    <n v="60000"/>
    <x v="1"/>
    <x v="0"/>
    <n v="2.2705666666666666E-2"/>
    <n v="1"/>
    <n v="0"/>
    <n v="0"/>
    <n v="0"/>
    <n v="0"/>
    <n v="1"/>
    <x v="3"/>
    <x v="2"/>
  </r>
  <r>
    <x v="705"/>
    <s v="CC-10058"/>
    <x v="117"/>
    <s v="09:02"/>
    <x v="6"/>
    <x v="2"/>
    <x v="8"/>
    <x v="704"/>
    <x v="1"/>
    <x v="0"/>
    <m/>
    <s v="Naledi Mahlangu"/>
    <n v="60000"/>
    <x v="1"/>
    <x v="0"/>
    <n v="9.2613333333333332E-3"/>
    <n v="0"/>
    <n v="0"/>
    <n v="0"/>
    <n v="0"/>
    <n v="1"/>
    <n v="1"/>
    <x v="3"/>
    <x v="2"/>
  </r>
  <r>
    <x v="706"/>
    <s v="CC-10058"/>
    <x v="243"/>
    <s v="08:05"/>
    <x v="14"/>
    <x v="0"/>
    <x v="4"/>
    <x v="705"/>
    <x v="0"/>
    <x v="0"/>
    <m/>
    <s v="Naledi Mahlangu"/>
    <n v="60000"/>
    <x v="1"/>
    <x v="0"/>
    <n v="5.4857666666666666E-2"/>
    <n v="1"/>
    <n v="0"/>
    <n v="0"/>
    <n v="0"/>
    <n v="0"/>
    <n v="0"/>
    <x v="0"/>
    <x v="0"/>
  </r>
  <r>
    <x v="707"/>
    <s v="CC-10058"/>
    <x v="98"/>
    <s v="16:14"/>
    <x v="11"/>
    <x v="8"/>
    <x v="4"/>
    <x v="706"/>
    <x v="1"/>
    <x v="0"/>
    <m/>
    <s v="Naledi Mahlangu"/>
    <n v="60000"/>
    <x v="1"/>
    <x v="0"/>
    <n v="1.7848166666666668E-2"/>
    <n v="0"/>
    <n v="0"/>
    <n v="0"/>
    <n v="0"/>
    <n v="0"/>
    <n v="1"/>
    <x v="0"/>
    <x v="0"/>
  </r>
  <r>
    <x v="708"/>
    <s v="CC-10059"/>
    <x v="402"/>
    <s v="21:55"/>
    <x v="46"/>
    <x v="1"/>
    <x v="2"/>
    <x v="707"/>
    <x v="0"/>
    <x v="1"/>
    <m/>
    <s v="Andries Khumalo"/>
    <n v="15000"/>
    <x v="1"/>
    <x v="0"/>
    <n v="0.14128066666666667"/>
    <n v="0"/>
    <n v="0"/>
    <n v="0"/>
    <n v="0"/>
    <n v="1"/>
    <n v="0"/>
    <x v="0"/>
    <x v="0"/>
  </r>
  <r>
    <x v="709"/>
    <s v="CC-10059"/>
    <x v="424"/>
    <s v="15:41"/>
    <x v="29"/>
    <x v="6"/>
    <x v="5"/>
    <x v="708"/>
    <x v="2"/>
    <x v="0"/>
    <m/>
    <s v="Andries Khumalo"/>
    <n v="15000"/>
    <x v="1"/>
    <x v="0"/>
    <n v="0.11363666666666666"/>
    <n v="1"/>
    <n v="0"/>
    <n v="0"/>
    <n v="0"/>
    <n v="1"/>
    <n v="0"/>
    <x v="3"/>
    <x v="2"/>
  </r>
  <r>
    <x v="710"/>
    <s v="CC-10059"/>
    <x v="285"/>
    <s v="10:11"/>
    <x v="44"/>
    <x v="1"/>
    <x v="5"/>
    <x v="709"/>
    <x v="1"/>
    <x v="1"/>
    <m/>
    <s v="Andries Khumalo"/>
    <n v="15000"/>
    <x v="1"/>
    <x v="0"/>
    <n v="0.12945333333333334"/>
    <n v="0"/>
    <n v="0"/>
    <n v="0"/>
    <n v="0"/>
    <n v="0"/>
    <n v="1"/>
    <x v="0"/>
    <x v="0"/>
  </r>
  <r>
    <x v="711"/>
    <s v="CC-10059"/>
    <x v="339"/>
    <s v="08:06"/>
    <x v="44"/>
    <x v="1"/>
    <x v="6"/>
    <x v="710"/>
    <x v="3"/>
    <x v="0"/>
    <m/>
    <s v="Andries Khumalo"/>
    <n v="15000"/>
    <x v="1"/>
    <x v="0"/>
    <n v="0.15465200000000001"/>
    <n v="0"/>
    <n v="0"/>
    <n v="0"/>
    <n v="0"/>
    <n v="1"/>
    <n v="1"/>
    <x v="3"/>
    <x v="2"/>
  </r>
  <r>
    <x v="712"/>
    <s v="CC-10059"/>
    <x v="425"/>
    <s v="17:44"/>
    <x v="15"/>
    <x v="10"/>
    <x v="5"/>
    <x v="711"/>
    <x v="3"/>
    <x v="0"/>
    <m/>
    <s v="Andries Khumalo"/>
    <n v="15000"/>
    <x v="1"/>
    <x v="0"/>
    <n v="0.19875333333333334"/>
    <n v="1"/>
    <n v="0"/>
    <n v="0"/>
    <n v="0"/>
    <n v="1"/>
    <n v="1"/>
    <x v="2"/>
    <x v="1"/>
  </r>
  <r>
    <x v="713"/>
    <s v="CC-10059"/>
    <x v="426"/>
    <s v="18:33"/>
    <x v="25"/>
    <x v="6"/>
    <x v="6"/>
    <x v="712"/>
    <x v="0"/>
    <x v="0"/>
    <m/>
    <s v="Andries Khumalo"/>
    <n v="15000"/>
    <x v="1"/>
    <x v="0"/>
    <n v="1.8567333333333332E-2"/>
    <n v="0"/>
    <n v="0"/>
    <n v="0"/>
    <n v="0"/>
    <n v="0"/>
    <n v="0"/>
    <x v="1"/>
    <x v="0"/>
  </r>
  <r>
    <x v="714"/>
    <s v="CC-10059"/>
    <x v="427"/>
    <s v="18:48"/>
    <x v="39"/>
    <x v="5"/>
    <x v="5"/>
    <x v="713"/>
    <x v="0"/>
    <x v="0"/>
    <m/>
    <s v="Andries Khumalo"/>
    <n v="15000"/>
    <x v="1"/>
    <x v="0"/>
    <n v="0.139596"/>
    <n v="1"/>
    <n v="0"/>
    <n v="0"/>
    <n v="0"/>
    <n v="0"/>
    <n v="0"/>
    <x v="0"/>
    <x v="0"/>
  </r>
  <r>
    <x v="715"/>
    <s v="CC-10059"/>
    <x v="333"/>
    <s v="14:31"/>
    <x v="14"/>
    <x v="0"/>
    <x v="5"/>
    <x v="714"/>
    <x v="1"/>
    <x v="1"/>
    <m/>
    <s v="Andries Khumalo"/>
    <n v="15000"/>
    <x v="1"/>
    <x v="0"/>
    <n v="0.29213866666666666"/>
    <n v="0"/>
    <n v="0"/>
    <n v="0"/>
    <n v="0"/>
    <n v="0"/>
    <n v="1"/>
    <x v="0"/>
    <x v="0"/>
  </r>
  <r>
    <x v="716"/>
    <s v="CC-10059"/>
    <x v="428"/>
    <s v="12:17"/>
    <x v="0"/>
    <x v="0"/>
    <x v="3"/>
    <x v="715"/>
    <x v="3"/>
    <x v="0"/>
    <s v="chargeback initiated"/>
    <s v="Andries Khumalo"/>
    <n v="15000"/>
    <x v="1"/>
    <x v="0"/>
    <n v="9.9787333333333325E-2"/>
    <n v="0"/>
    <n v="0"/>
    <n v="0"/>
    <n v="0"/>
    <n v="0"/>
    <n v="1"/>
    <x v="0"/>
    <x v="0"/>
  </r>
  <r>
    <x v="717"/>
    <s v="CC-10059"/>
    <x v="88"/>
    <s v="21:15"/>
    <x v="26"/>
    <x v="2"/>
    <x v="6"/>
    <x v="716"/>
    <x v="0"/>
    <x v="0"/>
    <m/>
    <s v="Andries Khumalo"/>
    <n v="15000"/>
    <x v="1"/>
    <x v="0"/>
    <n v="4.6814000000000001E-2"/>
    <n v="1"/>
    <n v="0"/>
    <n v="0"/>
    <n v="0"/>
    <n v="0"/>
    <n v="0"/>
    <x v="0"/>
    <x v="0"/>
  </r>
  <r>
    <x v="718"/>
    <s v="CC-10041"/>
    <x v="177"/>
    <s v="05:00"/>
    <x v="35"/>
    <x v="0"/>
    <x v="7"/>
    <x v="717"/>
    <x v="3"/>
    <x v="1"/>
    <m/>
    <s v="Sanele Adams"/>
    <n v="80000"/>
    <x v="0"/>
    <x v="1"/>
    <n v="1.2500000000000001E-5"/>
    <n v="1"/>
    <n v="0"/>
    <n v="0"/>
    <n v="0"/>
    <n v="0"/>
    <n v="1"/>
    <x v="3"/>
    <x v="2"/>
  </r>
  <r>
    <x v="719"/>
    <s v="CC-10041"/>
    <x v="177"/>
    <s v="05:02"/>
    <x v="14"/>
    <x v="0"/>
    <x v="1"/>
    <x v="717"/>
    <x v="3"/>
    <x v="0"/>
    <m/>
    <s v="Sanele Adams"/>
    <n v="80000"/>
    <x v="0"/>
    <x v="1"/>
    <n v="1.2500000000000001E-5"/>
    <n v="1"/>
    <n v="0"/>
    <n v="0"/>
    <n v="0"/>
    <n v="0"/>
    <n v="1"/>
    <x v="3"/>
    <x v="2"/>
  </r>
  <r>
    <x v="720"/>
    <s v="CC-10041"/>
    <x v="177"/>
    <s v="05:04"/>
    <x v="14"/>
    <x v="0"/>
    <x v="1"/>
    <x v="718"/>
    <x v="3"/>
    <x v="0"/>
    <m/>
    <s v="Sanele Adams"/>
    <n v="80000"/>
    <x v="0"/>
    <x v="1"/>
    <n v="6.2500000000000001E-5"/>
    <n v="0"/>
    <n v="0"/>
    <n v="0"/>
    <n v="0"/>
    <n v="0"/>
    <n v="1"/>
    <x v="0"/>
    <x v="0"/>
  </r>
  <r>
    <x v="721"/>
    <s v="CC-10041"/>
    <x v="177"/>
    <s v="05:06"/>
    <x v="35"/>
    <x v="0"/>
    <x v="1"/>
    <x v="717"/>
    <x v="3"/>
    <x v="1"/>
    <m/>
    <s v="Sanele Adams"/>
    <n v="80000"/>
    <x v="0"/>
    <x v="1"/>
    <n v="1.2500000000000001E-5"/>
    <n v="0"/>
    <n v="0"/>
    <n v="0"/>
    <n v="0"/>
    <n v="0"/>
    <n v="1"/>
    <x v="0"/>
    <x v="0"/>
  </r>
  <r>
    <x v="722"/>
    <s v="CC-10041"/>
    <x v="177"/>
    <s v="05:08"/>
    <x v="38"/>
    <x v="0"/>
    <x v="7"/>
    <x v="719"/>
    <x v="3"/>
    <x v="1"/>
    <m/>
    <s v="Sanele Adams"/>
    <n v="80000"/>
    <x v="0"/>
    <x v="1"/>
    <n v="1.25E-4"/>
    <n v="0"/>
    <n v="0"/>
    <n v="0"/>
    <n v="0"/>
    <n v="0"/>
    <n v="1"/>
    <x v="0"/>
    <x v="0"/>
  </r>
  <r>
    <x v="723"/>
    <s v="CC-10007"/>
    <x v="41"/>
    <s v="02:07"/>
    <x v="23"/>
    <x v="10"/>
    <x v="0"/>
    <x v="720"/>
    <x v="1"/>
    <x v="0"/>
    <m/>
    <s v="Bongani Pretorius"/>
    <n v="40000"/>
    <x v="2"/>
    <x v="1"/>
    <n v="0.49089975000000002"/>
    <n v="1"/>
    <n v="1"/>
    <n v="0"/>
    <n v="0"/>
    <n v="0"/>
    <n v="1"/>
    <x v="2"/>
    <x v="1"/>
  </r>
  <r>
    <x v="724"/>
    <s v="CC-10007"/>
    <x v="41"/>
    <s v="09:49"/>
    <x v="29"/>
    <x v="6"/>
    <x v="4"/>
    <x v="721"/>
    <x v="0"/>
    <x v="0"/>
    <m/>
    <s v="Bongani Pretorius"/>
    <n v="40000"/>
    <x v="2"/>
    <x v="1"/>
    <n v="1.4961500000000001E-2"/>
    <n v="1"/>
    <n v="0"/>
    <n v="0"/>
    <n v="1"/>
    <n v="0"/>
    <n v="0"/>
    <x v="3"/>
    <x v="2"/>
  </r>
  <r>
    <x v="725"/>
    <s v="CC-10044"/>
    <x v="429"/>
    <s v="02:25"/>
    <x v="14"/>
    <x v="0"/>
    <x v="0"/>
    <x v="722"/>
    <x v="3"/>
    <x v="0"/>
    <m/>
    <s v="Johan Naidoo"/>
    <n v="20000"/>
    <x v="4"/>
    <x v="0"/>
    <n v="1.1223860000000001"/>
    <n v="0"/>
    <n v="1"/>
    <n v="0"/>
    <n v="0"/>
    <n v="0"/>
    <n v="1"/>
    <x v="3"/>
    <x v="2"/>
  </r>
  <r>
    <x v="726"/>
    <s v="CC-10026"/>
    <x v="42"/>
    <s v="20:33"/>
    <x v="30"/>
    <x v="3"/>
    <x v="0"/>
    <x v="723"/>
    <x v="3"/>
    <x v="0"/>
    <m/>
    <s v="Sipho Naidoo"/>
    <n v="15000"/>
    <x v="3"/>
    <x v="0"/>
    <n v="0.16481533333333334"/>
    <n v="0"/>
    <n v="0"/>
    <n v="0"/>
    <n v="1"/>
    <n v="0"/>
    <n v="1"/>
    <x v="3"/>
    <x v="2"/>
  </r>
  <r>
    <x v="727"/>
    <s v="CC-10026"/>
    <x v="42"/>
    <s v="20:17"/>
    <x v="10"/>
    <x v="7"/>
    <x v="0"/>
    <x v="724"/>
    <x v="3"/>
    <x v="0"/>
    <m/>
    <s v="Sipho Naidoo"/>
    <n v="15000"/>
    <x v="3"/>
    <x v="0"/>
    <n v="0.33396399999999998"/>
    <n v="0"/>
    <n v="0"/>
    <n v="0"/>
    <n v="0"/>
    <n v="0"/>
    <n v="1"/>
    <x v="0"/>
    <x v="0"/>
  </r>
  <r>
    <x v="728"/>
    <s v="CC-10026"/>
    <x v="42"/>
    <s v="20:48"/>
    <x v="27"/>
    <x v="2"/>
    <x v="0"/>
    <x v="725"/>
    <x v="3"/>
    <x v="0"/>
    <m/>
    <s v="Sipho Naidoo"/>
    <n v="15000"/>
    <x v="3"/>
    <x v="0"/>
    <n v="0.32314533333333334"/>
    <n v="0"/>
    <n v="0"/>
    <n v="0"/>
    <n v="0"/>
    <n v="0"/>
    <n v="1"/>
    <x v="0"/>
    <x v="0"/>
  </r>
  <r>
    <x v="729"/>
    <s v="CC-10026"/>
    <x v="42"/>
    <s v="20:00"/>
    <x v="18"/>
    <x v="11"/>
    <x v="0"/>
    <x v="726"/>
    <x v="3"/>
    <x v="1"/>
    <m/>
    <s v="Sipho Naidoo"/>
    <n v="15000"/>
    <x v="3"/>
    <x v="0"/>
    <n v="0.37508866666666668"/>
    <n v="0"/>
    <n v="0"/>
    <n v="0"/>
    <n v="0"/>
    <n v="0"/>
    <n v="1"/>
    <x v="0"/>
    <x v="0"/>
  </r>
  <r>
    <x v="730"/>
    <s v="CC-10026"/>
    <x v="430"/>
    <s v="20:01"/>
    <x v="33"/>
    <x v="1"/>
    <x v="0"/>
    <x v="727"/>
    <x v="1"/>
    <x v="0"/>
    <m/>
    <s v="Sipho Naidoo"/>
    <n v="15000"/>
    <x v="3"/>
    <x v="0"/>
    <n v="0.2739793333333333"/>
    <n v="0"/>
    <n v="0"/>
    <n v="0"/>
    <n v="0"/>
    <n v="0"/>
    <n v="1"/>
    <x v="0"/>
    <x v="0"/>
  </r>
  <r>
    <x v="731"/>
    <s v="CC-10039"/>
    <x v="431"/>
    <s v="02:23"/>
    <x v="37"/>
    <x v="10"/>
    <x v="4"/>
    <x v="728"/>
    <x v="1"/>
    <x v="0"/>
    <m/>
    <s v="Rachel Naidoo"/>
    <n v="15000"/>
    <x v="4"/>
    <x v="1"/>
    <n v="0.59152266666666664"/>
    <n v="0"/>
    <n v="1"/>
    <n v="0"/>
    <n v="0"/>
    <n v="1"/>
    <n v="1"/>
    <x v="2"/>
    <x v="1"/>
  </r>
  <r>
    <x v="732"/>
    <s v="CC-10039"/>
    <x v="431"/>
    <s v="18:36"/>
    <x v="20"/>
    <x v="6"/>
    <x v="3"/>
    <x v="729"/>
    <x v="0"/>
    <x v="0"/>
    <m/>
    <s v="Rachel Naidoo"/>
    <n v="15000"/>
    <x v="4"/>
    <x v="1"/>
    <n v="3.8656000000000003E-2"/>
    <n v="1"/>
    <n v="0"/>
    <n v="0"/>
    <n v="1"/>
    <n v="0"/>
    <n v="0"/>
    <x v="3"/>
    <x v="2"/>
  </r>
  <r>
    <x v="733"/>
    <s v="CC-10012"/>
    <x v="151"/>
    <s v="16:27"/>
    <x v="17"/>
    <x v="5"/>
    <x v="3"/>
    <x v="730"/>
    <x v="3"/>
    <x v="0"/>
    <m/>
    <s v="Precious Khumalo"/>
    <n v="30000"/>
    <x v="0"/>
    <x v="1"/>
    <n v="8.1529333333333343E-2"/>
    <n v="0"/>
    <n v="0"/>
    <n v="0"/>
    <n v="0"/>
    <n v="0"/>
    <n v="1"/>
    <x v="0"/>
    <x v="0"/>
  </r>
  <r>
    <x v="734"/>
    <s v="CC-10012"/>
    <x v="44"/>
    <s v="16:19"/>
    <x v="28"/>
    <x v="4"/>
    <x v="3"/>
    <x v="731"/>
    <x v="3"/>
    <x v="0"/>
    <m/>
    <s v="Precious Khumalo"/>
    <n v="30000"/>
    <x v="0"/>
    <x v="1"/>
    <n v="0.18151533333333333"/>
    <n v="0"/>
    <n v="0"/>
    <n v="0"/>
    <n v="0"/>
    <n v="0"/>
    <n v="1"/>
    <x v="0"/>
    <x v="0"/>
  </r>
  <r>
    <x v="735"/>
    <s v="CC-10012"/>
    <x v="151"/>
    <s v="16:23"/>
    <x v="13"/>
    <x v="9"/>
    <x v="3"/>
    <x v="732"/>
    <x v="3"/>
    <x v="0"/>
    <m/>
    <s v="Precious Khumalo"/>
    <n v="30000"/>
    <x v="0"/>
    <x v="1"/>
    <n v="0.16453299999999998"/>
    <n v="0"/>
    <n v="0"/>
    <n v="0"/>
    <n v="0"/>
    <n v="0"/>
    <n v="1"/>
    <x v="0"/>
    <x v="0"/>
  </r>
  <r>
    <x v="736"/>
    <s v="CC-10012"/>
    <x v="151"/>
    <s v="16:41"/>
    <x v="0"/>
    <x v="0"/>
    <x v="3"/>
    <x v="733"/>
    <x v="3"/>
    <x v="1"/>
    <m/>
    <s v="Precious Khumalo"/>
    <n v="30000"/>
    <x v="0"/>
    <x v="1"/>
    <n v="0.11268533333333333"/>
    <n v="0"/>
    <n v="0"/>
    <n v="0"/>
    <n v="0"/>
    <n v="0"/>
    <n v="1"/>
    <x v="0"/>
    <x v="0"/>
  </r>
  <r>
    <x v="737"/>
    <s v="CC-10012"/>
    <x v="151"/>
    <s v="16:34"/>
    <x v="41"/>
    <x v="7"/>
    <x v="3"/>
    <x v="734"/>
    <x v="3"/>
    <x v="1"/>
    <m/>
    <s v="Precious Khumalo"/>
    <n v="30000"/>
    <x v="0"/>
    <x v="1"/>
    <n v="8.6034333333333338E-2"/>
    <n v="0"/>
    <n v="0"/>
    <n v="0"/>
    <n v="0"/>
    <n v="0"/>
    <n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0F7F71-4C20-4F49-99B1-2A7F1C02C2CA}" name="PivotTable5"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61:E166" firstHeaderRow="1" firstDataRow="2" firstDataCol="1"/>
  <pivotFields count="27">
    <pivotField showAll="0"/>
    <pivotField showAll="0"/>
    <pivotField numFmtId="15" showAll="0">
      <items count="433">
        <item x="77"/>
        <item x="257"/>
        <item x="4"/>
        <item x="305"/>
        <item x="134"/>
        <item x="139"/>
        <item x="243"/>
        <item x="182"/>
        <item x="63"/>
        <item x="412"/>
        <item x="200"/>
        <item x="165"/>
        <item x="21"/>
        <item x="351"/>
        <item x="345"/>
        <item x="19"/>
        <item x="294"/>
        <item x="153"/>
        <item x="219"/>
        <item x="29"/>
        <item x="209"/>
        <item x="337"/>
        <item x="300"/>
        <item x="380"/>
        <item x="3"/>
        <item x="332"/>
        <item x="318"/>
        <item x="54"/>
        <item x="129"/>
        <item x="267"/>
        <item x="177"/>
        <item x="186"/>
        <item x="148"/>
        <item x="45"/>
        <item x="237"/>
        <item x="241"/>
        <item x="117"/>
        <item x="202"/>
        <item x="313"/>
        <item x="114"/>
        <item x="128"/>
        <item x="366"/>
        <item x="393"/>
        <item x="289"/>
        <item x="250"/>
        <item x="239"/>
        <item x="8"/>
        <item x="76"/>
        <item x="183"/>
        <item x="43"/>
        <item x="73"/>
        <item x="222"/>
        <item x="36"/>
        <item x="28"/>
        <item x="145"/>
        <item x="251"/>
        <item x="93"/>
        <item x="420"/>
        <item x="307"/>
        <item x="208"/>
        <item x="265"/>
        <item x="78"/>
        <item x="329"/>
        <item x="23"/>
        <item x="283"/>
        <item x="273"/>
        <item x="199"/>
        <item x="38"/>
        <item x="140"/>
        <item x="240"/>
        <item x="359"/>
        <item x="46"/>
        <item x="92"/>
        <item x="212"/>
        <item x="391"/>
        <item x="101"/>
        <item x="394"/>
        <item x="261"/>
        <item x="35"/>
        <item x="301"/>
        <item x="410"/>
        <item x="352"/>
        <item x="403"/>
        <item x="161"/>
        <item x="232"/>
        <item x="227"/>
        <item x="392"/>
        <item x="118"/>
        <item x="179"/>
        <item x="20"/>
        <item x="284"/>
        <item x="109"/>
        <item x="259"/>
        <item x="185"/>
        <item x="84"/>
        <item x="83"/>
        <item x="102"/>
        <item x="272"/>
        <item x="122"/>
        <item x="246"/>
        <item x="119"/>
        <item x="215"/>
        <item x="116"/>
        <item x="238"/>
        <item x="383"/>
        <item x="71"/>
        <item x="178"/>
        <item x="144"/>
        <item x="226"/>
        <item x="12"/>
        <item x="18"/>
        <item x="37"/>
        <item x="160"/>
        <item x="47"/>
        <item x="192"/>
        <item x="107"/>
        <item x="299"/>
        <item x="197"/>
        <item x="57"/>
        <item x="87"/>
        <item x="254"/>
        <item x="149"/>
        <item x="233"/>
        <item x="281"/>
        <item x="190"/>
        <item x="210"/>
        <item x="353"/>
        <item x="58"/>
        <item x="425"/>
        <item x="228"/>
        <item x="31"/>
        <item x="194"/>
        <item x="62"/>
        <item x="334"/>
        <item x="135"/>
        <item x="17"/>
        <item x="347"/>
        <item x="275"/>
        <item x="285"/>
        <item x="74"/>
        <item x="249"/>
        <item x="418"/>
        <item x="55"/>
        <item x="203"/>
        <item x="406"/>
        <item x="174"/>
        <item x="141"/>
        <item x="431"/>
        <item x="173"/>
        <item x="428"/>
        <item x="155"/>
        <item x="405"/>
        <item x="333"/>
        <item x="220"/>
        <item x="416"/>
        <item x="136"/>
        <item x="344"/>
        <item x="120"/>
        <item x="276"/>
        <item x="137"/>
        <item x="198"/>
        <item x="26"/>
        <item x="34"/>
        <item x="245"/>
        <item x="373"/>
        <item x="278"/>
        <item x="59"/>
        <item x="354"/>
        <item x="218"/>
        <item x="293"/>
        <item x="16"/>
        <item x="162"/>
        <item x="234"/>
        <item x="189"/>
        <item x="407"/>
        <item x="86"/>
        <item x="68"/>
        <item x="211"/>
        <item x="411"/>
        <item x="229"/>
        <item x="343"/>
        <item x="7"/>
        <item x="67"/>
        <item x="10"/>
        <item x="413"/>
        <item x="213"/>
        <item x="324"/>
        <item x="94"/>
        <item x="372"/>
        <item x="235"/>
        <item x="338"/>
        <item x="15"/>
        <item x="255"/>
        <item x="409"/>
        <item x="417"/>
        <item x="143"/>
        <item x="230"/>
        <item x="358"/>
        <item x="288"/>
        <item x="322"/>
        <item x="142"/>
        <item x="260"/>
        <item x="14"/>
        <item x="389"/>
        <item x="326"/>
        <item x="113"/>
        <item x="103"/>
        <item x="131"/>
        <item x="30"/>
        <item x="256"/>
        <item x="171"/>
        <item x="404"/>
        <item x="377"/>
        <item x="399"/>
        <item x="223"/>
        <item x="296"/>
        <item x="252"/>
        <item x="298"/>
        <item x="53"/>
        <item x="374"/>
        <item x="248"/>
        <item x="98"/>
        <item x="27"/>
        <item x="306"/>
        <item x="320"/>
        <item x="297"/>
        <item x="61"/>
        <item x="60"/>
        <item x="395"/>
        <item x="346"/>
        <item x="336"/>
        <item x="115"/>
        <item x="376"/>
        <item x="99"/>
        <item x="164"/>
        <item x="314"/>
        <item x="2"/>
        <item x="422"/>
        <item x="90"/>
        <item x="49"/>
        <item x="41"/>
        <item x="112"/>
        <item x="258"/>
        <item x="95"/>
        <item x="369"/>
        <item x="268"/>
        <item x="365"/>
        <item x="104"/>
        <item x="97"/>
        <item x="56"/>
        <item x="361"/>
        <item x="424"/>
        <item x="25"/>
        <item x="204"/>
        <item x="1"/>
        <item x="426"/>
        <item x="81"/>
        <item x="70"/>
        <item x="311"/>
        <item x="321"/>
        <item x="125"/>
        <item x="231"/>
        <item x="79"/>
        <item x="356"/>
        <item x="172"/>
        <item x="304"/>
        <item x="370"/>
        <item x="349"/>
        <item x="286"/>
        <item x="96"/>
        <item x="205"/>
        <item x="40"/>
        <item x="0"/>
        <item x="80"/>
        <item x="123"/>
        <item x="42"/>
        <item x="39"/>
        <item x="100"/>
        <item x="402"/>
        <item x="124"/>
        <item x="214"/>
        <item x="9"/>
        <item x="72"/>
        <item x="269"/>
        <item x="13"/>
        <item x="156"/>
        <item x="309"/>
        <item x="325"/>
        <item x="388"/>
        <item x="400"/>
        <item x="381"/>
        <item x="335"/>
        <item x="193"/>
        <item x="242"/>
        <item x="163"/>
        <item x="75"/>
        <item x="217"/>
        <item x="147"/>
        <item x="339"/>
        <item x="132"/>
        <item x="176"/>
        <item x="330"/>
        <item x="85"/>
        <item x="187"/>
        <item x="266"/>
        <item x="151"/>
        <item x="127"/>
        <item x="427"/>
        <item x="360"/>
        <item x="263"/>
        <item x="133"/>
        <item x="378"/>
        <item x="51"/>
        <item x="184"/>
        <item x="328"/>
        <item x="264"/>
        <item x="387"/>
        <item x="408"/>
        <item x="414"/>
        <item x="302"/>
        <item x="33"/>
        <item x="201"/>
        <item x="207"/>
        <item x="88"/>
        <item x="32"/>
        <item x="167"/>
        <item x="11"/>
        <item x="385"/>
        <item x="22"/>
        <item x="364"/>
        <item x="290"/>
        <item x="415"/>
        <item x="195"/>
        <item x="280"/>
        <item x="319"/>
        <item x="111"/>
        <item x="253"/>
        <item x="196"/>
        <item x="175"/>
        <item x="181"/>
        <item x="50"/>
        <item x="368"/>
        <item x="270"/>
        <item x="316"/>
        <item x="236"/>
        <item x="105"/>
        <item x="308"/>
        <item x="82"/>
        <item x="397"/>
        <item x="277"/>
        <item x="110"/>
        <item x="287"/>
        <item x="340"/>
        <item x="421"/>
        <item x="386"/>
        <item x="152"/>
        <item x="244"/>
        <item x="429"/>
        <item x="6"/>
        <item x="382"/>
        <item x="401"/>
        <item x="357"/>
        <item x="312"/>
        <item x="158"/>
        <item x="170"/>
        <item x="44"/>
        <item x="89"/>
        <item x="303"/>
        <item x="64"/>
        <item x="66"/>
        <item x="65"/>
        <item x="310"/>
        <item x="362"/>
        <item x="279"/>
        <item x="221"/>
        <item x="146"/>
        <item x="180"/>
        <item x="24"/>
        <item x="247"/>
        <item x="323"/>
        <item x="363"/>
        <item x="423"/>
        <item x="159"/>
        <item x="292"/>
        <item x="108"/>
        <item x="371"/>
        <item x="390"/>
        <item x="126"/>
        <item x="348"/>
        <item x="375"/>
        <item x="341"/>
        <item x="327"/>
        <item x="350"/>
        <item x="138"/>
        <item x="157"/>
        <item x="225"/>
        <item x="168"/>
        <item x="69"/>
        <item x="398"/>
        <item x="384"/>
        <item x="206"/>
        <item x="291"/>
        <item x="150"/>
        <item x="367"/>
        <item x="271"/>
        <item x="419"/>
        <item x="106"/>
        <item x="317"/>
        <item x="216"/>
        <item x="342"/>
        <item x="121"/>
        <item x="5"/>
        <item x="331"/>
        <item x="430"/>
        <item x="355"/>
        <item x="274"/>
        <item x="224"/>
        <item x="188"/>
        <item x="396"/>
        <item x="169"/>
        <item x="166"/>
        <item x="379"/>
        <item x="191"/>
        <item x="48"/>
        <item x="315"/>
        <item x="52"/>
        <item x="130"/>
        <item x="154"/>
        <item x="91"/>
        <item x="295"/>
        <item x="262"/>
        <item x="282"/>
        <item t="default"/>
      </items>
    </pivotField>
    <pivotField showAll="0"/>
    <pivotField showAll="0"/>
    <pivotField showAll="0">
      <items count="13">
        <item x="1"/>
        <item x="11"/>
        <item x="10"/>
        <item x="2"/>
        <item x="8"/>
        <item x="6"/>
        <item x="0"/>
        <item x="9"/>
        <item x="3"/>
        <item x="4"/>
        <item x="7"/>
        <item x="5"/>
        <item t="default"/>
      </items>
    </pivotField>
    <pivotField showAll="0">
      <items count="10">
        <item x="2"/>
        <item x="1"/>
        <item x="7"/>
        <item x="3"/>
        <item x="0"/>
        <item x="4"/>
        <item x="8"/>
        <item x="5"/>
        <item x="6"/>
        <item t="default"/>
      </items>
    </pivotField>
    <pivotField numFmtId="164" showAll="0"/>
    <pivotField showAll="0">
      <items count="5">
        <item x="1"/>
        <item x="0"/>
        <item x="2"/>
        <item x="3"/>
        <item t="default"/>
      </items>
    </pivotField>
    <pivotField showAll="0"/>
    <pivotField showAll="0"/>
    <pivotField showAll="0"/>
    <pivotField numFmtId="165" showAll="0"/>
    <pivotField showAll="0"/>
    <pivotField showAll="0">
      <items count="3">
        <item x="0"/>
        <item x="1"/>
        <item t="default"/>
      </items>
    </pivotField>
    <pivotField numFmtId="10" showAll="0"/>
    <pivotField showAll="0"/>
    <pivotField showAll="0"/>
    <pivotField showAll="0"/>
    <pivotField showAll="0"/>
    <pivotField showAll="0"/>
    <pivotField showAll="0"/>
    <pivotField showAll="0"/>
    <pivotField axis="axisCol" dataField="1" showAll="0">
      <items count="4">
        <item x="1"/>
        <item x="0"/>
        <item x="2"/>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x="1"/>
        <item x="2"/>
        <item x="3"/>
        <item h="1" x="4"/>
        <item sd="0" x="5"/>
      </items>
    </pivotField>
  </pivotFields>
  <rowFields count="1">
    <field x="26"/>
  </rowFields>
  <rowItems count="4">
    <i>
      <x v="1"/>
    </i>
    <i>
      <x v="2"/>
    </i>
    <i>
      <x v="3"/>
    </i>
    <i t="grand">
      <x/>
    </i>
  </rowItems>
  <colFields count="1">
    <field x="23"/>
  </colFields>
  <colItems count="4">
    <i>
      <x/>
    </i>
    <i>
      <x v="1"/>
    </i>
    <i>
      <x v="2"/>
    </i>
    <i t="grand">
      <x/>
    </i>
  </colItems>
  <dataFields count="1">
    <dataField name="Count of Risk_Level" fld="23" subtotal="count" showDataAs="percentOfRow" baseField="0" baseItem="0" numFmtId="10"/>
  </dataFields>
  <chartFormats count="8">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0"/>
          </reference>
          <reference field="23" count="1" selected="0">
            <x v="1"/>
          </reference>
        </references>
      </pivotArea>
    </chartFormat>
    <chartFormat chart="0" format="2" series="1">
      <pivotArea type="data" outline="0" fieldPosition="0">
        <references count="2">
          <reference field="4294967294" count="1" selected="0">
            <x v="0"/>
          </reference>
          <reference field="23" count="1" selected="0">
            <x v="2"/>
          </reference>
        </references>
      </pivotArea>
    </chartFormat>
    <chartFormat chart="3" format="6" series="1">
      <pivotArea type="data" outline="0" fieldPosition="0">
        <references count="2">
          <reference field="4294967294" count="1" selected="0">
            <x v="0"/>
          </reference>
          <reference field="23" count="1" selected="0">
            <x v="0"/>
          </reference>
        </references>
      </pivotArea>
    </chartFormat>
    <chartFormat chart="3" format="7" series="1">
      <pivotArea type="data" outline="0" fieldPosition="0">
        <references count="2">
          <reference field="4294967294" count="1" selected="0">
            <x v="0"/>
          </reference>
          <reference field="23" count="1" selected="0">
            <x v="1"/>
          </reference>
        </references>
      </pivotArea>
    </chartFormat>
    <chartFormat chart="3" format="8" series="1">
      <pivotArea type="data" outline="0" fieldPosition="0">
        <references count="2">
          <reference field="4294967294" count="1" selected="0">
            <x v="0"/>
          </reference>
          <reference field="23"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5BE57F-9FCB-4BBE-BA04-88D3D987773F}" name="PivotTable4"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36:B141" firstHeaderRow="1" firstDataRow="1" firstDataCol="1"/>
  <pivotFields count="27">
    <pivotField showAll="0"/>
    <pivotField showAll="0"/>
    <pivotField numFmtId="15" showAll="0">
      <items count="433">
        <item x="77"/>
        <item x="257"/>
        <item x="4"/>
        <item x="305"/>
        <item x="134"/>
        <item x="139"/>
        <item x="243"/>
        <item x="182"/>
        <item x="63"/>
        <item x="412"/>
        <item x="200"/>
        <item x="165"/>
        <item x="21"/>
        <item x="351"/>
        <item x="345"/>
        <item x="19"/>
        <item x="294"/>
        <item x="153"/>
        <item x="219"/>
        <item x="29"/>
        <item x="209"/>
        <item x="337"/>
        <item x="300"/>
        <item x="380"/>
        <item x="3"/>
        <item x="332"/>
        <item x="318"/>
        <item x="54"/>
        <item x="129"/>
        <item x="267"/>
        <item x="177"/>
        <item x="186"/>
        <item x="148"/>
        <item x="45"/>
        <item x="237"/>
        <item x="241"/>
        <item x="117"/>
        <item x="202"/>
        <item x="313"/>
        <item x="114"/>
        <item x="128"/>
        <item x="366"/>
        <item x="393"/>
        <item x="289"/>
        <item x="250"/>
        <item x="239"/>
        <item x="8"/>
        <item x="76"/>
        <item x="183"/>
        <item x="43"/>
        <item x="73"/>
        <item x="222"/>
        <item x="36"/>
        <item x="28"/>
        <item x="145"/>
        <item x="251"/>
        <item x="93"/>
        <item x="420"/>
        <item x="307"/>
        <item x="208"/>
        <item x="265"/>
        <item x="78"/>
        <item x="329"/>
        <item x="23"/>
        <item x="283"/>
        <item x="273"/>
        <item x="199"/>
        <item x="38"/>
        <item x="140"/>
        <item x="240"/>
        <item x="359"/>
        <item x="46"/>
        <item x="92"/>
        <item x="212"/>
        <item x="391"/>
        <item x="101"/>
        <item x="394"/>
        <item x="261"/>
        <item x="35"/>
        <item x="301"/>
        <item x="410"/>
        <item x="352"/>
        <item x="403"/>
        <item x="161"/>
        <item x="232"/>
        <item x="227"/>
        <item x="392"/>
        <item x="118"/>
        <item x="179"/>
        <item x="20"/>
        <item x="284"/>
        <item x="109"/>
        <item x="259"/>
        <item x="185"/>
        <item x="84"/>
        <item x="83"/>
        <item x="102"/>
        <item x="272"/>
        <item x="122"/>
        <item x="246"/>
        <item x="119"/>
        <item x="215"/>
        <item x="116"/>
        <item x="238"/>
        <item x="383"/>
        <item x="71"/>
        <item x="178"/>
        <item x="144"/>
        <item x="226"/>
        <item x="12"/>
        <item x="18"/>
        <item x="37"/>
        <item x="160"/>
        <item x="47"/>
        <item x="192"/>
        <item x="107"/>
        <item x="299"/>
        <item x="197"/>
        <item x="57"/>
        <item x="87"/>
        <item x="254"/>
        <item x="149"/>
        <item x="233"/>
        <item x="281"/>
        <item x="190"/>
        <item x="210"/>
        <item x="353"/>
        <item x="58"/>
        <item x="425"/>
        <item x="228"/>
        <item x="31"/>
        <item x="194"/>
        <item x="62"/>
        <item x="334"/>
        <item x="135"/>
        <item x="17"/>
        <item x="347"/>
        <item x="275"/>
        <item x="285"/>
        <item x="74"/>
        <item x="249"/>
        <item x="418"/>
        <item x="55"/>
        <item x="203"/>
        <item x="406"/>
        <item x="174"/>
        <item x="141"/>
        <item x="431"/>
        <item x="173"/>
        <item x="428"/>
        <item x="155"/>
        <item x="405"/>
        <item x="333"/>
        <item x="220"/>
        <item x="416"/>
        <item x="136"/>
        <item x="344"/>
        <item x="120"/>
        <item x="276"/>
        <item x="137"/>
        <item x="198"/>
        <item x="26"/>
        <item x="34"/>
        <item x="245"/>
        <item x="373"/>
        <item x="278"/>
        <item x="59"/>
        <item x="354"/>
        <item x="218"/>
        <item x="293"/>
        <item x="16"/>
        <item x="162"/>
        <item x="234"/>
        <item x="189"/>
        <item x="407"/>
        <item x="86"/>
        <item x="68"/>
        <item x="211"/>
        <item x="411"/>
        <item x="229"/>
        <item x="343"/>
        <item x="7"/>
        <item x="67"/>
        <item x="10"/>
        <item x="413"/>
        <item x="213"/>
        <item x="324"/>
        <item x="94"/>
        <item x="372"/>
        <item x="235"/>
        <item x="338"/>
        <item x="15"/>
        <item x="255"/>
        <item x="409"/>
        <item x="417"/>
        <item x="143"/>
        <item x="230"/>
        <item x="358"/>
        <item x="288"/>
        <item x="322"/>
        <item x="142"/>
        <item x="260"/>
        <item x="14"/>
        <item x="389"/>
        <item x="326"/>
        <item x="113"/>
        <item x="103"/>
        <item x="131"/>
        <item x="30"/>
        <item x="256"/>
        <item x="171"/>
        <item x="404"/>
        <item x="377"/>
        <item x="399"/>
        <item x="223"/>
        <item x="296"/>
        <item x="252"/>
        <item x="298"/>
        <item x="53"/>
        <item x="374"/>
        <item x="248"/>
        <item x="98"/>
        <item x="27"/>
        <item x="306"/>
        <item x="320"/>
        <item x="297"/>
        <item x="61"/>
        <item x="60"/>
        <item x="395"/>
        <item x="346"/>
        <item x="336"/>
        <item x="115"/>
        <item x="376"/>
        <item x="99"/>
        <item x="164"/>
        <item x="314"/>
        <item x="2"/>
        <item x="422"/>
        <item x="90"/>
        <item x="49"/>
        <item x="41"/>
        <item x="112"/>
        <item x="258"/>
        <item x="95"/>
        <item x="369"/>
        <item x="268"/>
        <item x="365"/>
        <item x="104"/>
        <item x="97"/>
        <item x="56"/>
        <item x="361"/>
        <item x="424"/>
        <item x="25"/>
        <item x="204"/>
        <item x="1"/>
        <item x="426"/>
        <item x="81"/>
        <item x="70"/>
        <item x="311"/>
        <item x="321"/>
        <item x="125"/>
        <item x="231"/>
        <item x="79"/>
        <item x="356"/>
        <item x="172"/>
        <item x="304"/>
        <item x="370"/>
        <item x="349"/>
        <item x="286"/>
        <item x="96"/>
        <item x="205"/>
        <item x="40"/>
        <item x="0"/>
        <item x="80"/>
        <item x="123"/>
        <item x="42"/>
        <item x="39"/>
        <item x="100"/>
        <item x="402"/>
        <item x="124"/>
        <item x="214"/>
        <item x="9"/>
        <item x="72"/>
        <item x="269"/>
        <item x="13"/>
        <item x="156"/>
        <item x="309"/>
        <item x="325"/>
        <item x="388"/>
        <item x="400"/>
        <item x="381"/>
        <item x="335"/>
        <item x="193"/>
        <item x="242"/>
        <item x="163"/>
        <item x="75"/>
        <item x="217"/>
        <item x="147"/>
        <item x="339"/>
        <item x="132"/>
        <item x="176"/>
        <item x="330"/>
        <item x="85"/>
        <item x="187"/>
        <item x="266"/>
        <item x="151"/>
        <item x="127"/>
        <item x="427"/>
        <item x="360"/>
        <item x="263"/>
        <item x="133"/>
        <item x="378"/>
        <item x="51"/>
        <item x="184"/>
        <item x="328"/>
        <item x="264"/>
        <item x="387"/>
        <item x="408"/>
        <item x="414"/>
        <item x="302"/>
        <item x="33"/>
        <item x="201"/>
        <item x="207"/>
        <item x="88"/>
        <item x="32"/>
        <item x="167"/>
        <item x="11"/>
        <item x="385"/>
        <item x="22"/>
        <item x="364"/>
        <item x="290"/>
        <item x="415"/>
        <item x="195"/>
        <item x="280"/>
        <item x="319"/>
        <item x="111"/>
        <item x="253"/>
        <item x="196"/>
        <item x="175"/>
        <item x="181"/>
        <item x="50"/>
        <item x="368"/>
        <item x="270"/>
        <item x="316"/>
        <item x="236"/>
        <item x="105"/>
        <item x="308"/>
        <item x="82"/>
        <item x="397"/>
        <item x="277"/>
        <item x="110"/>
        <item x="287"/>
        <item x="340"/>
        <item x="421"/>
        <item x="386"/>
        <item x="152"/>
        <item x="244"/>
        <item x="429"/>
        <item x="6"/>
        <item x="382"/>
        <item x="401"/>
        <item x="357"/>
        <item x="312"/>
        <item x="158"/>
        <item x="170"/>
        <item x="44"/>
        <item x="89"/>
        <item x="303"/>
        <item x="64"/>
        <item x="66"/>
        <item x="65"/>
        <item x="310"/>
        <item x="362"/>
        <item x="279"/>
        <item x="221"/>
        <item x="146"/>
        <item x="180"/>
        <item x="24"/>
        <item x="247"/>
        <item x="323"/>
        <item x="363"/>
        <item x="423"/>
        <item x="159"/>
        <item x="292"/>
        <item x="108"/>
        <item x="371"/>
        <item x="390"/>
        <item x="126"/>
        <item x="348"/>
        <item x="375"/>
        <item x="341"/>
        <item x="327"/>
        <item x="350"/>
        <item x="138"/>
        <item x="157"/>
        <item x="225"/>
        <item x="168"/>
        <item x="69"/>
        <item x="398"/>
        <item x="384"/>
        <item x="206"/>
        <item x="291"/>
        <item x="150"/>
        <item x="367"/>
        <item x="271"/>
        <item x="419"/>
        <item x="106"/>
        <item x="317"/>
        <item x="216"/>
        <item x="342"/>
        <item x="121"/>
        <item x="5"/>
        <item x="331"/>
        <item x="430"/>
        <item x="355"/>
        <item x="274"/>
        <item x="224"/>
        <item x="188"/>
        <item x="396"/>
        <item x="169"/>
        <item x="166"/>
        <item x="379"/>
        <item x="191"/>
        <item x="48"/>
        <item x="315"/>
        <item x="52"/>
        <item x="130"/>
        <item x="154"/>
        <item x="91"/>
        <item x="295"/>
        <item x="262"/>
        <item x="282"/>
        <item t="default"/>
      </items>
    </pivotField>
    <pivotField showAll="0"/>
    <pivotField showAll="0"/>
    <pivotField showAll="0">
      <items count="13">
        <item x="1"/>
        <item x="11"/>
        <item x="10"/>
        <item x="2"/>
        <item x="8"/>
        <item x="6"/>
        <item x="0"/>
        <item x="9"/>
        <item x="3"/>
        <item x="4"/>
        <item x="7"/>
        <item x="5"/>
        <item t="default"/>
      </items>
    </pivotField>
    <pivotField showAll="0">
      <items count="10">
        <item x="2"/>
        <item x="1"/>
        <item x="7"/>
        <item x="3"/>
        <item x="0"/>
        <item x="4"/>
        <item x="8"/>
        <item x="5"/>
        <item x="6"/>
        <item t="default"/>
      </items>
    </pivotField>
    <pivotField numFmtId="164" showAll="0"/>
    <pivotField showAll="0">
      <items count="5">
        <item x="1"/>
        <item x="0"/>
        <item x="2"/>
        <item x="3"/>
        <item t="default"/>
      </items>
    </pivotField>
    <pivotField axis="axisRow" showAll="0">
      <items count="3">
        <item h="1" x="0"/>
        <item x="1"/>
        <item t="default"/>
      </items>
    </pivotField>
    <pivotField showAll="0"/>
    <pivotField showAll="0"/>
    <pivotField numFmtId="165" showAll="0"/>
    <pivotField showAll="0"/>
    <pivotField showAll="0">
      <items count="3">
        <item x="0"/>
        <item x="1"/>
        <item t="default"/>
      </items>
    </pivotField>
    <pivotField numFmtId="10"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Fields count="2">
    <field x="9"/>
    <field x="23"/>
  </rowFields>
  <rowItems count="5">
    <i>
      <x v="1"/>
    </i>
    <i r="1">
      <x/>
    </i>
    <i r="1">
      <x v="1"/>
    </i>
    <i r="1">
      <x v="2"/>
    </i>
    <i t="grand">
      <x/>
    </i>
  </rowItems>
  <colItems count="1">
    <i/>
  </colItems>
  <dataFields count="1">
    <dataField name="Count of Risk_Level" fld="23"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9" count="1" selected="0">
            <x v="1"/>
          </reference>
          <reference field="23" count="1" selected="0">
            <x v="2"/>
          </reference>
        </references>
      </pivotArea>
    </chartFormat>
    <chartFormat chart="0" format="2">
      <pivotArea type="data" outline="0" fieldPosition="0">
        <references count="3">
          <reference field="4294967294" count="1" selected="0">
            <x v="0"/>
          </reference>
          <reference field="9" count="1" selected="0">
            <x v="1"/>
          </reference>
          <reference field="23" count="1" selected="0">
            <x v="0"/>
          </reference>
        </references>
      </pivotArea>
    </chartFormat>
    <chartFormat chart="0" format="3">
      <pivotArea type="data" outline="0" fieldPosition="0">
        <references count="3">
          <reference field="4294967294" count="1" selected="0">
            <x v="0"/>
          </reference>
          <reference field="9" count="1" selected="0">
            <x v="1"/>
          </reference>
          <reference field="23"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3">
          <reference field="4294967294" count="1" selected="0">
            <x v="0"/>
          </reference>
          <reference field="9" count="1" selected="0">
            <x v="1"/>
          </reference>
          <reference field="23" count="1" selected="0">
            <x v="0"/>
          </reference>
        </references>
      </pivotArea>
    </chartFormat>
    <chartFormat chart="3" format="10">
      <pivotArea type="data" outline="0" fieldPosition="0">
        <references count="3">
          <reference field="4294967294" count="1" selected="0">
            <x v="0"/>
          </reference>
          <reference field="9" count="1" selected="0">
            <x v="1"/>
          </reference>
          <reference field="23" count="1" selected="0">
            <x v="1"/>
          </reference>
        </references>
      </pivotArea>
    </chartFormat>
    <chartFormat chart="3" format="11">
      <pivotArea type="data" outline="0" fieldPosition="0">
        <references count="3">
          <reference field="4294967294" count="1" selected="0">
            <x v="0"/>
          </reference>
          <reference field="9" count="1" selected="0">
            <x v="1"/>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B1D244-FEEF-4252-9AB5-26C551AE3D2C}"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21:B126" firstHeaderRow="1" firstDataRow="1" firstDataCol="1"/>
  <pivotFields count="27">
    <pivotField showAll="0"/>
    <pivotField showAll="0"/>
    <pivotField numFmtId="15" showAll="0">
      <items count="433">
        <item x="77"/>
        <item x="257"/>
        <item x="4"/>
        <item x="305"/>
        <item x="134"/>
        <item x="139"/>
        <item x="243"/>
        <item x="182"/>
        <item x="63"/>
        <item x="412"/>
        <item x="200"/>
        <item x="165"/>
        <item x="21"/>
        <item x="351"/>
        <item x="345"/>
        <item x="19"/>
        <item x="294"/>
        <item x="153"/>
        <item x="219"/>
        <item x="29"/>
        <item x="209"/>
        <item x="337"/>
        <item x="300"/>
        <item x="380"/>
        <item x="3"/>
        <item x="332"/>
        <item x="318"/>
        <item x="54"/>
        <item x="129"/>
        <item x="267"/>
        <item x="177"/>
        <item x="186"/>
        <item x="148"/>
        <item x="45"/>
        <item x="237"/>
        <item x="241"/>
        <item x="117"/>
        <item x="202"/>
        <item x="313"/>
        <item x="114"/>
        <item x="128"/>
        <item x="366"/>
        <item x="393"/>
        <item x="289"/>
        <item x="250"/>
        <item x="239"/>
        <item x="8"/>
        <item x="76"/>
        <item x="183"/>
        <item x="43"/>
        <item x="73"/>
        <item x="222"/>
        <item x="36"/>
        <item x="28"/>
        <item x="145"/>
        <item x="251"/>
        <item x="93"/>
        <item x="420"/>
        <item x="307"/>
        <item x="208"/>
        <item x="265"/>
        <item x="78"/>
        <item x="329"/>
        <item x="23"/>
        <item x="283"/>
        <item x="273"/>
        <item x="199"/>
        <item x="38"/>
        <item x="140"/>
        <item x="240"/>
        <item x="359"/>
        <item x="46"/>
        <item x="92"/>
        <item x="212"/>
        <item x="391"/>
        <item x="101"/>
        <item x="394"/>
        <item x="261"/>
        <item x="35"/>
        <item x="301"/>
        <item x="410"/>
        <item x="352"/>
        <item x="403"/>
        <item x="161"/>
        <item x="232"/>
        <item x="227"/>
        <item x="392"/>
        <item x="118"/>
        <item x="179"/>
        <item x="20"/>
        <item x="284"/>
        <item x="109"/>
        <item x="259"/>
        <item x="185"/>
        <item x="84"/>
        <item x="83"/>
        <item x="102"/>
        <item x="272"/>
        <item x="122"/>
        <item x="246"/>
        <item x="119"/>
        <item x="215"/>
        <item x="116"/>
        <item x="238"/>
        <item x="383"/>
        <item x="71"/>
        <item x="178"/>
        <item x="144"/>
        <item x="226"/>
        <item x="12"/>
        <item x="18"/>
        <item x="37"/>
        <item x="160"/>
        <item x="47"/>
        <item x="192"/>
        <item x="107"/>
        <item x="299"/>
        <item x="197"/>
        <item x="57"/>
        <item x="87"/>
        <item x="254"/>
        <item x="149"/>
        <item x="233"/>
        <item x="281"/>
        <item x="190"/>
        <item x="210"/>
        <item x="353"/>
        <item x="58"/>
        <item x="425"/>
        <item x="228"/>
        <item x="31"/>
        <item x="194"/>
        <item x="62"/>
        <item x="334"/>
        <item x="135"/>
        <item x="17"/>
        <item x="347"/>
        <item x="275"/>
        <item x="285"/>
        <item x="74"/>
        <item x="249"/>
        <item x="418"/>
        <item x="55"/>
        <item x="203"/>
        <item x="406"/>
        <item x="174"/>
        <item x="141"/>
        <item x="431"/>
        <item x="173"/>
        <item x="428"/>
        <item x="155"/>
        <item x="405"/>
        <item x="333"/>
        <item x="220"/>
        <item x="416"/>
        <item x="136"/>
        <item x="344"/>
        <item x="120"/>
        <item x="276"/>
        <item x="137"/>
        <item x="198"/>
        <item x="26"/>
        <item x="34"/>
        <item x="245"/>
        <item x="373"/>
        <item x="278"/>
        <item x="59"/>
        <item x="354"/>
        <item x="218"/>
        <item x="293"/>
        <item x="16"/>
        <item x="162"/>
        <item x="234"/>
        <item x="189"/>
        <item x="407"/>
        <item x="86"/>
        <item x="68"/>
        <item x="211"/>
        <item x="411"/>
        <item x="229"/>
        <item x="343"/>
        <item x="7"/>
        <item x="67"/>
        <item x="10"/>
        <item x="413"/>
        <item x="213"/>
        <item x="324"/>
        <item x="94"/>
        <item x="372"/>
        <item x="235"/>
        <item x="338"/>
        <item x="15"/>
        <item x="255"/>
        <item x="409"/>
        <item x="417"/>
        <item x="143"/>
        <item x="230"/>
        <item x="358"/>
        <item x="288"/>
        <item x="322"/>
        <item x="142"/>
        <item x="260"/>
        <item x="14"/>
        <item x="389"/>
        <item x="326"/>
        <item x="113"/>
        <item x="103"/>
        <item x="131"/>
        <item x="30"/>
        <item x="256"/>
        <item x="171"/>
        <item x="404"/>
        <item x="377"/>
        <item x="399"/>
        <item x="223"/>
        <item x="296"/>
        <item x="252"/>
        <item x="298"/>
        <item x="53"/>
        <item x="374"/>
        <item x="248"/>
        <item x="98"/>
        <item x="27"/>
        <item x="306"/>
        <item x="320"/>
        <item x="297"/>
        <item x="61"/>
        <item x="60"/>
        <item x="395"/>
        <item x="346"/>
        <item x="336"/>
        <item x="115"/>
        <item x="376"/>
        <item x="99"/>
        <item x="164"/>
        <item x="314"/>
        <item x="2"/>
        <item x="422"/>
        <item x="90"/>
        <item x="49"/>
        <item x="41"/>
        <item x="112"/>
        <item x="258"/>
        <item x="95"/>
        <item x="369"/>
        <item x="268"/>
        <item x="365"/>
        <item x="104"/>
        <item x="97"/>
        <item x="56"/>
        <item x="361"/>
        <item x="424"/>
        <item x="25"/>
        <item x="204"/>
        <item x="1"/>
        <item x="426"/>
        <item x="81"/>
        <item x="70"/>
        <item x="311"/>
        <item x="321"/>
        <item x="125"/>
        <item x="231"/>
        <item x="79"/>
        <item x="356"/>
        <item x="172"/>
        <item x="304"/>
        <item x="370"/>
        <item x="349"/>
        <item x="286"/>
        <item x="96"/>
        <item x="205"/>
        <item x="40"/>
        <item x="0"/>
        <item x="80"/>
        <item x="123"/>
        <item x="42"/>
        <item x="39"/>
        <item x="100"/>
        <item x="402"/>
        <item x="124"/>
        <item x="214"/>
        <item x="9"/>
        <item x="72"/>
        <item x="269"/>
        <item x="13"/>
        <item x="156"/>
        <item x="309"/>
        <item x="325"/>
        <item x="388"/>
        <item x="400"/>
        <item x="381"/>
        <item x="335"/>
        <item x="193"/>
        <item x="242"/>
        <item x="163"/>
        <item x="75"/>
        <item x="217"/>
        <item x="147"/>
        <item x="339"/>
        <item x="132"/>
        <item x="176"/>
        <item x="330"/>
        <item x="85"/>
        <item x="187"/>
        <item x="266"/>
        <item x="151"/>
        <item x="127"/>
        <item x="427"/>
        <item x="360"/>
        <item x="263"/>
        <item x="133"/>
        <item x="378"/>
        <item x="51"/>
        <item x="184"/>
        <item x="328"/>
        <item x="264"/>
        <item x="387"/>
        <item x="408"/>
        <item x="414"/>
        <item x="302"/>
        <item x="33"/>
        <item x="201"/>
        <item x="207"/>
        <item x="88"/>
        <item x="32"/>
        <item x="167"/>
        <item x="11"/>
        <item x="385"/>
        <item x="22"/>
        <item x="364"/>
        <item x="290"/>
        <item x="415"/>
        <item x="195"/>
        <item x="280"/>
        <item x="319"/>
        <item x="111"/>
        <item x="253"/>
        <item x="196"/>
        <item x="175"/>
        <item x="181"/>
        <item x="50"/>
        <item x="368"/>
        <item x="270"/>
        <item x="316"/>
        <item x="236"/>
        <item x="105"/>
        <item x="308"/>
        <item x="82"/>
        <item x="397"/>
        <item x="277"/>
        <item x="110"/>
        <item x="287"/>
        <item x="340"/>
        <item x="421"/>
        <item x="386"/>
        <item x="152"/>
        <item x="244"/>
        <item x="429"/>
        <item x="6"/>
        <item x="382"/>
        <item x="401"/>
        <item x="357"/>
        <item x="312"/>
        <item x="158"/>
        <item x="170"/>
        <item x="44"/>
        <item x="89"/>
        <item x="303"/>
        <item x="64"/>
        <item x="66"/>
        <item x="65"/>
        <item x="310"/>
        <item x="362"/>
        <item x="279"/>
        <item x="221"/>
        <item x="146"/>
        <item x="180"/>
        <item x="24"/>
        <item x="247"/>
        <item x="323"/>
        <item x="363"/>
        <item x="423"/>
        <item x="159"/>
        <item x="292"/>
        <item x="108"/>
        <item x="371"/>
        <item x="390"/>
        <item x="126"/>
        <item x="348"/>
        <item x="375"/>
        <item x="341"/>
        <item x="327"/>
        <item x="350"/>
        <item x="138"/>
        <item x="157"/>
        <item x="225"/>
        <item x="168"/>
        <item x="69"/>
        <item x="398"/>
        <item x="384"/>
        <item x="206"/>
        <item x="291"/>
        <item x="150"/>
        <item x="367"/>
        <item x="271"/>
        <item x="419"/>
        <item x="106"/>
        <item x="317"/>
        <item x="216"/>
        <item x="342"/>
        <item x="121"/>
        <item x="5"/>
        <item x="331"/>
        <item x="430"/>
        <item x="355"/>
        <item x="274"/>
        <item x="224"/>
        <item x="188"/>
        <item x="396"/>
        <item x="169"/>
        <item x="166"/>
        <item x="379"/>
        <item x="191"/>
        <item x="48"/>
        <item x="315"/>
        <item x="52"/>
        <item x="130"/>
        <item x="154"/>
        <item x="91"/>
        <item x="295"/>
        <item x="262"/>
        <item x="282"/>
        <item t="default"/>
      </items>
    </pivotField>
    <pivotField showAll="0"/>
    <pivotField showAll="0"/>
    <pivotField showAll="0">
      <items count="13">
        <item x="1"/>
        <item x="11"/>
        <item x="10"/>
        <item x="2"/>
        <item x="8"/>
        <item x="6"/>
        <item x="0"/>
        <item x="9"/>
        <item x="3"/>
        <item x="4"/>
        <item x="7"/>
        <item x="5"/>
        <item t="default"/>
      </items>
    </pivotField>
    <pivotField showAll="0">
      <items count="10">
        <item x="2"/>
        <item x="1"/>
        <item x="7"/>
        <item x="3"/>
        <item x="0"/>
        <item x="4"/>
        <item x="8"/>
        <item x="5"/>
        <item x="6"/>
        <item t="default"/>
      </items>
    </pivotField>
    <pivotField numFmtId="164" showAll="0"/>
    <pivotField showAll="0">
      <items count="5">
        <item x="1"/>
        <item x="0"/>
        <item x="2"/>
        <item x="3"/>
        <item t="default"/>
      </items>
    </pivotField>
    <pivotField axis="axisRow" showAll="0">
      <items count="3">
        <item x="0"/>
        <item h="1" x="1"/>
        <item t="default"/>
      </items>
    </pivotField>
    <pivotField showAll="0"/>
    <pivotField showAll="0"/>
    <pivotField numFmtId="165" showAll="0"/>
    <pivotField showAll="0"/>
    <pivotField showAll="0">
      <items count="3">
        <item x="0"/>
        <item x="1"/>
        <item t="default"/>
      </items>
    </pivotField>
    <pivotField numFmtId="10"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Fields count="2">
    <field x="9"/>
    <field x="23"/>
  </rowFields>
  <rowItems count="5">
    <i>
      <x/>
    </i>
    <i r="1">
      <x/>
    </i>
    <i r="1">
      <x v="1"/>
    </i>
    <i r="1">
      <x v="2"/>
    </i>
    <i t="grand">
      <x/>
    </i>
  </rowItems>
  <colItems count="1">
    <i/>
  </colItems>
  <dataFields count="1">
    <dataField name="Count of Risk_Level" fld="23" subtotal="count" baseField="0" baseItem="0"/>
  </dataFields>
  <formats count="1">
    <format dxfId="160">
      <pivotArea outline="0" collapsedLevelsAreSubtotals="1" fieldPosition="0"/>
    </format>
  </formats>
  <chartFormats count="9">
    <chartFormat chart="5" format="15"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0"/>
          </reference>
        </references>
      </pivotArea>
    </chartFormat>
    <chartFormat chart="5" format="19">
      <pivotArea type="data" outline="0" fieldPosition="0">
        <references count="3">
          <reference field="4294967294" count="1" selected="0">
            <x v="0"/>
          </reference>
          <reference field="9" count="1" selected="0">
            <x v="0"/>
          </reference>
          <reference field="23" count="1" selected="0">
            <x v="2"/>
          </reference>
        </references>
      </pivotArea>
    </chartFormat>
    <chartFormat chart="5" format="20">
      <pivotArea type="data" outline="0" fieldPosition="0">
        <references count="3">
          <reference field="4294967294" count="1" selected="0">
            <x v="0"/>
          </reference>
          <reference field="9" count="1" selected="0">
            <x v="0"/>
          </reference>
          <reference field="23" count="1" selected="0">
            <x v="1"/>
          </reference>
        </references>
      </pivotArea>
    </chartFormat>
    <chartFormat chart="5" format="21">
      <pivotArea type="data" outline="0" fieldPosition="0">
        <references count="3">
          <reference field="4294967294" count="1" selected="0">
            <x v="0"/>
          </reference>
          <reference field="9" count="1" selected="0">
            <x v="0"/>
          </reference>
          <reference field="23" count="1" selected="0">
            <x v="0"/>
          </reference>
        </references>
      </pivotArea>
    </chartFormat>
    <chartFormat chart="14" format="26" series="1">
      <pivotArea type="data" outline="0" fieldPosition="0">
        <references count="1">
          <reference field="4294967294" count="1" selected="0">
            <x v="0"/>
          </reference>
        </references>
      </pivotArea>
    </chartFormat>
    <chartFormat chart="14" format="27">
      <pivotArea type="data" outline="0" fieldPosition="0">
        <references count="3">
          <reference field="4294967294" count="1" selected="0">
            <x v="0"/>
          </reference>
          <reference field="9" count="1" selected="0">
            <x v="0"/>
          </reference>
          <reference field="23" count="1" selected="0">
            <x v="0"/>
          </reference>
        </references>
      </pivotArea>
    </chartFormat>
    <chartFormat chart="14" format="28">
      <pivotArea type="data" outline="0" fieldPosition="0">
        <references count="3">
          <reference field="4294967294" count="1" selected="0">
            <x v="0"/>
          </reference>
          <reference field="9" count="1" selected="0">
            <x v="0"/>
          </reference>
          <reference field="23" count="1" selected="0">
            <x v="1"/>
          </reference>
        </references>
      </pivotArea>
    </chartFormat>
    <chartFormat chart="14" format="29">
      <pivotArea type="data" outline="0" fieldPosition="0">
        <references count="3">
          <reference field="4294967294" count="1" selected="0">
            <x v="0"/>
          </reference>
          <reference field="9"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AF8F0F-4955-4179-A7D4-6268FB14007F}" name="Value at risk by risk level"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27">
    <pivotField showAll="0"/>
    <pivotField showAll="0"/>
    <pivotField numFmtId="15" showAll="0">
      <items count="433">
        <item x="77"/>
        <item x="257"/>
        <item x="4"/>
        <item x="305"/>
        <item x="134"/>
        <item x="139"/>
        <item x="243"/>
        <item x="182"/>
        <item x="63"/>
        <item x="412"/>
        <item x="200"/>
        <item x="165"/>
        <item x="21"/>
        <item x="351"/>
        <item x="345"/>
        <item x="19"/>
        <item x="294"/>
        <item x="153"/>
        <item x="219"/>
        <item x="29"/>
        <item x="209"/>
        <item x="337"/>
        <item x="300"/>
        <item x="380"/>
        <item x="3"/>
        <item x="332"/>
        <item x="318"/>
        <item x="54"/>
        <item x="129"/>
        <item x="267"/>
        <item x="177"/>
        <item x="186"/>
        <item x="148"/>
        <item x="45"/>
        <item x="237"/>
        <item x="241"/>
        <item x="117"/>
        <item x="202"/>
        <item x="313"/>
        <item x="114"/>
        <item x="128"/>
        <item x="366"/>
        <item x="393"/>
        <item x="289"/>
        <item x="250"/>
        <item x="239"/>
        <item x="8"/>
        <item x="76"/>
        <item x="183"/>
        <item x="43"/>
        <item x="73"/>
        <item x="222"/>
        <item x="36"/>
        <item x="28"/>
        <item x="145"/>
        <item x="251"/>
        <item x="93"/>
        <item x="420"/>
        <item x="307"/>
        <item x="208"/>
        <item x="265"/>
        <item x="78"/>
        <item x="329"/>
        <item x="23"/>
        <item x="283"/>
        <item x="273"/>
        <item x="199"/>
        <item x="38"/>
        <item x="140"/>
        <item x="240"/>
        <item x="359"/>
        <item x="46"/>
        <item x="92"/>
        <item x="212"/>
        <item x="391"/>
        <item x="101"/>
        <item x="394"/>
        <item x="261"/>
        <item x="35"/>
        <item x="301"/>
        <item x="410"/>
        <item x="352"/>
        <item x="403"/>
        <item x="161"/>
        <item x="232"/>
        <item x="227"/>
        <item x="392"/>
        <item x="118"/>
        <item x="179"/>
        <item x="20"/>
        <item x="284"/>
        <item x="109"/>
        <item x="259"/>
        <item x="185"/>
        <item x="84"/>
        <item x="83"/>
        <item x="102"/>
        <item x="272"/>
        <item x="122"/>
        <item x="246"/>
        <item x="119"/>
        <item x="215"/>
        <item x="116"/>
        <item x="238"/>
        <item x="383"/>
        <item x="71"/>
        <item x="178"/>
        <item x="144"/>
        <item x="226"/>
        <item x="12"/>
        <item x="18"/>
        <item x="37"/>
        <item x="160"/>
        <item x="47"/>
        <item x="192"/>
        <item x="107"/>
        <item x="299"/>
        <item x="197"/>
        <item x="57"/>
        <item x="87"/>
        <item x="254"/>
        <item x="149"/>
        <item x="233"/>
        <item x="281"/>
        <item x="190"/>
        <item x="210"/>
        <item x="353"/>
        <item x="58"/>
        <item x="425"/>
        <item x="228"/>
        <item x="31"/>
        <item x="194"/>
        <item x="62"/>
        <item x="334"/>
        <item x="135"/>
        <item x="17"/>
        <item x="347"/>
        <item x="275"/>
        <item x="285"/>
        <item x="74"/>
        <item x="249"/>
        <item x="418"/>
        <item x="55"/>
        <item x="203"/>
        <item x="406"/>
        <item x="174"/>
        <item x="141"/>
        <item x="431"/>
        <item x="173"/>
        <item x="428"/>
        <item x="155"/>
        <item x="405"/>
        <item x="333"/>
        <item x="220"/>
        <item x="416"/>
        <item x="136"/>
        <item x="344"/>
        <item x="120"/>
        <item x="276"/>
        <item x="137"/>
        <item x="198"/>
        <item x="26"/>
        <item x="34"/>
        <item x="245"/>
        <item x="373"/>
        <item x="278"/>
        <item x="59"/>
        <item x="354"/>
        <item x="218"/>
        <item x="293"/>
        <item x="16"/>
        <item x="162"/>
        <item x="234"/>
        <item x="189"/>
        <item x="407"/>
        <item x="86"/>
        <item x="68"/>
        <item x="211"/>
        <item x="411"/>
        <item x="229"/>
        <item x="343"/>
        <item x="7"/>
        <item x="67"/>
        <item x="10"/>
        <item x="413"/>
        <item x="213"/>
        <item x="324"/>
        <item x="94"/>
        <item x="372"/>
        <item x="235"/>
        <item x="338"/>
        <item x="15"/>
        <item x="255"/>
        <item x="409"/>
        <item x="417"/>
        <item x="143"/>
        <item x="230"/>
        <item x="358"/>
        <item x="288"/>
        <item x="322"/>
        <item x="142"/>
        <item x="260"/>
        <item x="14"/>
        <item x="389"/>
        <item x="326"/>
        <item x="113"/>
        <item x="103"/>
        <item x="131"/>
        <item x="30"/>
        <item x="256"/>
        <item x="171"/>
        <item x="404"/>
        <item x="377"/>
        <item x="399"/>
        <item x="223"/>
        <item x="296"/>
        <item x="252"/>
        <item x="298"/>
        <item x="53"/>
        <item x="374"/>
        <item x="248"/>
        <item x="98"/>
        <item x="27"/>
        <item x="306"/>
        <item x="320"/>
        <item x="297"/>
        <item x="61"/>
        <item x="60"/>
        <item x="395"/>
        <item x="346"/>
        <item x="336"/>
        <item x="115"/>
        <item x="376"/>
        <item x="99"/>
        <item x="164"/>
        <item x="314"/>
        <item x="2"/>
        <item x="422"/>
        <item x="90"/>
        <item x="49"/>
        <item x="41"/>
        <item x="112"/>
        <item x="258"/>
        <item x="95"/>
        <item x="369"/>
        <item x="268"/>
        <item x="365"/>
        <item x="104"/>
        <item x="97"/>
        <item x="56"/>
        <item x="361"/>
        <item x="424"/>
        <item x="25"/>
        <item x="204"/>
        <item x="1"/>
        <item x="426"/>
        <item x="81"/>
        <item x="70"/>
        <item x="311"/>
        <item x="321"/>
        <item x="125"/>
        <item x="231"/>
        <item x="79"/>
        <item x="356"/>
        <item x="172"/>
        <item x="304"/>
        <item x="370"/>
        <item x="349"/>
        <item x="286"/>
        <item x="96"/>
        <item x="205"/>
        <item x="40"/>
        <item x="0"/>
        <item x="80"/>
        <item x="123"/>
        <item x="42"/>
        <item x="39"/>
        <item x="100"/>
        <item x="402"/>
        <item x="124"/>
        <item x="214"/>
        <item x="9"/>
        <item x="72"/>
        <item x="269"/>
        <item x="13"/>
        <item x="156"/>
        <item x="309"/>
        <item x="325"/>
        <item x="388"/>
        <item x="400"/>
        <item x="381"/>
        <item x="335"/>
        <item x="193"/>
        <item x="242"/>
        <item x="163"/>
        <item x="75"/>
        <item x="217"/>
        <item x="147"/>
        <item x="339"/>
        <item x="132"/>
        <item x="176"/>
        <item x="330"/>
        <item x="85"/>
        <item x="187"/>
        <item x="266"/>
        <item x="151"/>
        <item x="127"/>
        <item x="427"/>
        <item x="360"/>
        <item x="263"/>
        <item x="133"/>
        <item x="378"/>
        <item x="51"/>
        <item x="184"/>
        <item x="328"/>
        <item x="264"/>
        <item x="387"/>
        <item x="408"/>
        <item x="414"/>
        <item x="302"/>
        <item x="33"/>
        <item x="201"/>
        <item x="207"/>
        <item x="88"/>
        <item x="32"/>
        <item x="167"/>
        <item x="11"/>
        <item x="385"/>
        <item x="22"/>
        <item x="364"/>
        <item x="290"/>
        <item x="415"/>
        <item x="195"/>
        <item x="280"/>
        <item x="319"/>
        <item x="111"/>
        <item x="253"/>
        <item x="196"/>
        <item x="175"/>
        <item x="181"/>
        <item x="50"/>
        <item x="368"/>
        <item x="270"/>
        <item x="316"/>
        <item x="236"/>
        <item x="105"/>
        <item x="308"/>
        <item x="82"/>
        <item x="397"/>
        <item x="277"/>
        <item x="110"/>
        <item x="287"/>
        <item x="340"/>
        <item x="421"/>
        <item x="386"/>
        <item x="152"/>
        <item x="244"/>
        <item x="429"/>
        <item x="6"/>
        <item x="382"/>
        <item x="401"/>
        <item x="357"/>
        <item x="312"/>
        <item x="158"/>
        <item x="170"/>
        <item x="44"/>
        <item x="89"/>
        <item x="303"/>
        <item x="64"/>
        <item x="66"/>
        <item x="65"/>
        <item x="310"/>
        <item x="362"/>
        <item x="279"/>
        <item x="221"/>
        <item x="146"/>
        <item x="180"/>
        <item x="24"/>
        <item x="247"/>
        <item x="323"/>
        <item x="363"/>
        <item x="423"/>
        <item x="159"/>
        <item x="292"/>
        <item x="108"/>
        <item x="371"/>
        <item x="390"/>
        <item x="126"/>
        <item x="348"/>
        <item x="375"/>
        <item x="341"/>
        <item x="327"/>
        <item x="350"/>
        <item x="138"/>
        <item x="157"/>
        <item x="225"/>
        <item x="168"/>
        <item x="69"/>
        <item x="398"/>
        <item x="384"/>
        <item x="206"/>
        <item x="291"/>
        <item x="150"/>
        <item x="367"/>
        <item x="271"/>
        <item x="419"/>
        <item x="106"/>
        <item x="317"/>
        <item x="216"/>
        <item x="342"/>
        <item x="121"/>
        <item x="5"/>
        <item x="331"/>
        <item x="430"/>
        <item x="355"/>
        <item x="274"/>
        <item x="224"/>
        <item x="188"/>
        <item x="396"/>
        <item x="169"/>
        <item x="166"/>
        <item x="379"/>
        <item x="191"/>
        <item x="48"/>
        <item x="315"/>
        <item x="52"/>
        <item x="130"/>
        <item x="154"/>
        <item x="91"/>
        <item x="295"/>
        <item x="262"/>
        <item x="282"/>
        <item t="default"/>
      </items>
    </pivotField>
    <pivotField showAll="0"/>
    <pivotField showAll="0">
      <items count="49">
        <item x="1"/>
        <item x="38"/>
        <item x="0"/>
        <item x="34"/>
        <item x="43"/>
        <item x="41"/>
        <item x="3"/>
        <item x="32"/>
        <item x="19"/>
        <item x="22"/>
        <item x="13"/>
        <item x="45"/>
        <item x="42"/>
        <item x="31"/>
        <item x="6"/>
        <item x="10"/>
        <item x="33"/>
        <item x="23"/>
        <item x="11"/>
        <item x="15"/>
        <item x="24"/>
        <item x="37"/>
        <item x="9"/>
        <item x="18"/>
        <item x="7"/>
        <item x="4"/>
        <item x="30"/>
        <item x="46"/>
        <item x="47"/>
        <item x="29"/>
        <item x="26"/>
        <item x="2"/>
        <item x="25"/>
        <item x="28"/>
        <item x="16"/>
        <item x="8"/>
        <item x="21"/>
        <item x="5"/>
        <item x="44"/>
        <item x="14"/>
        <item x="35"/>
        <item x="17"/>
        <item x="27"/>
        <item x="40"/>
        <item x="12"/>
        <item x="39"/>
        <item x="20"/>
        <item x="36"/>
        <item t="default"/>
      </items>
    </pivotField>
    <pivotField showAll="0">
      <items count="13">
        <item x="1"/>
        <item x="11"/>
        <item x="10"/>
        <item x="2"/>
        <item x="8"/>
        <item x="6"/>
        <item x="0"/>
        <item x="9"/>
        <item x="3"/>
        <item x="4"/>
        <item x="7"/>
        <item x="5"/>
        <item t="default"/>
      </items>
    </pivotField>
    <pivotField showAll="0">
      <items count="10">
        <item x="2"/>
        <item x="1"/>
        <item x="7"/>
        <item x="3"/>
        <item x="0"/>
        <item x="4"/>
        <item x="8"/>
        <item x="5"/>
        <item x="6"/>
        <item t="default"/>
      </items>
    </pivotField>
    <pivotField dataField="1" numFmtId="164" showAll="0"/>
    <pivotField showAll="0">
      <items count="5">
        <item x="1"/>
        <item x="0"/>
        <item x="2"/>
        <item x="3"/>
        <item t="default"/>
      </items>
    </pivotField>
    <pivotField showAll="0"/>
    <pivotField showAll="0"/>
    <pivotField showAll="0"/>
    <pivotField numFmtId="165" showAll="0"/>
    <pivotField showAll="0"/>
    <pivotField showAll="0">
      <items count="3">
        <item x="0"/>
        <item x="1"/>
        <item t="default"/>
      </items>
    </pivotField>
    <pivotField numFmtId="10" showAll="0"/>
    <pivotField showAll="0"/>
    <pivotField showAll="0"/>
    <pivotField showAll="0"/>
    <pivotField showAll="0"/>
    <pivotField showAll="0"/>
    <pivotField showAll="0"/>
    <pivotField showAll="0"/>
    <pivotField axis="axisRow"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3"/>
  </rowFields>
  <rowItems count="4">
    <i>
      <x/>
    </i>
    <i>
      <x v="1"/>
    </i>
    <i>
      <x v="2"/>
    </i>
    <i t="grand">
      <x/>
    </i>
  </rowItems>
  <colItems count="1">
    <i/>
  </colItems>
  <dataFields count="1">
    <dataField name="Sum of Amount (ZAR)" fld="7" showDataAs="percentOfTotal" baseField="0" baseItem="0" numFmtId="10"/>
  </dataFields>
  <formats count="2">
    <format dxfId="161">
      <pivotArea outline="0" collapsedLevelsAreSubtotals="1" fieldPosition="0"/>
    </format>
    <format dxfId="162">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2"/>
          </reference>
        </references>
      </pivotArea>
    </chartFormat>
    <chartFormat chart="0" format="2">
      <pivotArea type="data" outline="0" fieldPosition="0">
        <references count="2">
          <reference field="4294967294" count="1" selected="0">
            <x v="0"/>
          </reference>
          <reference field="23" count="1" selected="0">
            <x v="0"/>
          </reference>
        </references>
      </pivotArea>
    </chartFormat>
    <chartFormat chart="0" format="3">
      <pivotArea type="data" outline="0" fieldPosition="0">
        <references count="2">
          <reference field="4294967294" count="1" selected="0">
            <x v="0"/>
          </reference>
          <reference field="23"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3" count="1" selected="0">
            <x v="0"/>
          </reference>
        </references>
      </pivotArea>
    </chartFormat>
    <chartFormat chart="4" format="10">
      <pivotArea type="data" outline="0" fieldPosition="0">
        <references count="2">
          <reference field="4294967294" count="1" selected="0">
            <x v="0"/>
          </reference>
          <reference field="23" count="1" selected="0">
            <x v="1"/>
          </reference>
        </references>
      </pivotArea>
    </chartFormat>
    <chartFormat chart="4" format="11">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4E9588-C001-4046-934F-1812CADF65B8}" name="PivotTable1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8:A113" firstHeaderRow="1" firstDataRow="1" firstDataCol="1"/>
  <pivotFields count="27">
    <pivotField showAll="0"/>
    <pivotField showAll="0"/>
    <pivotField axis="axisRow" numFmtId="15" showAll="0">
      <items count="433">
        <item x="77"/>
        <item x="257"/>
        <item x="4"/>
        <item x="305"/>
        <item x="134"/>
        <item x="139"/>
        <item x="243"/>
        <item x="182"/>
        <item x="63"/>
        <item x="412"/>
        <item x="200"/>
        <item x="165"/>
        <item x="21"/>
        <item x="351"/>
        <item x="345"/>
        <item x="19"/>
        <item x="294"/>
        <item x="153"/>
        <item x="219"/>
        <item x="29"/>
        <item x="209"/>
        <item x="337"/>
        <item x="300"/>
        <item x="380"/>
        <item x="3"/>
        <item x="332"/>
        <item x="318"/>
        <item x="54"/>
        <item x="129"/>
        <item x="267"/>
        <item x="177"/>
        <item x="186"/>
        <item x="148"/>
        <item x="45"/>
        <item x="237"/>
        <item x="241"/>
        <item x="117"/>
        <item x="202"/>
        <item x="313"/>
        <item x="114"/>
        <item x="128"/>
        <item x="366"/>
        <item x="393"/>
        <item x="289"/>
        <item x="250"/>
        <item x="239"/>
        <item x="8"/>
        <item x="76"/>
        <item x="183"/>
        <item x="43"/>
        <item x="73"/>
        <item x="222"/>
        <item x="36"/>
        <item x="28"/>
        <item x="145"/>
        <item x="251"/>
        <item x="93"/>
        <item x="420"/>
        <item x="307"/>
        <item x="208"/>
        <item x="265"/>
        <item x="78"/>
        <item x="329"/>
        <item x="23"/>
        <item x="283"/>
        <item x="273"/>
        <item x="199"/>
        <item x="38"/>
        <item x="140"/>
        <item x="240"/>
        <item x="359"/>
        <item x="46"/>
        <item x="92"/>
        <item x="212"/>
        <item x="391"/>
        <item x="101"/>
        <item x="394"/>
        <item x="261"/>
        <item x="35"/>
        <item x="301"/>
        <item x="410"/>
        <item x="352"/>
        <item x="403"/>
        <item x="161"/>
        <item x="232"/>
        <item x="227"/>
        <item x="392"/>
        <item x="118"/>
        <item x="179"/>
        <item x="20"/>
        <item x="284"/>
        <item x="109"/>
        <item x="259"/>
        <item x="185"/>
        <item x="84"/>
        <item x="83"/>
        <item x="102"/>
        <item x="272"/>
        <item x="122"/>
        <item x="246"/>
        <item x="119"/>
        <item x="215"/>
        <item x="116"/>
        <item x="238"/>
        <item x="383"/>
        <item x="71"/>
        <item x="178"/>
        <item x="144"/>
        <item x="226"/>
        <item x="12"/>
        <item x="18"/>
        <item x="37"/>
        <item x="160"/>
        <item x="47"/>
        <item x="192"/>
        <item x="107"/>
        <item x="299"/>
        <item x="197"/>
        <item x="57"/>
        <item x="87"/>
        <item x="254"/>
        <item x="149"/>
        <item x="233"/>
        <item x="281"/>
        <item x="190"/>
        <item x="210"/>
        <item x="353"/>
        <item x="58"/>
        <item x="425"/>
        <item x="228"/>
        <item x="31"/>
        <item x="194"/>
        <item x="62"/>
        <item x="334"/>
        <item x="135"/>
        <item x="17"/>
        <item x="347"/>
        <item x="275"/>
        <item x="285"/>
        <item x="74"/>
        <item x="249"/>
        <item x="418"/>
        <item x="55"/>
        <item x="203"/>
        <item x="406"/>
        <item x="174"/>
        <item x="141"/>
        <item x="431"/>
        <item x="173"/>
        <item x="428"/>
        <item x="155"/>
        <item x="405"/>
        <item x="333"/>
        <item x="220"/>
        <item x="416"/>
        <item x="136"/>
        <item x="344"/>
        <item x="120"/>
        <item x="276"/>
        <item x="137"/>
        <item x="198"/>
        <item x="26"/>
        <item x="34"/>
        <item x="245"/>
        <item x="373"/>
        <item x="278"/>
        <item x="59"/>
        <item x="354"/>
        <item x="218"/>
        <item x="293"/>
        <item x="16"/>
        <item x="162"/>
        <item x="234"/>
        <item x="189"/>
        <item x="407"/>
        <item x="86"/>
        <item x="68"/>
        <item x="211"/>
        <item x="411"/>
        <item x="229"/>
        <item x="343"/>
        <item x="7"/>
        <item x="67"/>
        <item x="10"/>
        <item x="413"/>
        <item x="213"/>
        <item x="324"/>
        <item x="94"/>
        <item x="372"/>
        <item x="235"/>
        <item x="338"/>
        <item x="15"/>
        <item x="255"/>
        <item x="409"/>
        <item x="417"/>
        <item x="143"/>
        <item x="230"/>
        <item x="358"/>
        <item x="288"/>
        <item x="322"/>
        <item x="142"/>
        <item x="260"/>
        <item x="14"/>
        <item x="389"/>
        <item x="326"/>
        <item x="113"/>
        <item x="103"/>
        <item x="131"/>
        <item x="30"/>
        <item x="256"/>
        <item x="171"/>
        <item x="404"/>
        <item x="377"/>
        <item x="399"/>
        <item x="223"/>
        <item x="296"/>
        <item x="252"/>
        <item x="298"/>
        <item x="53"/>
        <item x="374"/>
        <item x="248"/>
        <item x="98"/>
        <item x="27"/>
        <item x="306"/>
        <item x="320"/>
        <item x="297"/>
        <item x="61"/>
        <item x="60"/>
        <item x="395"/>
        <item x="346"/>
        <item x="336"/>
        <item x="115"/>
        <item x="376"/>
        <item x="99"/>
        <item x="164"/>
        <item x="314"/>
        <item x="2"/>
        <item x="422"/>
        <item x="90"/>
        <item x="49"/>
        <item x="41"/>
        <item x="112"/>
        <item x="258"/>
        <item x="95"/>
        <item x="369"/>
        <item x="268"/>
        <item x="365"/>
        <item x="104"/>
        <item x="97"/>
        <item x="56"/>
        <item x="361"/>
        <item x="424"/>
        <item x="25"/>
        <item x="204"/>
        <item x="1"/>
        <item x="426"/>
        <item x="81"/>
        <item x="70"/>
        <item x="311"/>
        <item x="321"/>
        <item x="125"/>
        <item x="231"/>
        <item x="79"/>
        <item x="356"/>
        <item x="172"/>
        <item x="304"/>
        <item x="370"/>
        <item x="349"/>
        <item x="286"/>
        <item x="96"/>
        <item x="205"/>
        <item x="40"/>
        <item x="0"/>
        <item x="80"/>
        <item x="123"/>
        <item x="42"/>
        <item x="39"/>
        <item x="100"/>
        <item x="402"/>
        <item x="124"/>
        <item x="214"/>
        <item x="9"/>
        <item x="72"/>
        <item x="269"/>
        <item x="13"/>
        <item x="156"/>
        <item x="309"/>
        <item x="325"/>
        <item x="388"/>
        <item x="400"/>
        <item x="381"/>
        <item x="335"/>
        <item x="193"/>
        <item x="242"/>
        <item x="163"/>
        <item x="75"/>
        <item x="217"/>
        <item x="147"/>
        <item x="339"/>
        <item x="132"/>
        <item x="176"/>
        <item x="330"/>
        <item x="85"/>
        <item x="187"/>
        <item x="266"/>
        <item x="151"/>
        <item x="127"/>
        <item x="427"/>
        <item x="360"/>
        <item x="263"/>
        <item x="133"/>
        <item x="378"/>
        <item x="51"/>
        <item x="184"/>
        <item x="328"/>
        <item x="264"/>
        <item x="387"/>
        <item x="408"/>
        <item x="414"/>
        <item x="302"/>
        <item x="33"/>
        <item x="201"/>
        <item x="207"/>
        <item x="88"/>
        <item x="32"/>
        <item x="167"/>
        <item x="11"/>
        <item x="385"/>
        <item x="22"/>
        <item x="364"/>
        <item x="290"/>
        <item x="415"/>
        <item x="195"/>
        <item x="280"/>
        <item x="319"/>
        <item x="111"/>
        <item x="253"/>
        <item x="196"/>
        <item x="175"/>
        <item x="181"/>
        <item x="50"/>
        <item x="368"/>
        <item x="270"/>
        <item x="316"/>
        <item x="236"/>
        <item x="105"/>
        <item x="308"/>
        <item x="82"/>
        <item x="397"/>
        <item x="277"/>
        <item x="110"/>
        <item x="287"/>
        <item x="340"/>
        <item x="421"/>
        <item x="386"/>
        <item x="152"/>
        <item x="244"/>
        <item x="429"/>
        <item x="6"/>
        <item x="382"/>
        <item x="401"/>
        <item x="357"/>
        <item x="312"/>
        <item x="158"/>
        <item x="170"/>
        <item x="44"/>
        <item x="89"/>
        <item x="303"/>
        <item x="64"/>
        <item x="66"/>
        <item x="65"/>
        <item x="310"/>
        <item x="362"/>
        <item x="279"/>
        <item x="221"/>
        <item x="146"/>
        <item x="180"/>
        <item x="24"/>
        <item x="247"/>
        <item x="323"/>
        <item x="363"/>
        <item x="423"/>
        <item x="159"/>
        <item x="292"/>
        <item x="108"/>
        <item x="371"/>
        <item x="390"/>
        <item x="126"/>
        <item x="348"/>
        <item x="375"/>
        <item x="341"/>
        <item x="327"/>
        <item x="350"/>
        <item x="138"/>
        <item x="157"/>
        <item x="225"/>
        <item x="168"/>
        <item x="69"/>
        <item x="398"/>
        <item x="384"/>
        <item x="206"/>
        <item x="291"/>
        <item x="150"/>
        <item x="367"/>
        <item x="271"/>
        <item x="419"/>
        <item x="106"/>
        <item x="317"/>
        <item x="216"/>
        <item x="342"/>
        <item x="121"/>
        <item x="5"/>
        <item x="331"/>
        <item x="430"/>
        <item x="355"/>
        <item x="274"/>
        <item x="224"/>
        <item x="188"/>
        <item x="396"/>
        <item x="169"/>
        <item x="166"/>
        <item x="379"/>
        <item x="191"/>
        <item x="48"/>
        <item x="315"/>
        <item x="52"/>
        <item x="130"/>
        <item x="154"/>
        <item x="91"/>
        <item x="295"/>
        <item x="262"/>
        <item x="282"/>
        <item t="default"/>
      </items>
    </pivotField>
    <pivotField showAll="0"/>
    <pivotField showAll="0"/>
    <pivotField showAll="0">
      <items count="13">
        <item x="1"/>
        <item x="11"/>
        <item x="10"/>
        <item x="2"/>
        <item x="8"/>
        <item x="6"/>
        <item x="0"/>
        <item x="9"/>
        <item x="3"/>
        <item x="4"/>
        <item x="7"/>
        <item x="5"/>
        <item t="default"/>
      </items>
    </pivotField>
    <pivotField showAll="0">
      <items count="10">
        <item x="2"/>
        <item x="1"/>
        <item x="7"/>
        <item x="3"/>
        <item x="0"/>
        <item x="4"/>
        <item x="8"/>
        <item x="5"/>
        <item x="6"/>
        <item t="default"/>
      </items>
    </pivotField>
    <pivotField numFmtId="164" showAll="0"/>
    <pivotField showAll="0">
      <items count="5">
        <item x="1"/>
        <item x="0"/>
        <item x="2"/>
        <item x="3"/>
        <item t="default"/>
      </items>
    </pivotField>
    <pivotField showAll="0"/>
    <pivotField showAll="0"/>
    <pivotField showAll="0"/>
    <pivotField numFmtId="165" showAll="0"/>
    <pivotField showAll="0"/>
    <pivotField showAll="0">
      <items count="3">
        <item x="0"/>
        <item x="1"/>
        <item t="default"/>
      </items>
    </pivotField>
    <pivotField numFmtId="10" showAll="0"/>
    <pivotField showAll="0"/>
    <pivotField showAll="0"/>
    <pivotField showAll="0"/>
    <pivotField showAll="0"/>
    <pivotField showAll="0"/>
    <pivotField showAll="0"/>
    <pivotField showAll="0"/>
    <pivotField showAll="0">
      <items count="4">
        <item x="1"/>
        <item x="0"/>
        <item x="2"/>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26"/>
    <field x="24"/>
    <field x="2"/>
  </rowFields>
  <rowItems count="5">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5C90DA-9BBF-4E80-B14A-84E42F7991BD}" name="PivotTable9"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83:B88" firstHeaderRow="1" firstDataRow="1" firstDataCol="1"/>
  <pivotFields count="27">
    <pivotField showAll="0"/>
    <pivotField showAll="0"/>
    <pivotField numFmtId="15" showAll="0">
      <items count="433">
        <item x="77"/>
        <item x="257"/>
        <item x="4"/>
        <item x="305"/>
        <item x="134"/>
        <item x="139"/>
        <item x="243"/>
        <item x="182"/>
        <item x="63"/>
        <item x="412"/>
        <item x="200"/>
        <item x="165"/>
        <item x="21"/>
        <item x="351"/>
        <item x="345"/>
        <item x="19"/>
        <item x="294"/>
        <item x="153"/>
        <item x="219"/>
        <item x="29"/>
        <item x="209"/>
        <item x="337"/>
        <item x="300"/>
        <item x="380"/>
        <item x="3"/>
        <item x="332"/>
        <item x="318"/>
        <item x="54"/>
        <item x="129"/>
        <item x="267"/>
        <item x="177"/>
        <item x="186"/>
        <item x="148"/>
        <item x="45"/>
        <item x="237"/>
        <item x="241"/>
        <item x="117"/>
        <item x="202"/>
        <item x="313"/>
        <item x="114"/>
        <item x="128"/>
        <item x="366"/>
        <item x="393"/>
        <item x="289"/>
        <item x="250"/>
        <item x="239"/>
        <item x="8"/>
        <item x="76"/>
        <item x="183"/>
        <item x="43"/>
        <item x="73"/>
        <item x="222"/>
        <item x="36"/>
        <item x="28"/>
        <item x="145"/>
        <item x="251"/>
        <item x="93"/>
        <item x="420"/>
        <item x="307"/>
        <item x="208"/>
        <item x="265"/>
        <item x="78"/>
        <item x="329"/>
        <item x="23"/>
        <item x="283"/>
        <item x="273"/>
        <item x="199"/>
        <item x="38"/>
        <item x="140"/>
        <item x="240"/>
        <item x="359"/>
        <item x="46"/>
        <item x="92"/>
        <item x="212"/>
        <item x="391"/>
        <item x="101"/>
        <item x="394"/>
        <item x="261"/>
        <item x="35"/>
        <item x="301"/>
        <item x="410"/>
        <item x="352"/>
        <item x="403"/>
        <item x="161"/>
        <item x="232"/>
        <item x="227"/>
        <item x="392"/>
        <item x="118"/>
        <item x="179"/>
        <item x="20"/>
        <item x="284"/>
        <item x="109"/>
        <item x="259"/>
        <item x="185"/>
        <item x="84"/>
        <item x="83"/>
        <item x="102"/>
        <item x="272"/>
        <item x="122"/>
        <item x="246"/>
        <item x="119"/>
        <item x="215"/>
        <item x="116"/>
        <item x="238"/>
        <item x="383"/>
        <item x="71"/>
        <item x="178"/>
        <item x="144"/>
        <item x="226"/>
        <item x="12"/>
        <item x="18"/>
        <item x="37"/>
        <item x="160"/>
        <item x="47"/>
        <item x="192"/>
        <item x="107"/>
        <item x="299"/>
        <item x="197"/>
        <item x="57"/>
        <item x="87"/>
        <item x="254"/>
        <item x="149"/>
        <item x="233"/>
        <item x="281"/>
        <item x="190"/>
        <item x="210"/>
        <item x="353"/>
        <item x="58"/>
        <item x="425"/>
        <item x="228"/>
        <item x="31"/>
        <item x="194"/>
        <item x="62"/>
        <item x="334"/>
        <item x="135"/>
        <item x="17"/>
        <item x="347"/>
        <item x="275"/>
        <item x="285"/>
        <item x="74"/>
        <item x="249"/>
        <item x="418"/>
        <item x="55"/>
        <item x="203"/>
        <item x="406"/>
        <item x="174"/>
        <item x="141"/>
        <item x="431"/>
        <item x="173"/>
        <item x="428"/>
        <item x="155"/>
        <item x="405"/>
        <item x="333"/>
        <item x="220"/>
        <item x="416"/>
        <item x="136"/>
        <item x="344"/>
        <item x="120"/>
        <item x="276"/>
        <item x="137"/>
        <item x="198"/>
        <item x="26"/>
        <item x="34"/>
        <item x="245"/>
        <item x="373"/>
        <item x="278"/>
        <item x="59"/>
        <item x="354"/>
        <item x="218"/>
        <item x="293"/>
        <item x="16"/>
        <item x="162"/>
        <item x="234"/>
        <item x="189"/>
        <item x="407"/>
        <item x="86"/>
        <item x="68"/>
        <item x="211"/>
        <item x="411"/>
        <item x="229"/>
        <item x="343"/>
        <item x="7"/>
        <item x="67"/>
        <item x="10"/>
        <item x="413"/>
        <item x="213"/>
        <item x="324"/>
        <item x="94"/>
        <item x="372"/>
        <item x="235"/>
        <item x="338"/>
        <item x="15"/>
        <item x="255"/>
        <item x="409"/>
        <item x="417"/>
        <item x="143"/>
        <item x="230"/>
        <item x="358"/>
        <item x="288"/>
        <item x="322"/>
        <item x="142"/>
        <item x="260"/>
        <item x="14"/>
        <item x="389"/>
        <item x="326"/>
        <item x="113"/>
        <item x="103"/>
        <item x="131"/>
        <item x="30"/>
        <item x="256"/>
        <item x="171"/>
        <item x="404"/>
        <item x="377"/>
        <item x="399"/>
        <item x="223"/>
        <item x="296"/>
        <item x="252"/>
        <item x="298"/>
        <item x="53"/>
        <item x="374"/>
        <item x="248"/>
        <item x="98"/>
        <item x="27"/>
        <item x="306"/>
        <item x="320"/>
        <item x="297"/>
        <item x="61"/>
        <item x="60"/>
        <item x="395"/>
        <item x="346"/>
        <item x="336"/>
        <item x="115"/>
        <item x="376"/>
        <item x="99"/>
        <item x="164"/>
        <item x="314"/>
        <item x="2"/>
        <item x="422"/>
        <item x="90"/>
        <item x="49"/>
        <item x="41"/>
        <item x="112"/>
        <item x="258"/>
        <item x="95"/>
        <item x="369"/>
        <item x="268"/>
        <item x="365"/>
        <item x="104"/>
        <item x="97"/>
        <item x="56"/>
        <item x="361"/>
        <item x="424"/>
        <item x="25"/>
        <item x="204"/>
        <item x="1"/>
        <item x="426"/>
        <item x="81"/>
        <item x="70"/>
        <item x="311"/>
        <item x="321"/>
        <item x="125"/>
        <item x="231"/>
        <item x="79"/>
        <item x="356"/>
        <item x="172"/>
        <item x="304"/>
        <item x="370"/>
        <item x="349"/>
        <item x="286"/>
        <item x="96"/>
        <item x="205"/>
        <item x="40"/>
        <item x="0"/>
        <item x="80"/>
        <item x="123"/>
        <item x="42"/>
        <item x="39"/>
        <item x="100"/>
        <item x="402"/>
        <item x="124"/>
        <item x="214"/>
        <item x="9"/>
        <item x="72"/>
        <item x="269"/>
        <item x="13"/>
        <item x="156"/>
        <item x="309"/>
        <item x="325"/>
        <item x="388"/>
        <item x="400"/>
        <item x="381"/>
        <item x="335"/>
        <item x="193"/>
        <item x="242"/>
        <item x="163"/>
        <item x="75"/>
        <item x="217"/>
        <item x="147"/>
        <item x="339"/>
        <item x="132"/>
        <item x="176"/>
        <item x="330"/>
        <item x="85"/>
        <item x="187"/>
        <item x="266"/>
        <item x="151"/>
        <item x="127"/>
        <item x="427"/>
        <item x="360"/>
        <item x="263"/>
        <item x="133"/>
        <item x="378"/>
        <item x="51"/>
        <item x="184"/>
        <item x="328"/>
        <item x="264"/>
        <item x="387"/>
        <item x="408"/>
        <item x="414"/>
        <item x="302"/>
        <item x="33"/>
        <item x="201"/>
        <item x="207"/>
        <item x="88"/>
        <item x="32"/>
        <item x="167"/>
        <item x="11"/>
        <item x="385"/>
        <item x="22"/>
        <item x="364"/>
        <item x="290"/>
        <item x="415"/>
        <item x="195"/>
        <item x="280"/>
        <item x="319"/>
        <item x="111"/>
        <item x="253"/>
        <item x="196"/>
        <item x="175"/>
        <item x="181"/>
        <item x="50"/>
        <item x="368"/>
        <item x="270"/>
        <item x="316"/>
        <item x="236"/>
        <item x="105"/>
        <item x="308"/>
        <item x="82"/>
        <item x="397"/>
        <item x="277"/>
        <item x="110"/>
        <item x="287"/>
        <item x="340"/>
        <item x="421"/>
        <item x="386"/>
        <item x="152"/>
        <item x="244"/>
        <item x="429"/>
        <item x="6"/>
        <item x="382"/>
        <item x="401"/>
        <item x="357"/>
        <item x="312"/>
        <item x="158"/>
        <item x="170"/>
        <item x="44"/>
        <item x="89"/>
        <item x="303"/>
        <item x="64"/>
        <item x="66"/>
        <item x="65"/>
        <item x="310"/>
        <item x="362"/>
        <item x="279"/>
        <item x="221"/>
        <item x="146"/>
        <item x="180"/>
        <item x="24"/>
        <item x="247"/>
        <item x="323"/>
        <item x="363"/>
        <item x="423"/>
        <item x="159"/>
        <item x="292"/>
        <item x="108"/>
        <item x="371"/>
        <item x="390"/>
        <item x="126"/>
        <item x="348"/>
        <item x="375"/>
        <item x="341"/>
        <item x="327"/>
        <item x="350"/>
        <item x="138"/>
        <item x="157"/>
        <item x="225"/>
        <item x="168"/>
        <item x="69"/>
        <item x="398"/>
        <item x="384"/>
        <item x="206"/>
        <item x="291"/>
        <item x="150"/>
        <item x="367"/>
        <item x="271"/>
        <item x="419"/>
        <item x="106"/>
        <item x="317"/>
        <item x="216"/>
        <item x="342"/>
        <item x="121"/>
        <item x="5"/>
        <item x="331"/>
        <item x="430"/>
        <item x="355"/>
        <item x="274"/>
        <item x="224"/>
        <item x="188"/>
        <item x="396"/>
        <item x="169"/>
        <item x="166"/>
        <item x="379"/>
        <item x="191"/>
        <item x="48"/>
        <item x="315"/>
        <item x="52"/>
        <item x="130"/>
        <item x="154"/>
        <item x="91"/>
        <item x="295"/>
        <item x="262"/>
        <item x="282"/>
        <item t="default"/>
      </items>
    </pivotField>
    <pivotField showAll="0"/>
    <pivotField showAll="0"/>
    <pivotField showAll="0">
      <items count="13">
        <item x="1"/>
        <item x="11"/>
        <item x="10"/>
        <item x="2"/>
        <item x="8"/>
        <item x="6"/>
        <item x="0"/>
        <item x="9"/>
        <item x="3"/>
        <item x="4"/>
        <item x="7"/>
        <item x="5"/>
        <item t="default"/>
      </items>
    </pivotField>
    <pivotField showAll="0">
      <items count="10">
        <item x="2"/>
        <item x="1"/>
        <item x="7"/>
        <item x="3"/>
        <item x="0"/>
        <item x="4"/>
        <item x="8"/>
        <item x="5"/>
        <item x="6"/>
        <item t="default"/>
      </items>
    </pivotField>
    <pivotField numFmtId="164" showAll="0"/>
    <pivotField axis="axisRow" showAll="0">
      <items count="5">
        <item x="1"/>
        <item x="0"/>
        <item x="2"/>
        <item x="3"/>
        <item t="default"/>
      </items>
    </pivotField>
    <pivotField showAll="0"/>
    <pivotField showAll="0"/>
    <pivotField showAll="0"/>
    <pivotField numFmtId="165" showAll="0"/>
    <pivotField showAll="0"/>
    <pivotField showAll="0">
      <items count="3">
        <item x="0"/>
        <item x="1"/>
        <item t="default"/>
      </items>
    </pivotField>
    <pivotField numFmtId="10" showAll="0"/>
    <pivotField showAll="0"/>
    <pivotField showAll="0"/>
    <pivotField showAll="0"/>
    <pivotField showAll="0"/>
    <pivotField showAll="0"/>
    <pivotField showAll="0"/>
    <pivotField dataField="1"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5">
    <i>
      <x/>
    </i>
    <i>
      <x v="1"/>
    </i>
    <i>
      <x v="2"/>
    </i>
    <i>
      <x v="3"/>
    </i>
    <i t="grand">
      <x/>
    </i>
  </rowItems>
  <colItems count="1">
    <i/>
  </colItems>
  <dataFields count="1">
    <dataField name="Sum of Risk_Score" fld="2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74682B-8F53-4EA8-BE07-2EA54F201FAB}" name="Risk by Category" cacheId="7"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A63:C75" firstHeaderRow="0" firstDataRow="1" firstDataCol="1"/>
  <pivotFields count="27">
    <pivotField dataField="1"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numFmtId="15" showAll="0">
      <items count="433">
        <item x="77"/>
        <item x="257"/>
        <item x="4"/>
        <item x="305"/>
        <item x="134"/>
        <item x="139"/>
        <item x="243"/>
        <item x="182"/>
        <item x="63"/>
        <item x="412"/>
        <item x="200"/>
        <item x="165"/>
        <item x="21"/>
        <item x="351"/>
        <item x="345"/>
        <item x="19"/>
        <item x="294"/>
        <item x="153"/>
        <item x="219"/>
        <item x="29"/>
        <item x="209"/>
        <item x="337"/>
        <item x="300"/>
        <item x="380"/>
        <item x="3"/>
        <item x="332"/>
        <item x="318"/>
        <item x="54"/>
        <item x="129"/>
        <item x="267"/>
        <item x="177"/>
        <item x="186"/>
        <item x="148"/>
        <item x="45"/>
        <item x="237"/>
        <item x="241"/>
        <item x="117"/>
        <item x="202"/>
        <item x="313"/>
        <item x="114"/>
        <item x="128"/>
        <item x="366"/>
        <item x="393"/>
        <item x="289"/>
        <item x="250"/>
        <item x="239"/>
        <item x="8"/>
        <item x="76"/>
        <item x="183"/>
        <item x="43"/>
        <item x="73"/>
        <item x="222"/>
        <item x="36"/>
        <item x="28"/>
        <item x="145"/>
        <item x="251"/>
        <item x="93"/>
        <item x="420"/>
        <item x="307"/>
        <item x="208"/>
        <item x="265"/>
        <item x="78"/>
        <item x="329"/>
        <item x="23"/>
        <item x="283"/>
        <item x="273"/>
        <item x="199"/>
        <item x="38"/>
        <item x="140"/>
        <item x="240"/>
        <item x="359"/>
        <item x="46"/>
        <item x="92"/>
        <item x="212"/>
        <item x="391"/>
        <item x="101"/>
        <item x="394"/>
        <item x="261"/>
        <item x="35"/>
        <item x="301"/>
        <item x="410"/>
        <item x="352"/>
        <item x="403"/>
        <item x="161"/>
        <item x="232"/>
        <item x="227"/>
        <item x="392"/>
        <item x="118"/>
        <item x="179"/>
        <item x="20"/>
        <item x="284"/>
        <item x="109"/>
        <item x="259"/>
        <item x="185"/>
        <item x="84"/>
        <item x="83"/>
        <item x="102"/>
        <item x="272"/>
        <item x="122"/>
        <item x="246"/>
        <item x="119"/>
        <item x="215"/>
        <item x="116"/>
        <item x="238"/>
        <item x="383"/>
        <item x="71"/>
        <item x="178"/>
        <item x="144"/>
        <item x="226"/>
        <item x="12"/>
        <item x="18"/>
        <item x="37"/>
        <item x="160"/>
        <item x="47"/>
        <item x="192"/>
        <item x="107"/>
        <item x="299"/>
        <item x="197"/>
        <item x="57"/>
        <item x="87"/>
        <item x="254"/>
        <item x="149"/>
        <item x="233"/>
        <item x="281"/>
        <item x="190"/>
        <item x="210"/>
        <item x="353"/>
        <item x="58"/>
        <item x="425"/>
        <item x="228"/>
        <item x="31"/>
        <item x="194"/>
        <item x="62"/>
        <item x="334"/>
        <item x="135"/>
        <item x="17"/>
        <item x="347"/>
        <item x="275"/>
        <item x="285"/>
        <item x="74"/>
        <item x="249"/>
        <item x="418"/>
        <item x="55"/>
        <item x="203"/>
        <item x="406"/>
        <item x="174"/>
        <item x="141"/>
        <item x="431"/>
        <item x="173"/>
        <item x="428"/>
        <item x="155"/>
        <item x="405"/>
        <item x="333"/>
        <item x="220"/>
        <item x="416"/>
        <item x="136"/>
        <item x="344"/>
        <item x="120"/>
        <item x="276"/>
        <item x="137"/>
        <item x="198"/>
        <item x="26"/>
        <item x="34"/>
        <item x="245"/>
        <item x="373"/>
        <item x="278"/>
        <item x="59"/>
        <item x="354"/>
        <item x="218"/>
        <item x="293"/>
        <item x="16"/>
        <item x="162"/>
        <item x="234"/>
        <item x="189"/>
        <item x="407"/>
        <item x="86"/>
        <item x="68"/>
        <item x="211"/>
        <item x="411"/>
        <item x="229"/>
        <item x="343"/>
        <item x="7"/>
        <item x="67"/>
        <item x="10"/>
        <item x="413"/>
        <item x="213"/>
        <item x="324"/>
        <item x="94"/>
        <item x="372"/>
        <item x="235"/>
        <item x="338"/>
        <item x="15"/>
        <item x="255"/>
        <item x="409"/>
        <item x="417"/>
        <item x="143"/>
        <item x="230"/>
        <item x="358"/>
        <item x="288"/>
        <item x="322"/>
        <item x="142"/>
        <item x="260"/>
        <item x="14"/>
        <item x="389"/>
        <item x="326"/>
        <item x="113"/>
        <item x="103"/>
        <item x="131"/>
        <item x="30"/>
        <item x="256"/>
        <item x="171"/>
        <item x="404"/>
        <item x="377"/>
        <item x="399"/>
        <item x="223"/>
        <item x="296"/>
        <item x="252"/>
        <item x="298"/>
        <item x="53"/>
        <item x="374"/>
        <item x="248"/>
        <item x="98"/>
        <item x="27"/>
        <item x="306"/>
        <item x="320"/>
        <item x="297"/>
        <item x="61"/>
        <item x="60"/>
        <item x="395"/>
        <item x="346"/>
        <item x="336"/>
        <item x="115"/>
        <item x="376"/>
        <item x="99"/>
        <item x="164"/>
        <item x="314"/>
        <item x="2"/>
        <item x="422"/>
        <item x="90"/>
        <item x="49"/>
        <item x="41"/>
        <item x="112"/>
        <item x="258"/>
        <item x="95"/>
        <item x="369"/>
        <item x="268"/>
        <item x="365"/>
        <item x="104"/>
        <item x="97"/>
        <item x="56"/>
        <item x="361"/>
        <item x="424"/>
        <item x="25"/>
        <item x="204"/>
        <item x="1"/>
        <item x="426"/>
        <item x="81"/>
        <item x="70"/>
        <item x="311"/>
        <item x="321"/>
        <item x="125"/>
        <item x="231"/>
        <item x="79"/>
        <item x="356"/>
        <item x="172"/>
        <item x="304"/>
        <item x="370"/>
        <item x="349"/>
        <item x="286"/>
        <item x="96"/>
        <item x="205"/>
        <item x="40"/>
        <item x="0"/>
        <item x="80"/>
        <item x="123"/>
        <item x="42"/>
        <item x="39"/>
        <item x="100"/>
        <item x="402"/>
        <item x="124"/>
        <item x="214"/>
        <item x="9"/>
        <item x="72"/>
        <item x="269"/>
        <item x="13"/>
        <item x="156"/>
        <item x="309"/>
        <item x="325"/>
        <item x="388"/>
        <item x="400"/>
        <item x="381"/>
        <item x="335"/>
        <item x="193"/>
        <item x="242"/>
        <item x="163"/>
        <item x="75"/>
        <item x="217"/>
        <item x="147"/>
        <item x="339"/>
        <item x="132"/>
        <item x="176"/>
        <item x="330"/>
        <item x="85"/>
        <item x="187"/>
        <item x="266"/>
        <item x="151"/>
        <item x="127"/>
        <item x="427"/>
        <item x="360"/>
        <item x="263"/>
        <item x="133"/>
        <item x="378"/>
        <item x="51"/>
        <item x="184"/>
        <item x="328"/>
        <item x="264"/>
        <item x="387"/>
        <item x="408"/>
        <item x="414"/>
        <item x="302"/>
        <item x="33"/>
        <item x="201"/>
        <item x="207"/>
        <item x="88"/>
        <item x="32"/>
        <item x="167"/>
        <item x="11"/>
        <item x="385"/>
        <item x="22"/>
        <item x="364"/>
        <item x="290"/>
        <item x="415"/>
        <item x="195"/>
        <item x="280"/>
        <item x="319"/>
        <item x="111"/>
        <item x="253"/>
        <item x="196"/>
        <item x="175"/>
        <item x="181"/>
        <item x="50"/>
        <item x="368"/>
        <item x="270"/>
        <item x="316"/>
        <item x="236"/>
        <item x="105"/>
        <item x="308"/>
        <item x="82"/>
        <item x="397"/>
        <item x="277"/>
        <item x="110"/>
        <item x="287"/>
        <item x="340"/>
        <item x="421"/>
        <item x="386"/>
        <item x="152"/>
        <item x="244"/>
        <item x="429"/>
        <item x="6"/>
        <item x="382"/>
        <item x="401"/>
        <item x="357"/>
        <item x="312"/>
        <item x="158"/>
        <item x="170"/>
        <item x="44"/>
        <item x="89"/>
        <item x="303"/>
        <item x="64"/>
        <item x="66"/>
        <item x="65"/>
        <item x="310"/>
        <item x="362"/>
        <item x="279"/>
        <item x="221"/>
        <item x="146"/>
        <item x="180"/>
        <item x="24"/>
        <item x="247"/>
        <item x="323"/>
        <item x="363"/>
        <item x="423"/>
        <item x="159"/>
        <item x="292"/>
        <item x="108"/>
        <item x="371"/>
        <item x="390"/>
        <item x="126"/>
        <item x="348"/>
        <item x="375"/>
        <item x="341"/>
        <item x="327"/>
        <item x="350"/>
        <item x="138"/>
        <item x="157"/>
        <item x="225"/>
        <item x="168"/>
        <item x="69"/>
        <item x="398"/>
        <item x="384"/>
        <item x="206"/>
        <item x="291"/>
        <item x="150"/>
        <item x="367"/>
        <item x="271"/>
        <item x="419"/>
        <item x="106"/>
        <item x="317"/>
        <item x="216"/>
        <item x="342"/>
        <item x="121"/>
        <item x="5"/>
        <item x="331"/>
        <item x="430"/>
        <item x="355"/>
        <item x="274"/>
        <item x="224"/>
        <item x="188"/>
        <item x="396"/>
        <item x="169"/>
        <item x="166"/>
        <item x="379"/>
        <item x="191"/>
        <item x="48"/>
        <item x="315"/>
        <item x="52"/>
        <item x="130"/>
        <item x="154"/>
        <item x="91"/>
        <item x="295"/>
        <item x="262"/>
        <item x="282"/>
        <item t="default"/>
      </items>
    </pivotField>
    <pivotField showAll="0"/>
    <pivotField showAll="0"/>
    <pivotField axis="axisRow" showAll="0">
      <items count="13">
        <item x="1"/>
        <item x="11"/>
        <item x="10"/>
        <item x="2"/>
        <item x="8"/>
        <item x="6"/>
        <item x="0"/>
        <item x="9"/>
        <item x="3"/>
        <item x="4"/>
        <item x="7"/>
        <item x="5"/>
        <item t="default"/>
      </items>
    </pivotField>
    <pivotField showAll="0">
      <items count="10">
        <item x="2"/>
        <item x="1"/>
        <item x="7"/>
        <item x="3"/>
        <item x="0"/>
        <item x="4"/>
        <item x="8"/>
        <item x="5"/>
        <item x="6"/>
        <item t="default"/>
      </items>
    </pivotField>
    <pivotField numFmtId="164" showAll="0">
      <items count="736">
        <item x="717"/>
        <item x="718"/>
        <item x="719"/>
        <item x="684"/>
        <item x="216"/>
        <item x="78"/>
        <item x="171"/>
        <item x="84"/>
        <item x="701"/>
        <item x="155"/>
        <item x="44"/>
        <item x="470"/>
        <item x="680"/>
        <item x="238"/>
        <item x="197"/>
        <item x="5"/>
        <item x="507"/>
        <item x="266"/>
        <item x="692"/>
        <item x="31"/>
        <item x="204"/>
        <item x="190"/>
        <item x="630"/>
        <item x="408"/>
        <item x="536"/>
        <item x="201"/>
        <item x="649"/>
        <item x="609"/>
        <item x="345"/>
        <item x="194"/>
        <item x="543"/>
        <item x="218"/>
        <item x="32"/>
        <item x="106"/>
        <item x="387"/>
        <item x="116"/>
        <item x="148"/>
        <item x="128"/>
        <item x="242"/>
        <item x="569"/>
        <item x="124"/>
        <item x="666"/>
        <item x="575"/>
        <item x="301"/>
        <item x="289"/>
        <item x="401"/>
        <item x="435"/>
        <item x="150"/>
        <item x="681"/>
        <item x="422"/>
        <item x="129"/>
        <item x="126"/>
        <item x="380"/>
        <item x="669"/>
        <item x="453"/>
        <item x="661"/>
        <item x="369"/>
        <item x="415"/>
        <item x="604"/>
        <item x="95"/>
        <item x="628"/>
        <item x="626"/>
        <item x="409"/>
        <item x="14"/>
        <item x="673"/>
        <item x="627"/>
        <item x="371"/>
        <item x="122"/>
        <item x="440"/>
        <item x="173"/>
        <item x="527"/>
        <item x="622"/>
        <item x="263"/>
        <item x="307"/>
        <item x="293"/>
        <item x="535"/>
        <item x="567"/>
        <item x="356"/>
        <item x="589"/>
        <item x="233"/>
        <item x="66"/>
        <item x="712"/>
        <item x="214"/>
        <item x="545"/>
        <item x="391"/>
        <item x="80"/>
        <item x="305"/>
        <item x="123"/>
        <item x="59"/>
        <item x="339"/>
        <item x="285"/>
        <item x="475"/>
        <item x="521"/>
        <item x="690"/>
        <item x="133"/>
        <item x="529"/>
        <item x="81"/>
        <item x="639"/>
        <item x="606"/>
        <item x="379"/>
        <item x="353"/>
        <item x="276"/>
        <item x="623"/>
        <item x="445"/>
        <item x="156"/>
        <item x="112"/>
        <item x="6"/>
        <item x="103"/>
        <item x="383"/>
        <item x="590"/>
        <item x="27"/>
        <item x="605"/>
        <item x="151"/>
        <item x="183"/>
        <item x="15"/>
        <item x="572"/>
        <item x="452"/>
        <item x="556"/>
        <item x="93"/>
        <item x="456"/>
        <item x="412"/>
        <item x="553"/>
        <item x="428"/>
        <item x="517"/>
        <item x="374"/>
        <item x="91"/>
        <item x="168"/>
        <item x="253"/>
        <item x="210"/>
        <item x="299"/>
        <item x="455"/>
        <item x="188"/>
        <item x="584"/>
        <item x="279"/>
        <item x="41"/>
        <item x="68"/>
        <item x="318"/>
        <item x="340"/>
        <item x="516"/>
        <item x="522"/>
        <item x="257"/>
        <item x="523"/>
        <item x="393"/>
        <item x="467"/>
        <item x="515"/>
        <item x="372"/>
        <item x="651"/>
        <item x="38"/>
        <item x="324"/>
        <item x="432"/>
        <item x="87"/>
        <item x="321"/>
        <item x="157"/>
        <item x="512"/>
        <item x="541"/>
        <item x="497"/>
        <item x="565"/>
        <item x="334"/>
        <item x="169"/>
        <item x="410"/>
        <item x="118"/>
        <item x="274"/>
        <item x="573"/>
        <item x="77"/>
        <item x="631"/>
        <item x="479"/>
        <item x="115"/>
        <item x="668"/>
        <item x="234"/>
        <item x="414"/>
        <item x="280"/>
        <item x="308"/>
        <item x="478"/>
        <item x="298"/>
        <item x="476"/>
        <item x="177"/>
        <item x="364"/>
        <item x="482"/>
        <item x="519"/>
        <item x="534"/>
        <item x="625"/>
        <item x="439"/>
        <item x="131"/>
        <item x="39"/>
        <item x="241"/>
        <item x="644"/>
        <item x="635"/>
        <item x="94"/>
        <item x="37"/>
        <item x="320"/>
        <item x="547"/>
        <item x="392"/>
        <item x="337"/>
        <item x="363"/>
        <item x="501"/>
        <item x="162"/>
        <item x="358"/>
        <item x="99"/>
        <item x="618"/>
        <item x="303"/>
        <item x="300"/>
        <item x="26"/>
        <item x="180"/>
        <item x="438"/>
        <item x="457"/>
        <item x="326"/>
        <item x="561"/>
        <item x="237"/>
        <item x="540"/>
        <item x="562"/>
        <item x="418"/>
        <item x="398"/>
        <item x="107"/>
        <item x="424"/>
        <item x="464"/>
        <item x="165"/>
        <item x="395"/>
        <item x="172"/>
        <item x="376"/>
        <item x="423"/>
        <item x="196"/>
        <item x="315"/>
        <item x="225"/>
        <item x="582"/>
        <item x="675"/>
        <item x="454"/>
        <item x="587"/>
        <item x="117"/>
        <item x="229"/>
        <item x="640"/>
        <item x="323"/>
        <item x="637"/>
        <item x="458"/>
        <item x="259"/>
        <item x="312"/>
        <item x="648"/>
        <item x="576"/>
        <item x="221"/>
        <item x="119"/>
        <item x="533"/>
        <item x="493"/>
        <item x="613"/>
        <item x="704"/>
        <item x="184"/>
        <item x="699"/>
        <item x="600"/>
        <item x="343"/>
        <item x="593"/>
        <item x="10"/>
        <item x="658"/>
        <item x="544"/>
        <item x="352"/>
        <item x="670"/>
        <item x="592"/>
        <item x="125"/>
        <item x="472"/>
        <item x="403"/>
        <item x="729"/>
        <item x="647"/>
        <item x="153"/>
        <item x="175"/>
        <item x="577"/>
        <item x="50"/>
        <item x="598"/>
        <item x="574"/>
        <item x="419"/>
        <item x="552"/>
        <item x="694"/>
        <item x="275"/>
        <item x="494"/>
        <item x="721"/>
        <item x="526"/>
        <item x="304"/>
        <item x="557"/>
        <item x="134"/>
        <item x="284"/>
        <item x="671"/>
        <item x="226"/>
        <item x="200"/>
        <item x="665"/>
        <item x="75"/>
        <item x="277"/>
        <item x="230"/>
        <item x="158"/>
        <item x="663"/>
        <item x="580"/>
        <item x="139"/>
        <item x="56"/>
        <item x="615"/>
        <item x="688"/>
        <item x="174"/>
        <item x="444"/>
        <item x="386"/>
        <item x="560"/>
        <item x="260"/>
        <item x="101"/>
        <item x="641"/>
        <item x="370"/>
        <item x="555"/>
        <item x="228"/>
        <item x="365"/>
        <item x="182"/>
        <item x="390"/>
        <item x="646"/>
        <item x="396"/>
        <item x="416"/>
        <item x="442"/>
        <item x="563"/>
        <item x="325"/>
        <item x="176"/>
        <item x="265"/>
        <item x="716"/>
        <item x="272"/>
        <item x="108"/>
        <item x="338"/>
        <item x="147"/>
        <item x="248"/>
        <item x="597"/>
        <item x="449"/>
        <item x="264"/>
        <item x="55"/>
        <item x="243"/>
        <item x="236"/>
        <item x="399"/>
        <item x="400"/>
        <item x="650"/>
        <item x="485"/>
        <item x="327"/>
        <item x="186"/>
        <item x="348"/>
        <item x="154"/>
        <item x="487"/>
        <item x="24"/>
        <item x="667"/>
        <item x="595"/>
        <item x="140"/>
        <item x="624"/>
        <item x="34"/>
        <item x="92"/>
        <item x="109"/>
        <item x="362"/>
        <item x="63"/>
        <item x="45"/>
        <item x="35"/>
        <item x="427"/>
        <item x="283"/>
        <item x="633"/>
        <item x="486"/>
        <item x="251"/>
        <item x="687"/>
        <item x="429"/>
        <item x="48"/>
        <item x="9"/>
        <item x="288"/>
        <item x="74"/>
        <item x="474"/>
        <item x="656"/>
        <item x="282"/>
        <item x="278"/>
        <item x="450"/>
        <item x="100"/>
        <item x="166"/>
        <item x="388"/>
        <item x="413"/>
        <item x="652"/>
        <item x="141"/>
        <item x="632"/>
        <item x="620"/>
        <item x="525"/>
        <item x="375"/>
        <item x="36"/>
        <item x="585"/>
        <item x="271"/>
        <item x="531"/>
        <item x="211"/>
        <item x="273"/>
        <item x="254"/>
        <item x="514"/>
        <item x="7"/>
        <item x="3"/>
        <item x="1"/>
        <item x="549"/>
        <item x="4"/>
        <item x="662"/>
        <item x="47"/>
        <item x="51"/>
        <item x="2"/>
        <item x="135"/>
        <item x="342"/>
        <item x="610"/>
        <item x="349"/>
        <item x="532"/>
        <item x="436"/>
        <item x="686"/>
        <item x="13"/>
        <item x="366"/>
        <item x="179"/>
        <item x="490"/>
        <item x="79"/>
        <item x="706"/>
        <item x="297"/>
        <item x="603"/>
        <item x="90"/>
        <item x="559"/>
        <item x="328"/>
        <item x="570"/>
        <item x="491"/>
        <item x="316"/>
        <item x="425"/>
        <item x="69"/>
        <item x="676"/>
        <item x="19"/>
        <item x="459"/>
        <item x="355"/>
        <item x="145"/>
        <item x="33"/>
        <item x="354"/>
        <item x="341"/>
        <item x="144"/>
        <item x="159"/>
        <item x="360"/>
        <item x="542"/>
        <item x="504"/>
        <item x="227"/>
        <item x="22"/>
        <item x="208"/>
        <item x="495"/>
        <item x="322"/>
        <item x="8"/>
        <item x="566"/>
        <item x="146"/>
        <item x="481"/>
        <item x="54"/>
        <item x="588"/>
        <item x="16"/>
        <item x="83"/>
        <item x="693"/>
        <item x="441"/>
        <item x="568"/>
        <item x="209"/>
        <item x="206"/>
        <item x="239"/>
        <item x="267"/>
        <item x="181"/>
        <item x="60"/>
        <item x="509"/>
        <item x="294"/>
        <item x="703"/>
        <item x="160"/>
        <item x="434"/>
        <item x="295"/>
        <item x="86"/>
        <item x="548"/>
        <item x="193"/>
        <item x="268"/>
        <item x="143"/>
        <item x="261"/>
        <item x="601"/>
        <item x="269"/>
        <item x="189"/>
        <item x="629"/>
        <item x="538"/>
        <item x="224"/>
        <item x="111"/>
        <item x="420"/>
        <item x="313"/>
        <item x="599"/>
        <item x="715"/>
        <item x="689"/>
        <item x="583"/>
        <item x="98"/>
        <item x="187"/>
        <item x="608"/>
        <item x="674"/>
        <item x="377"/>
        <item x="469"/>
        <item x="359"/>
        <item x="564"/>
        <item x="437"/>
        <item x="319"/>
        <item x="614"/>
        <item x="20"/>
        <item x="89"/>
        <item x="664"/>
        <item x="292"/>
        <item x="43"/>
        <item x="46"/>
        <item x="357"/>
        <item x="524"/>
        <item x="258"/>
        <item x="578"/>
        <item x="291"/>
        <item x="489"/>
        <item x="21"/>
        <item x="621"/>
        <item x="612"/>
        <item x="245"/>
        <item x="636"/>
        <item x="167"/>
        <item x="406"/>
        <item x="42"/>
        <item x="708"/>
        <item x="367"/>
        <item x="685"/>
        <item x="149"/>
        <item x="431"/>
        <item x="402"/>
        <item x="638"/>
        <item x="12"/>
        <item x="71"/>
        <item x="346"/>
        <item x="698"/>
        <item x="616"/>
        <item x="697"/>
        <item x="508"/>
        <item x="471"/>
        <item x="581"/>
        <item x="286"/>
        <item x="302"/>
        <item x="96"/>
        <item x="215"/>
        <item x="64"/>
        <item x="102"/>
        <item x="62"/>
        <item x="407"/>
        <item x="52"/>
        <item x="73"/>
        <item x="492"/>
        <item x="385"/>
        <item x="381"/>
        <item x="554"/>
        <item x="163"/>
        <item x="528"/>
        <item x="709"/>
        <item x="136"/>
        <item x="333"/>
        <item x="270"/>
        <item x="477"/>
        <item x="551"/>
        <item x="480"/>
        <item x="659"/>
        <item x="713"/>
        <item x="691"/>
        <item x="643"/>
        <item x="502"/>
        <item x="513"/>
        <item x="591"/>
        <item x="707"/>
        <item x="397"/>
        <item x="137"/>
        <item x="331"/>
        <item x="314"/>
        <item x="67"/>
        <item x="30"/>
        <item x="710"/>
        <item x="250"/>
        <item x="0"/>
        <item x="730"/>
        <item x="594"/>
        <item x="205"/>
        <item x="405"/>
        <item x="465"/>
        <item x="310"/>
        <item x="394"/>
        <item x="114"/>
        <item x="723"/>
        <item x="161"/>
        <item x="679"/>
        <item x="433"/>
        <item x="191"/>
        <item x="53"/>
        <item x="120"/>
        <item x="488"/>
        <item x="734"/>
        <item x="317"/>
        <item x="382"/>
        <item x="537"/>
        <item x="202"/>
        <item x="473"/>
        <item x="57"/>
        <item x="384"/>
        <item x="195"/>
        <item x="520"/>
        <item x="170"/>
        <item x="634"/>
        <item x="654"/>
        <item x="104"/>
        <item x="23"/>
        <item x="350"/>
        <item x="220"/>
        <item x="550"/>
        <item x="127"/>
        <item x="217"/>
        <item x="164"/>
        <item x="110"/>
        <item x="484"/>
        <item x="411"/>
        <item x="130"/>
        <item x="309"/>
        <item x="344"/>
        <item x="373"/>
        <item x="311"/>
        <item x="510"/>
        <item x="329"/>
        <item x="711"/>
        <item x="287"/>
        <item x="72"/>
        <item x="579"/>
        <item x="61"/>
        <item x="249"/>
        <item x="178"/>
        <item x="70"/>
        <item x="235"/>
        <item x="466"/>
        <item x="443"/>
        <item x="678"/>
        <item x="700"/>
        <item x="306"/>
        <item x="198"/>
        <item x="705"/>
        <item x="696"/>
        <item x="361"/>
        <item x="330"/>
        <item x="49"/>
        <item x="586"/>
        <item x="483"/>
        <item x="332"/>
        <item x="733"/>
        <item x="281"/>
        <item x="511"/>
        <item x="506"/>
        <item x="498"/>
        <item x="417"/>
        <item x="17"/>
        <item x="645"/>
        <item x="460"/>
        <item x="82"/>
        <item x="448"/>
        <item x="88"/>
        <item x="40"/>
        <item x="222"/>
        <item x="530"/>
        <item x="607"/>
        <item x="378"/>
        <item x="571"/>
        <item x="212"/>
        <item x="702"/>
        <item x="499"/>
        <item x="404"/>
        <item x="683"/>
        <item x="192"/>
        <item x="446"/>
        <item x="682"/>
        <item x="351"/>
        <item x="617"/>
        <item x="461"/>
        <item x="727"/>
        <item x="223"/>
        <item x="500"/>
        <item x="18"/>
        <item x="695"/>
        <item x="714"/>
        <item x="232"/>
        <item x="132"/>
        <item x="256"/>
        <item x="642"/>
        <item x="657"/>
        <item x="660"/>
        <item x="25"/>
        <item x="653"/>
        <item x="672"/>
        <item x="203"/>
        <item x="336"/>
        <item x="725"/>
        <item x="496"/>
        <item x="732"/>
        <item x="724"/>
        <item x="296"/>
        <item x="247"/>
        <item x="546"/>
        <item x="105"/>
        <item x="468"/>
        <item x="731"/>
        <item x="213"/>
        <item x="11"/>
        <item x="726"/>
        <item x="655"/>
        <item x="244"/>
        <item x="28"/>
        <item x="138"/>
        <item x="121"/>
        <item x="619"/>
        <item x="255"/>
        <item x="611"/>
        <item x="421"/>
        <item x="199"/>
        <item x="503"/>
        <item x="463"/>
        <item x="29"/>
        <item x="347"/>
        <item x="518"/>
        <item x="462"/>
        <item x="728"/>
        <item x="58"/>
        <item x="113"/>
        <item x="677"/>
        <item x="389"/>
        <item x="231"/>
        <item x="602"/>
        <item x="97"/>
        <item x="262"/>
        <item x="219"/>
        <item x="451"/>
        <item x="65"/>
        <item x="246"/>
        <item x="142"/>
        <item x="596"/>
        <item x="447"/>
        <item x="207"/>
        <item x="290"/>
        <item x="85"/>
        <item x="252"/>
        <item x="430"/>
        <item x="335"/>
        <item x="152"/>
        <item x="505"/>
        <item x="426"/>
        <item x="76"/>
        <item x="185"/>
        <item x="539"/>
        <item x="368"/>
        <item x="558"/>
        <item x="240"/>
        <item x="720"/>
        <item x="722"/>
        <item t="default"/>
      </items>
    </pivotField>
    <pivotField showAll="0">
      <items count="5">
        <item x="1"/>
        <item x="0"/>
        <item x="2"/>
        <item x="3"/>
        <item t="default"/>
      </items>
    </pivotField>
    <pivotField showAll="0"/>
    <pivotField showAll="0"/>
    <pivotField showAll="0"/>
    <pivotField numFmtId="165" showAll="0"/>
    <pivotField showAll="0"/>
    <pivotField showAll="0">
      <items count="3">
        <item x="0"/>
        <item x="1"/>
        <item t="default"/>
      </items>
    </pivotField>
    <pivotField numFmtId="10" showAll="0"/>
    <pivotField showAll="0"/>
    <pivotField showAll="0"/>
    <pivotField showAll="0"/>
    <pivotField showAll="0"/>
    <pivotField showAll="0"/>
    <pivotField showAll="0"/>
    <pivotField dataField="1"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2">
    <i>
      <x/>
    </i>
    <i>
      <x v="1"/>
    </i>
    <i>
      <x v="2"/>
    </i>
    <i>
      <x v="3"/>
    </i>
    <i>
      <x v="4"/>
    </i>
    <i>
      <x v="5"/>
    </i>
    <i>
      <x v="6"/>
    </i>
    <i>
      <x v="7"/>
    </i>
    <i>
      <x v="8"/>
    </i>
    <i>
      <x v="9"/>
    </i>
    <i>
      <x v="10"/>
    </i>
    <i>
      <x v="11"/>
    </i>
  </rowItems>
  <colFields count="1">
    <field x="-2"/>
  </colFields>
  <colItems count="2">
    <i>
      <x/>
    </i>
    <i i="1">
      <x v="1"/>
    </i>
  </colItems>
  <dataFields count="2">
    <dataField name="Average of Risk_Score" fld="22" subtotal="average" baseField="0" baseItem="0" numFmtId="4"/>
    <dataField name="Count of Txn ID" fld="0" subtotal="count" baseField="0" baseItem="0" numFmtId="3"/>
  </dataFields>
  <formats count="5">
    <format dxfId="180">
      <pivotArea collapsedLevelsAreSubtotals="1" fieldPosition="0">
        <references count="1">
          <reference field="5" count="1">
            <x v="0"/>
          </reference>
        </references>
      </pivotArea>
    </format>
    <format dxfId="179">
      <pivotArea collapsedLevelsAreSubtotals="1" fieldPosition="0">
        <references count="1">
          <reference field="5" count="11">
            <x v="1"/>
            <x v="2"/>
            <x v="3"/>
            <x v="4"/>
            <x v="5"/>
            <x v="6"/>
            <x v="7"/>
            <x v="8"/>
            <x v="9"/>
            <x v="10"/>
            <x v="11"/>
          </reference>
        </references>
      </pivotArea>
    </format>
    <format dxfId="178">
      <pivotArea grandRow="1" outline="0" collapsedLevelsAreSubtotals="1" fieldPosition="0"/>
    </format>
    <format dxfId="177">
      <pivotArea outline="0" collapsedLevelsAreSubtotals="1" fieldPosition="0"/>
    </format>
    <format dxfId="17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9E20F0-1150-462E-BDEF-7397DF4B7143}" name="Average risk score by Bank"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43:B49" firstHeaderRow="1" firstDataRow="1" firstDataCol="1"/>
  <pivotFields count="27">
    <pivotField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numFmtId="15" showAll="0">
      <items count="433">
        <item x="77"/>
        <item x="257"/>
        <item x="4"/>
        <item x="305"/>
        <item x="134"/>
        <item x="139"/>
        <item x="243"/>
        <item x="182"/>
        <item x="63"/>
        <item x="412"/>
        <item x="200"/>
        <item x="165"/>
        <item x="21"/>
        <item x="351"/>
        <item x="345"/>
        <item x="19"/>
        <item x="294"/>
        <item x="153"/>
        <item x="219"/>
        <item x="29"/>
        <item x="209"/>
        <item x="337"/>
        <item x="300"/>
        <item x="380"/>
        <item x="3"/>
        <item x="332"/>
        <item x="318"/>
        <item x="54"/>
        <item x="129"/>
        <item x="267"/>
        <item x="177"/>
        <item x="186"/>
        <item x="148"/>
        <item x="45"/>
        <item x="237"/>
        <item x="241"/>
        <item x="117"/>
        <item x="202"/>
        <item x="313"/>
        <item x="114"/>
        <item x="128"/>
        <item x="366"/>
        <item x="393"/>
        <item x="289"/>
        <item x="250"/>
        <item x="239"/>
        <item x="8"/>
        <item x="76"/>
        <item x="183"/>
        <item x="43"/>
        <item x="73"/>
        <item x="222"/>
        <item x="36"/>
        <item x="28"/>
        <item x="145"/>
        <item x="251"/>
        <item x="93"/>
        <item x="420"/>
        <item x="307"/>
        <item x="208"/>
        <item x="265"/>
        <item x="78"/>
        <item x="329"/>
        <item x="23"/>
        <item x="283"/>
        <item x="273"/>
        <item x="199"/>
        <item x="38"/>
        <item x="140"/>
        <item x="240"/>
        <item x="359"/>
        <item x="46"/>
        <item x="92"/>
        <item x="212"/>
        <item x="391"/>
        <item x="101"/>
        <item x="394"/>
        <item x="261"/>
        <item x="35"/>
        <item x="301"/>
        <item x="410"/>
        <item x="352"/>
        <item x="403"/>
        <item x="161"/>
        <item x="232"/>
        <item x="227"/>
        <item x="392"/>
        <item x="118"/>
        <item x="179"/>
        <item x="20"/>
        <item x="284"/>
        <item x="109"/>
        <item x="259"/>
        <item x="185"/>
        <item x="84"/>
        <item x="83"/>
        <item x="102"/>
        <item x="272"/>
        <item x="122"/>
        <item x="246"/>
        <item x="119"/>
        <item x="215"/>
        <item x="116"/>
        <item x="238"/>
        <item x="383"/>
        <item x="71"/>
        <item x="178"/>
        <item x="144"/>
        <item x="226"/>
        <item x="12"/>
        <item x="18"/>
        <item x="37"/>
        <item x="160"/>
        <item x="47"/>
        <item x="192"/>
        <item x="107"/>
        <item x="299"/>
        <item x="197"/>
        <item x="57"/>
        <item x="87"/>
        <item x="254"/>
        <item x="149"/>
        <item x="233"/>
        <item x="281"/>
        <item x="190"/>
        <item x="210"/>
        <item x="353"/>
        <item x="58"/>
        <item x="425"/>
        <item x="228"/>
        <item x="31"/>
        <item x="194"/>
        <item x="62"/>
        <item x="334"/>
        <item x="135"/>
        <item x="17"/>
        <item x="347"/>
        <item x="275"/>
        <item x="285"/>
        <item x="74"/>
        <item x="249"/>
        <item x="418"/>
        <item x="55"/>
        <item x="203"/>
        <item x="406"/>
        <item x="174"/>
        <item x="141"/>
        <item x="431"/>
        <item x="173"/>
        <item x="428"/>
        <item x="155"/>
        <item x="405"/>
        <item x="333"/>
        <item x="220"/>
        <item x="416"/>
        <item x="136"/>
        <item x="344"/>
        <item x="120"/>
        <item x="276"/>
        <item x="137"/>
        <item x="198"/>
        <item x="26"/>
        <item x="34"/>
        <item x="245"/>
        <item x="373"/>
        <item x="278"/>
        <item x="59"/>
        <item x="354"/>
        <item x="218"/>
        <item x="293"/>
        <item x="16"/>
        <item x="162"/>
        <item x="234"/>
        <item x="189"/>
        <item x="407"/>
        <item x="86"/>
        <item x="68"/>
        <item x="211"/>
        <item x="411"/>
        <item x="229"/>
        <item x="343"/>
        <item x="7"/>
        <item x="67"/>
        <item x="10"/>
        <item x="413"/>
        <item x="213"/>
        <item x="324"/>
        <item x="94"/>
        <item x="372"/>
        <item x="235"/>
        <item x="338"/>
        <item x="15"/>
        <item x="255"/>
        <item x="409"/>
        <item x="417"/>
        <item x="143"/>
        <item x="230"/>
        <item x="358"/>
        <item x="288"/>
        <item x="322"/>
        <item x="142"/>
        <item x="260"/>
        <item x="14"/>
        <item x="389"/>
        <item x="326"/>
        <item x="113"/>
        <item x="103"/>
        <item x="131"/>
        <item x="30"/>
        <item x="256"/>
        <item x="171"/>
        <item x="404"/>
        <item x="377"/>
        <item x="399"/>
        <item x="223"/>
        <item x="296"/>
        <item x="252"/>
        <item x="298"/>
        <item x="53"/>
        <item x="374"/>
        <item x="248"/>
        <item x="98"/>
        <item x="27"/>
        <item x="306"/>
        <item x="320"/>
        <item x="297"/>
        <item x="61"/>
        <item x="60"/>
        <item x="395"/>
        <item x="346"/>
        <item x="336"/>
        <item x="115"/>
        <item x="376"/>
        <item x="99"/>
        <item x="164"/>
        <item x="314"/>
        <item x="2"/>
        <item x="422"/>
        <item x="90"/>
        <item x="49"/>
        <item x="41"/>
        <item x="112"/>
        <item x="258"/>
        <item x="95"/>
        <item x="369"/>
        <item x="268"/>
        <item x="365"/>
        <item x="104"/>
        <item x="97"/>
        <item x="56"/>
        <item x="361"/>
        <item x="424"/>
        <item x="25"/>
        <item x="204"/>
        <item x="1"/>
        <item x="426"/>
        <item x="81"/>
        <item x="70"/>
        <item x="311"/>
        <item x="321"/>
        <item x="125"/>
        <item x="231"/>
        <item x="79"/>
        <item x="356"/>
        <item x="172"/>
        <item x="304"/>
        <item x="370"/>
        <item x="349"/>
        <item x="286"/>
        <item x="96"/>
        <item x="205"/>
        <item x="40"/>
        <item x="0"/>
        <item x="80"/>
        <item x="123"/>
        <item x="42"/>
        <item x="39"/>
        <item x="100"/>
        <item x="402"/>
        <item x="124"/>
        <item x="214"/>
        <item x="9"/>
        <item x="72"/>
        <item x="269"/>
        <item x="13"/>
        <item x="156"/>
        <item x="309"/>
        <item x="325"/>
        <item x="388"/>
        <item x="400"/>
        <item x="381"/>
        <item x="335"/>
        <item x="193"/>
        <item x="242"/>
        <item x="163"/>
        <item x="75"/>
        <item x="217"/>
        <item x="147"/>
        <item x="339"/>
        <item x="132"/>
        <item x="176"/>
        <item x="330"/>
        <item x="85"/>
        <item x="187"/>
        <item x="266"/>
        <item x="151"/>
        <item x="127"/>
        <item x="427"/>
        <item x="360"/>
        <item x="263"/>
        <item x="133"/>
        <item x="378"/>
        <item x="51"/>
        <item x="184"/>
        <item x="328"/>
        <item x="264"/>
        <item x="387"/>
        <item x="408"/>
        <item x="414"/>
        <item x="302"/>
        <item x="33"/>
        <item x="201"/>
        <item x="207"/>
        <item x="88"/>
        <item x="32"/>
        <item x="167"/>
        <item x="11"/>
        <item x="385"/>
        <item x="22"/>
        <item x="364"/>
        <item x="290"/>
        <item x="415"/>
        <item x="195"/>
        <item x="280"/>
        <item x="319"/>
        <item x="111"/>
        <item x="253"/>
        <item x="196"/>
        <item x="175"/>
        <item x="181"/>
        <item x="50"/>
        <item x="368"/>
        <item x="270"/>
        <item x="316"/>
        <item x="236"/>
        <item x="105"/>
        <item x="308"/>
        <item x="82"/>
        <item x="397"/>
        <item x="277"/>
        <item x="110"/>
        <item x="287"/>
        <item x="340"/>
        <item x="421"/>
        <item x="386"/>
        <item x="152"/>
        <item x="244"/>
        <item x="429"/>
        <item x="6"/>
        <item x="382"/>
        <item x="401"/>
        <item x="357"/>
        <item x="312"/>
        <item x="158"/>
        <item x="170"/>
        <item x="44"/>
        <item x="89"/>
        <item x="303"/>
        <item x="64"/>
        <item x="66"/>
        <item x="65"/>
        <item x="310"/>
        <item x="362"/>
        <item x="279"/>
        <item x="221"/>
        <item x="146"/>
        <item x="180"/>
        <item x="24"/>
        <item x="247"/>
        <item x="323"/>
        <item x="363"/>
        <item x="423"/>
        <item x="159"/>
        <item x="292"/>
        <item x="108"/>
        <item x="371"/>
        <item x="390"/>
        <item x="126"/>
        <item x="348"/>
        <item x="375"/>
        <item x="341"/>
        <item x="327"/>
        <item x="350"/>
        <item x="138"/>
        <item x="157"/>
        <item x="225"/>
        <item x="168"/>
        <item x="69"/>
        <item x="398"/>
        <item x="384"/>
        <item x="206"/>
        <item x="291"/>
        <item x="150"/>
        <item x="367"/>
        <item x="271"/>
        <item x="419"/>
        <item x="106"/>
        <item x="317"/>
        <item x="216"/>
        <item x="342"/>
        <item x="121"/>
        <item x="5"/>
        <item x="331"/>
        <item x="430"/>
        <item x="355"/>
        <item x="274"/>
        <item x="224"/>
        <item x="188"/>
        <item x="396"/>
        <item x="169"/>
        <item x="166"/>
        <item x="379"/>
        <item x="191"/>
        <item x="48"/>
        <item x="315"/>
        <item x="52"/>
        <item x="130"/>
        <item x="154"/>
        <item x="91"/>
        <item x="295"/>
        <item x="262"/>
        <item x="282"/>
        <item t="default"/>
      </items>
    </pivotField>
    <pivotField showAll="0"/>
    <pivotField showAll="0"/>
    <pivotField showAll="0">
      <items count="13">
        <item x="1"/>
        <item x="11"/>
        <item x="10"/>
        <item x="2"/>
        <item x="8"/>
        <item x="6"/>
        <item x="0"/>
        <item x="9"/>
        <item x="3"/>
        <item x="4"/>
        <item x="7"/>
        <item x="5"/>
        <item t="default"/>
      </items>
    </pivotField>
    <pivotField showAll="0">
      <items count="10">
        <item x="2"/>
        <item x="1"/>
        <item x="7"/>
        <item x="3"/>
        <item x="0"/>
        <item x="4"/>
        <item x="8"/>
        <item x="5"/>
        <item x="6"/>
        <item t="default"/>
      </items>
    </pivotField>
    <pivotField numFmtId="164" showAll="0"/>
    <pivotField showAll="0">
      <items count="5">
        <item x="1"/>
        <item x="0"/>
        <item x="2"/>
        <item x="3"/>
        <item t="default"/>
      </items>
    </pivotField>
    <pivotField showAll="0"/>
    <pivotField showAll="0"/>
    <pivotField showAll="0"/>
    <pivotField numFmtId="165" showAll="0"/>
    <pivotField axis="axisRow" showAll="0" sortType="descending">
      <items count="6">
        <item x="4"/>
        <item x="0"/>
        <item x="3"/>
        <item x="2"/>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0" showAll="0"/>
    <pivotField showAll="0"/>
    <pivotField showAll="0"/>
    <pivotField showAll="0"/>
    <pivotField showAll="0"/>
    <pivotField showAll="0"/>
    <pivotField showAll="0"/>
    <pivotField dataField="1"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6">
    <i>
      <x v="3"/>
    </i>
    <i>
      <x v="1"/>
    </i>
    <i>
      <x v="4"/>
    </i>
    <i>
      <x/>
    </i>
    <i>
      <x v="2"/>
    </i>
    <i t="grand">
      <x/>
    </i>
  </rowItems>
  <colItems count="1">
    <i/>
  </colItems>
  <dataFields count="1">
    <dataField name="Average of Risk_Score" fld="22" subtotal="average" baseField="0" baseItem="0" numFmtId="4"/>
  </dataFields>
  <formats count="2">
    <format dxfId="182">
      <pivotArea outline="0" collapsedLevelsAreSubtotals="1" fieldPosition="0">
        <references count="1">
          <reference field="4294967294" count="1" selected="0">
            <x v="0"/>
          </reference>
        </references>
      </pivotArea>
    </format>
    <format dxfId="181">
      <pivotArea dataOnly="0" labelOnly="1" outline="0" fieldPosition="0">
        <references count="1">
          <reference field="4294967294" count="1">
            <x v="0"/>
          </reference>
        </references>
      </pivotArea>
    </format>
  </formats>
  <chartFormats count="3">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2FE39B-03DB-4962-9AED-DE8F4065C1D3}" name="Merchant with highest value"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0:B31" firstHeaderRow="1" firstDataRow="1" firstDataCol="1"/>
  <pivotFields count="27">
    <pivotField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numFmtId="15" showAll="0">
      <items count="433">
        <item x="77"/>
        <item x="257"/>
        <item x="4"/>
        <item x="305"/>
        <item x="134"/>
        <item x="139"/>
        <item x="243"/>
        <item x="182"/>
        <item x="63"/>
        <item x="412"/>
        <item x="200"/>
        <item x="165"/>
        <item x="21"/>
        <item x="351"/>
        <item x="345"/>
        <item x="19"/>
        <item x="294"/>
        <item x="153"/>
        <item x="219"/>
        <item x="29"/>
        <item x="209"/>
        <item x="337"/>
        <item x="300"/>
        <item x="380"/>
        <item x="3"/>
        <item x="332"/>
        <item x="318"/>
        <item x="54"/>
        <item x="129"/>
        <item x="267"/>
        <item x="177"/>
        <item x="186"/>
        <item x="148"/>
        <item x="45"/>
        <item x="237"/>
        <item x="241"/>
        <item x="117"/>
        <item x="202"/>
        <item x="313"/>
        <item x="114"/>
        <item x="128"/>
        <item x="366"/>
        <item x="393"/>
        <item x="289"/>
        <item x="250"/>
        <item x="239"/>
        <item x="8"/>
        <item x="76"/>
        <item x="183"/>
        <item x="43"/>
        <item x="73"/>
        <item x="222"/>
        <item x="36"/>
        <item x="28"/>
        <item x="145"/>
        <item x="251"/>
        <item x="93"/>
        <item x="420"/>
        <item x="307"/>
        <item x="208"/>
        <item x="265"/>
        <item x="78"/>
        <item x="329"/>
        <item x="23"/>
        <item x="283"/>
        <item x="273"/>
        <item x="199"/>
        <item x="38"/>
        <item x="140"/>
        <item x="240"/>
        <item x="359"/>
        <item x="46"/>
        <item x="92"/>
        <item x="212"/>
        <item x="391"/>
        <item x="101"/>
        <item x="394"/>
        <item x="261"/>
        <item x="35"/>
        <item x="301"/>
        <item x="410"/>
        <item x="352"/>
        <item x="403"/>
        <item x="161"/>
        <item x="232"/>
        <item x="227"/>
        <item x="392"/>
        <item x="118"/>
        <item x="179"/>
        <item x="20"/>
        <item x="284"/>
        <item x="109"/>
        <item x="259"/>
        <item x="185"/>
        <item x="84"/>
        <item x="83"/>
        <item x="102"/>
        <item x="272"/>
        <item x="122"/>
        <item x="246"/>
        <item x="119"/>
        <item x="215"/>
        <item x="116"/>
        <item x="238"/>
        <item x="383"/>
        <item x="71"/>
        <item x="178"/>
        <item x="144"/>
        <item x="226"/>
        <item x="12"/>
        <item x="18"/>
        <item x="37"/>
        <item x="160"/>
        <item x="47"/>
        <item x="192"/>
        <item x="107"/>
        <item x="299"/>
        <item x="197"/>
        <item x="57"/>
        <item x="87"/>
        <item x="254"/>
        <item x="149"/>
        <item x="233"/>
        <item x="281"/>
        <item x="190"/>
        <item x="210"/>
        <item x="353"/>
        <item x="58"/>
        <item x="425"/>
        <item x="228"/>
        <item x="31"/>
        <item x="194"/>
        <item x="62"/>
        <item x="334"/>
        <item x="135"/>
        <item x="17"/>
        <item x="347"/>
        <item x="275"/>
        <item x="285"/>
        <item x="74"/>
        <item x="249"/>
        <item x="418"/>
        <item x="55"/>
        <item x="203"/>
        <item x="406"/>
        <item x="174"/>
        <item x="141"/>
        <item x="431"/>
        <item x="173"/>
        <item x="428"/>
        <item x="155"/>
        <item x="405"/>
        <item x="333"/>
        <item x="220"/>
        <item x="416"/>
        <item x="136"/>
        <item x="344"/>
        <item x="120"/>
        <item x="276"/>
        <item x="137"/>
        <item x="198"/>
        <item x="26"/>
        <item x="34"/>
        <item x="245"/>
        <item x="373"/>
        <item x="278"/>
        <item x="59"/>
        <item x="354"/>
        <item x="218"/>
        <item x="293"/>
        <item x="16"/>
        <item x="162"/>
        <item x="234"/>
        <item x="189"/>
        <item x="407"/>
        <item x="86"/>
        <item x="68"/>
        <item x="211"/>
        <item x="411"/>
        <item x="229"/>
        <item x="343"/>
        <item x="7"/>
        <item x="67"/>
        <item x="10"/>
        <item x="413"/>
        <item x="213"/>
        <item x="324"/>
        <item x="94"/>
        <item x="372"/>
        <item x="235"/>
        <item x="338"/>
        <item x="15"/>
        <item x="255"/>
        <item x="409"/>
        <item x="417"/>
        <item x="143"/>
        <item x="230"/>
        <item x="358"/>
        <item x="288"/>
        <item x="322"/>
        <item x="142"/>
        <item x="260"/>
        <item x="14"/>
        <item x="389"/>
        <item x="326"/>
        <item x="113"/>
        <item x="103"/>
        <item x="131"/>
        <item x="30"/>
        <item x="256"/>
        <item x="171"/>
        <item x="404"/>
        <item x="377"/>
        <item x="399"/>
        <item x="223"/>
        <item x="296"/>
        <item x="252"/>
        <item x="298"/>
        <item x="53"/>
        <item x="374"/>
        <item x="248"/>
        <item x="98"/>
        <item x="27"/>
        <item x="306"/>
        <item x="320"/>
        <item x="297"/>
        <item x="61"/>
        <item x="60"/>
        <item x="395"/>
        <item x="346"/>
        <item x="336"/>
        <item x="115"/>
        <item x="376"/>
        <item x="99"/>
        <item x="164"/>
        <item x="314"/>
        <item x="2"/>
        <item x="422"/>
        <item x="90"/>
        <item x="49"/>
        <item x="41"/>
        <item x="112"/>
        <item x="258"/>
        <item x="95"/>
        <item x="369"/>
        <item x="268"/>
        <item x="365"/>
        <item x="104"/>
        <item x="97"/>
        <item x="56"/>
        <item x="361"/>
        <item x="424"/>
        <item x="25"/>
        <item x="204"/>
        <item x="1"/>
        <item x="426"/>
        <item x="81"/>
        <item x="70"/>
        <item x="311"/>
        <item x="321"/>
        <item x="125"/>
        <item x="231"/>
        <item x="79"/>
        <item x="356"/>
        <item x="172"/>
        <item x="304"/>
        <item x="370"/>
        <item x="349"/>
        <item x="286"/>
        <item x="96"/>
        <item x="205"/>
        <item x="40"/>
        <item x="0"/>
        <item x="80"/>
        <item x="123"/>
        <item x="42"/>
        <item x="39"/>
        <item x="100"/>
        <item x="402"/>
        <item x="124"/>
        <item x="214"/>
        <item x="9"/>
        <item x="72"/>
        <item x="269"/>
        <item x="13"/>
        <item x="156"/>
        <item x="309"/>
        <item x="325"/>
        <item x="388"/>
        <item x="400"/>
        <item x="381"/>
        <item x="335"/>
        <item x="193"/>
        <item x="242"/>
        <item x="163"/>
        <item x="75"/>
        <item x="217"/>
        <item x="147"/>
        <item x="339"/>
        <item x="132"/>
        <item x="176"/>
        <item x="330"/>
        <item x="85"/>
        <item x="187"/>
        <item x="266"/>
        <item x="151"/>
        <item x="127"/>
        <item x="427"/>
        <item x="360"/>
        <item x="263"/>
        <item x="133"/>
        <item x="378"/>
        <item x="51"/>
        <item x="184"/>
        <item x="328"/>
        <item x="264"/>
        <item x="387"/>
        <item x="408"/>
        <item x="414"/>
        <item x="302"/>
        <item x="33"/>
        <item x="201"/>
        <item x="207"/>
        <item x="88"/>
        <item x="32"/>
        <item x="167"/>
        <item x="11"/>
        <item x="385"/>
        <item x="22"/>
        <item x="364"/>
        <item x="290"/>
        <item x="415"/>
        <item x="195"/>
        <item x="280"/>
        <item x="319"/>
        <item x="111"/>
        <item x="253"/>
        <item x="196"/>
        <item x="175"/>
        <item x="181"/>
        <item x="50"/>
        <item x="368"/>
        <item x="270"/>
        <item x="316"/>
        <item x="236"/>
        <item x="105"/>
        <item x="308"/>
        <item x="82"/>
        <item x="397"/>
        <item x="277"/>
        <item x="110"/>
        <item x="287"/>
        <item x="340"/>
        <item x="421"/>
        <item x="386"/>
        <item x="152"/>
        <item x="244"/>
        <item x="429"/>
        <item x="6"/>
        <item x="382"/>
        <item x="401"/>
        <item x="357"/>
        <item x="312"/>
        <item x="158"/>
        <item x="170"/>
        <item x="44"/>
        <item x="89"/>
        <item x="303"/>
        <item x="64"/>
        <item x="66"/>
        <item x="65"/>
        <item x="310"/>
        <item x="362"/>
        <item x="279"/>
        <item x="221"/>
        <item x="146"/>
        <item x="180"/>
        <item x="24"/>
        <item x="247"/>
        <item x="323"/>
        <item x="363"/>
        <item x="423"/>
        <item x="159"/>
        <item x="292"/>
        <item x="108"/>
        <item x="371"/>
        <item x="390"/>
        <item x="126"/>
        <item x="348"/>
        <item x="375"/>
        <item x="341"/>
        <item x="327"/>
        <item x="350"/>
        <item x="138"/>
        <item x="157"/>
        <item x="225"/>
        <item x="168"/>
        <item x="69"/>
        <item x="398"/>
        <item x="384"/>
        <item x="206"/>
        <item x="291"/>
        <item x="150"/>
        <item x="367"/>
        <item x="271"/>
        <item x="419"/>
        <item x="106"/>
        <item x="317"/>
        <item x="216"/>
        <item x="342"/>
        <item x="121"/>
        <item x="5"/>
        <item x="331"/>
        <item x="430"/>
        <item x="355"/>
        <item x="274"/>
        <item x="224"/>
        <item x="188"/>
        <item x="396"/>
        <item x="169"/>
        <item x="166"/>
        <item x="379"/>
        <item x="191"/>
        <item x="48"/>
        <item x="315"/>
        <item x="52"/>
        <item x="130"/>
        <item x="154"/>
        <item x="91"/>
        <item x="295"/>
        <item x="262"/>
        <item x="282"/>
        <item t="default"/>
      </items>
    </pivotField>
    <pivotField showAll="0"/>
    <pivotField axis="axisRow" showAll="0" measureFilter="1" sortType="ascending">
      <items count="49">
        <item x="1"/>
        <item x="38"/>
        <item x="0"/>
        <item x="34"/>
        <item x="43"/>
        <item x="41"/>
        <item x="3"/>
        <item x="32"/>
        <item x="19"/>
        <item x="22"/>
        <item x="13"/>
        <item x="45"/>
        <item x="42"/>
        <item x="31"/>
        <item x="6"/>
        <item x="10"/>
        <item x="33"/>
        <item x="23"/>
        <item x="11"/>
        <item x="15"/>
        <item x="24"/>
        <item x="37"/>
        <item x="9"/>
        <item x="18"/>
        <item x="7"/>
        <item x="4"/>
        <item x="30"/>
        <item x="46"/>
        <item x="47"/>
        <item x="29"/>
        <item x="26"/>
        <item x="2"/>
        <item x="25"/>
        <item x="28"/>
        <item x="16"/>
        <item x="8"/>
        <item x="21"/>
        <item x="5"/>
        <item x="44"/>
        <item x="14"/>
        <item x="35"/>
        <item x="17"/>
        <item x="27"/>
        <item x="40"/>
        <item x="12"/>
        <item x="39"/>
        <item x="20"/>
        <item x="36"/>
        <item t="default"/>
      </items>
      <autoSortScope>
        <pivotArea dataOnly="0" outline="0" fieldPosition="0">
          <references count="1">
            <reference field="4294967294" count="1" selected="0">
              <x v="0"/>
            </reference>
          </references>
        </pivotArea>
      </autoSortScope>
    </pivotField>
    <pivotField showAll="0">
      <items count="13">
        <item x="1"/>
        <item x="11"/>
        <item x="10"/>
        <item x="2"/>
        <item x="8"/>
        <item x="6"/>
        <item x="0"/>
        <item x="9"/>
        <item x="3"/>
        <item x="4"/>
        <item x="7"/>
        <item x="5"/>
        <item t="default"/>
      </items>
    </pivotField>
    <pivotField showAll="0">
      <items count="10">
        <item x="2"/>
        <item x="1"/>
        <item x="7"/>
        <item x="3"/>
        <item x="0"/>
        <item x="4"/>
        <item x="8"/>
        <item x="5"/>
        <item x="6"/>
        <item t="default"/>
      </items>
    </pivotField>
    <pivotField dataField="1" numFmtId="164" showAll="0"/>
    <pivotField showAll="0">
      <items count="5">
        <item x="1"/>
        <item x="0"/>
        <item x="2"/>
        <item x="3"/>
        <item t="default"/>
      </items>
    </pivotField>
    <pivotField showAll="0">
      <items count="3">
        <item x="0"/>
        <item x="1"/>
        <item t="default"/>
      </items>
    </pivotField>
    <pivotField showAll="0"/>
    <pivotField showAll="0"/>
    <pivotField numFmtId="165" showAll="0"/>
    <pivotField showAll="0"/>
    <pivotField showAll="0">
      <items count="3">
        <item x="0"/>
        <item x="1"/>
        <item t="default"/>
      </items>
    </pivotField>
    <pivotField numFmtId="10" showAll="0"/>
    <pivotField showAll="0"/>
    <pivotField showAll="0"/>
    <pivotField showAll="0"/>
    <pivotField showAll="0"/>
    <pivotField showAll="0"/>
    <pivotField showAll="0"/>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1">
    <i>
      <x v="23"/>
    </i>
    <i>
      <x v="1"/>
    </i>
    <i>
      <x v="2"/>
    </i>
    <i>
      <x v="34"/>
    </i>
    <i>
      <x v="3"/>
    </i>
    <i>
      <x v="40"/>
    </i>
    <i>
      <x v="39"/>
    </i>
    <i>
      <x v="17"/>
    </i>
    <i>
      <x v="19"/>
    </i>
    <i>
      <x v="21"/>
    </i>
    <i t="grand">
      <x/>
    </i>
  </rowItems>
  <colItems count="1">
    <i/>
  </colItems>
  <dataFields count="1">
    <dataField name="Sum of Amount (ZAR)" fld="7"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DD5C4C-F388-40C1-BA1D-BE8E14902499}" sourceName="Category">
  <pivotTables>
    <pivotTable tabId="5" name="Value at risk by risk level"/>
    <pivotTable tabId="5" name="Average risk score by Bank"/>
    <pivotTable tabId="5" name="Merchant with highest value"/>
    <pivotTable tabId="5" name="PivotTable1"/>
    <pivotTable tabId="5" name="PivotTable11"/>
    <pivotTable tabId="5" name="PivotTable4"/>
    <pivotTable tabId="5" name="PivotTable5"/>
    <pivotTable tabId="5" name="PivotTable9"/>
    <pivotTable tabId="5" name="Risk by Category"/>
  </pivotTables>
  <data>
    <tabular pivotCacheId="2119604591">
      <items count="12">
        <i x="1" s="1"/>
        <i x="11" s="1"/>
        <i x="10" s="1"/>
        <i x="2" s="1"/>
        <i x="8" s="1"/>
        <i x="6" s="1"/>
        <i x="0" s="1"/>
        <i x="9" s="1"/>
        <i x="3" s="1"/>
        <i x="4"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9B187DE-555C-43EF-862A-74F3BE2F21CD}" sourceName="City">
  <pivotTables>
    <pivotTable tabId="5" name="Value at risk by risk level"/>
    <pivotTable tabId="5" name="Average risk score by Bank"/>
    <pivotTable tabId="5" name="Merchant with highest value"/>
    <pivotTable tabId="5" name="PivotTable1"/>
    <pivotTable tabId="5" name="PivotTable11"/>
    <pivotTable tabId="5" name="PivotTable4"/>
    <pivotTable tabId="5" name="PivotTable5"/>
    <pivotTable tabId="5" name="PivotTable9"/>
    <pivotTable tabId="5" name="Risk by Category"/>
  </pivotTables>
  <data>
    <tabular pivotCacheId="2119604591" sortOrder="descending">
      <items count="9">
        <i x="6" s="1"/>
        <i x="5" s="1"/>
        <i x="8" s="1"/>
        <i x="4" s="1"/>
        <i x="0" s="1"/>
        <i x="3" s="1"/>
        <i x="7"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2952F37-223E-4416-92A8-5599990F5E22}" sourceName="Channel">
  <pivotTables>
    <pivotTable tabId="5" name="Value at risk by risk level"/>
    <pivotTable tabId="5" name="Average risk score by Bank"/>
    <pivotTable tabId="5" name="Merchant with highest value"/>
    <pivotTable tabId="5" name="PivotTable1"/>
    <pivotTable tabId="5" name="PivotTable11"/>
    <pivotTable tabId="5" name="PivotTable4"/>
    <pivotTable tabId="5" name="PivotTable5"/>
    <pivotTable tabId="5" name="PivotTable9"/>
    <pivotTable tabId="5" name="Risk by Category"/>
  </pivotTables>
  <data>
    <tabular pivotCacheId="2119604591">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8AA4055F-D728-4093-9194-0D0B23D14375}" sourceName="Risk_Level">
  <pivotTables>
    <pivotTable tabId="5" name="Value at risk by risk level"/>
    <pivotTable tabId="5" name="Average risk score by Bank"/>
    <pivotTable tabId="5" name="Merchant with highest value"/>
    <pivotTable tabId="5" name="PivotTable1"/>
    <pivotTable tabId="5" name="PivotTable11"/>
    <pivotTable tabId="5" name="PivotTable4"/>
    <pivotTable tabId="5" name="PivotTable5"/>
    <pivotTable tabId="5" name="PivotTable9"/>
    <pivotTable tabId="5" name="Risk by Category"/>
  </pivotTables>
  <data>
    <tabular pivotCacheId="211960459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Network" xr10:uid="{0B5A3490-29EE-40A2-B524-87ADA19D1F2A}" sourceName="Card_Network">
  <pivotTables>
    <pivotTable tabId="5" name="Value at risk by risk level"/>
    <pivotTable tabId="5" name="Average risk score by Bank"/>
    <pivotTable tabId="5" name="Merchant with highest value"/>
    <pivotTable tabId="5" name="PivotTable1"/>
    <pivotTable tabId="5" name="PivotTable11"/>
    <pivotTable tabId="5" name="PivotTable4"/>
    <pivotTable tabId="5" name="PivotTable5"/>
    <pivotTable tabId="5" name="PivotTable9"/>
    <pivotTable tabId="5" name="Risk by Category"/>
  </pivotTables>
  <data>
    <tabular pivotCacheId="211960459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E56015B-3662-44A5-9C36-6879EA50D071}" cache="Slicer_Category" caption="Category" rowHeight="234950"/>
  <slicer name="City" xr10:uid="{90971D78-90ED-425B-B4D4-80449C0409B2}" cache="Slicer_City" caption="City" rowHeight="234950"/>
  <slicer name="Channel" xr10:uid="{CC14C572-A54F-4AD8-B7BB-BFB0A2D3E087}" cache="Slicer_Channel" caption="Channel" rowHeight="234950"/>
  <slicer name="Risk_Level" xr10:uid="{A9944DED-FACF-4C06-AA60-FF6C957A53CB}" cache="Slicer_Risk_Level" caption="Risk_Level" rowHeight="234950"/>
  <slicer name="Card_Network" xr10:uid="{38F1EE51-EFE0-46FF-A166-263FA7CE561A}" cache="Slicer_Card_Network" caption="Card_Network"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34FE140-479F-4A88-A5B3-F5E039AF9255}" cache="Slicer_Category" caption="Category" columnCount="2" style="SlicerStyleDark4" rowHeight="324000"/>
  <slicer name="City 1" xr10:uid="{27035634-AA82-4D9C-8838-BB4C4C82DDC7}" cache="Slicer_City" caption="City" style="SlicerStyleDark4" rowHeight="234950"/>
  <slicer name="Channel 1" xr10:uid="{089F5F15-C22E-42D5-9241-76D6387194DA}" cache="Slicer_Channel" caption="Channel" style="SlicerStyleDark4" rowHeight="234950"/>
  <slicer name="Risk_Level 1" xr10:uid="{F415662E-AD97-475A-BA80-CC083F7F1B06}" cache="Slicer_Risk_Level" caption="Risk_Level" style="SlicerStyleDark4" rowHeight="234950"/>
  <slicer name="Card_Network 1" xr10:uid="{B118961F-1732-4AE6-BEF2-5647AE66805D}" cache="Slicer_Card_Network" caption="Card_Network"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E25953-271C-44D4-AE9C-74CCD643F938}" name="Table1" displayName="Table1" ref="A1:X739" totalsRowShown="0" headerRowDxfId="175">
  <autoFilter ref="A1:X739" xr:uid="{00000000-0001-0000-0000-000000000000}"/>
  <tableColumns count="24">
    <tableColumn id="1" xr3:uid="{5A456C87-65E8-4272-A862-208B29B53CA2}" name="Txn ID"/>
    <tableColumn id="2" xr3:uid="{F5212BC3-7C13-4F4A-AD8E-2932A6901AC4}" name="Card_ID"/>
    <tableColumn id="3" xr3:uid="{8B7DBC08-C2A1-4F1C-BA3F-B5ED8A20A899}" name="Date" dataDxfId="174"/>
    <tableColumn id="4" xr3:uid="{9947F64B-38AD-4581-8DE7-E8F5CA780EA2}" name="Time" dataDxfId="173"/>
    <tableColumn id="5" xr3:uid="{1CD8A9AE-08A3-47BC-A353-F77EF482DDF2}" name="Merchant" dataDxfId="172"/>
    <tableColumn id="6" xr3:uid="{13A88190-8C09-42BB-81CB-4385BC20900F}" name="Category" dataDxfId="171"/>
    <tableColumn id="7" xr3:uid="{CC50E229-ABCB-4664-B2E3-4CD6C99CDB8A}" name="City" dataDxfId="170"/>
    <tableColumn id="8" xr3:uid="{7FE1B443-99C6-437D-A2C5-CD40814AFBB9}" name="Amount (ZAR)" dataDxfId="169"/>
    <tableColumn id="9" xr3:uid="{B7815B5E-0F47-44F6-9AD7-A20EF240B72C}" name="Channel" dataDxfId="168"/>
    <tableColumn id="10" xr3:uid="{570A37C2-91D6-4E87-837C-D4943F1EBED0}" name="Status" dataDxfId="167"/>
    <tableColumn id="11" xr3:uid="{96EA42C3-CE18-4262-A4D8-5176AAD21BC5}" name="Notes"/>
    <tableColumn id="12" xr3:uid="{7123C444-2A38-42D3-8DDF-E7599C14069E}" name="Cardholder_name">
      <calculatedColumnFormula>PROPER(TRIM(SUBSTITUTE(_xlfn.XLOOKUP(B2,Cardholders_Reference!A:A,Cardholders_Reference!B:B),","," ")))</calculatedColumnFormula>
    </tableColumn>
    <tableColumn id="13" xr3:uid="{E38600FC-B48A-448E-BC7D-774BC4D6B9D7}" name="Credit_Limit" dataDxfId="166">
      <calculatedColumnFormula>_xlfn.XLOOKUP(B2,Cardholders_Reference!A:A,Cardholders_Reference!G:G)</calculatedColumnFormula>
    </tableColumn>
    <tableColumn id="14" xr3:uid="{C7E89314-6919-4487-BE30-81A1CEF3A430}" name="Bank" dataDxfId="165">
      <calculatedColumnFormula>_xlfn.XLOOKUP(B2,Cardholders_Reference!A:A,Cardholders_Reference!D:D)</calculatedColumnFormula>
    </tableColumn>
    <tableColumn id="15" xr3:uid="{28494A40-14F9-4560-B7F6-2248C7FCB9EE}" name="Card_Network" dataDxfId="164">
      <calculatedColumnFormula>_xlfn.XLOOKUP(B2,Cardholders_Reference!A:A,Cardholders_Reference!E:E)</calculatedColumnFormula>
    </tableColumn>
    <tableColumn id="16" xr3:uid="{854F8FF0-788D-440E-B7D8-52F9C0D06DA5}" name="Percentage-Limit_Utilized" dataDxfId="163">
      <calculatedColumnFormula>H2/M2</calculatedColumnFormula>
    </tableColumn>
    <tableColumn id="17" xr3:uid="{187EE952-0282-4DAF-B9B7-DC0B178D5B34}" name="City_Check">
      <calculatedColumnFormula>IF(COUNTIFS($B$1:$B$738,B1,$G$1:$G$738,G1)/COUNTIF($B$1:$B$738,B1)&lt;0.5,1,0)</calculatedColumnFormula>
    </tableColumn>
    <tableColumn id="18" xr3:uid="{4BCFEB1C-6339-4BDA-8862-23166E27AC33}" name="Hour_Check">
      <calculatedColumnFormula>IF(D2="Unknown",1,IF(OR(TIMEVALUE(D2)&lt;TIME(5,0,0),TIMEVALUE(D2)&gt;=TIME(23,0,0)),1,0))</calculatedColumnFormula>
    </tableColumn>
    <tableColumn id="19" xr3:uid="{5868DEFF-E13C-452E-A991-C4D52687E631}" name="Velocity_Check">
      <calculatedColumnFormula>IF(COUNTIFS($B$1:$B$738,B1,$C$1:$C$738,#REF!)&gt;2,1,0)</calculatedColumnFormula>
    </tableColumn>
    <tableColumn id="20" xr3:uid="{BAB9DFF0-6027-4AD6-86F2-A22853155229}" name="Limit_Check">
      <calculatedColumnFormula>IF(P1&gt;0.4,1,0)</calculatedColumnFormula>
    </tableColumn>
    <tableColumn id="21" xr3:uid="{5748AD46-B7E7-4E0D-B21E-7C852531538B}" name="Category_Check">
      <calculatedColumnFormula>IF(OR(F1="Gambling",F1="ATM Withdrawal"),1,0)</calculatedColumnFormula>
    </tableColumn>
    <tableColumn id="22" xr3:uid="{D98F7F94-3F3F-4E2D-BF6A-3800C863EF67}" name="Channel_Check">
      <calculatedColumnFormula>IF(OR(I2="Card Not Present (Phone)",I2="Online"),1,0)</calculatedColumnFormula>
    </tableColumn>
    <tableColumn id="23" xr3:uid="{8ECCC072-2B78-42F1-95EE-DC891AB75258}" name="Risk_Score">
      <calculatedColumnFormula>SUM(Q2:V2)</calculatedColumnFormula>
    </tableColumn>
    <tableColumn id="24" xr3:uid="{E74BAE7F-797C-46DA-A5D6-1D3D073636EB}" name="Risk_Level">
      <calculatedColumnFormula array="1">_xlfn.IFS(W2&lt;=1,"Low",W2=2,"Medium",W2&gt;=3,"High")</calculatedColumnFormula>
    </tableColumn>
  </tableColumns>
  <tableStyleInfo name="TableStyleDark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F4D8FEF-CA82-4001-8699-378F7B0E4CB5}" sourceName="Date">
  <pivotTables>
    <pivotTable tabId="5" name="PivotTable11"/>
    <pivotTable tabId="5" name="Average risk score by Bank"/>
    <pivotTable tabId="5" name="Merchant with highest value"/>
    <pivotTable tabId="5" name="PivotTable9"/>
    <pivotTable tabId="5" name="Risk by Category"/>
    <pivotTable tabId="5" name="Value at risk by risk level"/>
    <pivotTable tabId="5" name="PivotTable1"/>
    <pivotTable tabId="5" name="PivotTable4"/>
    <pivotTable tabId="5" name="PivotTable5"/>
  </pivotTables>
  <state minimalRefreshVersion="6" lastRefreshVersion="6" pivotCacheId="2119604591" filterType="unknown">
    <bounds startDate="2025-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BAFE4F9-A89D-426C-9F70-A2A4C5A04B40}" cache="NativeTimeline_Date" caption="Date" level="2" selectionLevel="2" scrollPosition="2026-03-20T00:00:00"/>
  <timeline name="Date 1" xr10:uid="{BD5E433F-3764-4BE5-8007-36A9045B7BA3}" cache="NativeTimeline_Date" caption="Date" level="0" selectionLevel="0"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8A8DFABB-8312-42BF-89EF-E94A18ABC04B}" cache="NativeTimeline_Date" caption="Date" level="0" selectionLevel="0" scrollPosition="2025-01-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D2D78-02C9-4BEA-B40A-3D398FEECCD0}">
  <dimension ref="A1"/>
  <sheetViews>
    <sheetView workbookViewId="0">
      <selection activeCell="J25" sqref="J25"/>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57804-6957-4925-84BB-2BD30927FD07}">
  <dimension ref="A1:G166"/>
  <sheetViews>
    <sheetView workbookViewId="0">
      <selection activeCell="B3" sqref="B3"/>
    </sheetView>
  </sheetViews>
  <sheetFormatPr defaultRowHeight="14.4" x14ac:dyDescent="0.3"/>
  <cols>
    <col min="1" max="1" width="19.44140625" bestFit="1" customWidth="1"/>
    <col min="2" max="2" width="20.109375" bestFit="1" customWidth="1"/>
    <col min="3" max="3" width="14.109375" bestFit="1" customWidth="1"/>
    <col min="4" max="4" width="8.33203125" bestFit="1" customWidth="1"/>
    <col min="5" max="5" width="11" bestFit="1" customWidth="1"/>
    <col min="6" max="6" width="20.109375" bestFit="1" customWidth="1"/>
    <col min="7" max="7" width="14.109375" bestFit="1" customWidth="1"/>
  </cols>
  <sheetData>
    <row r="1" spans="1:4" x14ac:dyDescent="0.3">
      <c r="D1" s="16"/>
    </row>
    <row r="3" spans="1:4" x14ac:dyDescent="0.3">
      <c r="A3" s="13" t="s">
        <v>1490</v>
      </c>
      <c r="B3" t="s">
        <v>1492</v>
      </c>
    </row>
    <row r="4" spans="1:4" x14ac:dyDescent="0.3">
      <c r="A4" s="14" t="s">
        <v>1495</v>
      </c>
      <c r="B4" s="6">
        <v>5.4836871004518811E-2</v>
      </c>
    </row>
    <row r="5" spans="1:4" x14ac:dyDescent="0.3">
      <c r="A5" s="14" t="s">
        <v>1493</v>
      </c>
      <c r="B5" s="6">
        <v>0.74377410262961985</v>
      </c>
    </row>
    <row r="6" spans="1:4" x14ac:dyDescent="0.3">
      <c r="A6" s="14" t="s">
        <v>1494</v>
      </c>
      <c r="B6" s="6">
        <v>0.20138902636586151</v>
      </c>
    </row>
    <row r="7" spans="1:4" x14ac:dyDescent="0.3">
      <c r="A7" s="14" t="s">
        <v>1491</v>
      </c>
      <c r="B7" s="6">
        <v>1</v>
      </c>
    </row>
    <row r="20" spans="1:2" x14ac:dyDescent="0.3">
      <c r="A20" s="13" t="s">
        <v>1490</v>
      </c>
      <c r="B20" t="s">
        <v>1492</v>
      </c>
    </row>
    <row r="21" spans="1:2" x14ac:dyDescent="0.3">
      <c r="A21" s="14" t="s">
        <v>90</v>
      </c>
      <c r="B21" s="4">
        <v>32706.739999999998</v>
      </c>
    </row>
    <row r="22" spans="1:2" x14ac:dyDescent="0.3">
      <c r="A22" s="14" t="s">
        <v>242</v>
      </c>
      <c r="B22" s="4">
        <v>50150.239999999991</v>
      </c>
    </row>
    <row r="23" spans="1:2" x14ac:dyDescent="0.3">
      <c r="A23" s="14" t="s">
        <v>14</v>
      </c>
      <c r="B23" s="4">
        <v>51045.84</v>
      </c>
    </row>
    <row r="24" spans="1:2" x14ac:dyDescent="0.3">
      <c r="A24" s="14" t="s">
        <v>84</v>
      </c>
      <c r="B24" s="4">
        <v>56473.39</v>
      </c>
    </row>
    <row r="25" spans="1:2" x14ac:dyDescent="0.3">
      <c r="A25" s="14" t="s">
        <v>206</v>
      </c>
      <c r="B25" s="4">
        <v>61370.990000000005</v>
      </c>
    </row>
    <row r="26" spans="1:2" x14ac:dyDescent="0.3">
      <c r="A26" s="14" t="s">
        <v>215</v>
      </c>
      <c r="B26" s="4">
        <v>63237.409999999996</v>
      </c>
    </row>
    <row r="27" spans="1:2" x14ac:dyDescent="0.3">
      <c r="A27" s="14" t="s">
        <v>77</v>
      </c>
      <c r="B27" s="4">
        <v>71098.03</v>
      </c>
    </row>
    <row r="28" spans="1:2" x14ac:dyDescent="0.3">
      <c r="A28" s="14" t="s">
        <v>114</v>
      </c>
      <c r="B28" s="4">
        <v>106375.51000000002</v>
      </c>
    </row>
    <row r="29" spans="1:2" x14ac:dyDescent="0.3">
      <c r="A29" s="14" t="s">
        <v>80</v>
      </c>
      <c r="B29" s="4">
        <v>161299.09999999998</v>
      </c>
    </row>
    <row r="30" spans="1:2" x14ac:dyDescent="0.3">
      <c r="A30" s="14" t="s">
        <v>230</v>
      </c>
      <c r="B30" s="4">
        <v>165442.85000000006</v>
      </c>
    </row>
    <row r="31" spans="1:2" x14ac:dyDescent="0.3">
      <c r="A31" s="14" t="s">
        <v>1491</v>
      </c>
      <c r="B31" s="4">
        <v>819200.10000000009</v>
      </c>
    </row>
    <row r="43" spans="1:2" x14ac:dyDescent="0.3">
      <c r="A43" s="13" t="s">
        <v>1490</v>
      </c>
      <c r="B43" t="s">
        <v>1496</v>
      </c>
    </row>
    <row r="44" spans="1:2" x14ac:dyDescent="0.3">
      <c r="A44" s="14" t="s">
        <v>1396</v>
      </c>
      <c r="B44" s="15">
        <v>1.1095890410958904</v>
      </c>
    </row>
    <row r="45" spans="1:2" x14ac:dyDescent="0.3">
      <c r="A45" s="14" t="s">
        <v>1391</v>
      </c>
      <c r="B45" s="15">
        <v>0.96226415094339623</v>
      </c>
    </row>
    <row r="46" spans="1:2" x14ac:dyDescent="0.3">
      <c r="A46" s="14" t="s">
        <v>1393</v>
      </c>
      <c r="B46" s="15">
        <v>0.95270270270270274</v>
      </c>
    </row>
    <row r="47" spans="1:2" x14ac:dyDescent="0.3">
      <c r="A47" s="14" t="s">
        <v>1405</v>
      </c>
      <c r="B47" s="15">
        <v>0.92405063291139244</v>
      </c>
    </row>
    <row r="48" spans="1:2" x14ac:dyDescent="0.3">
      <c r="A48" s="14" t="s">
        <v>1398</v>
      </c>
      <c r="B48" s="15">
        <v>0.87581699346405228</v>
      </c>
    </row>
    <row r="49" spans="1:7" x14ac:dyDescent="0.3">
      <c r="A49" s="14" t="s">
        <v>1491</v>
      </c>
      <c r="B49" s="15">
        <v>0.96747967479674801</v>
      </c>
    </row>
    <row r="63" spans="1:7" x14ac:dyDescent="0.3">
      <c r="A63" s="13" t="s">
        <v>1490</v>
      </c>
      <c r="B63" t="s">
        <v>1496</v>
      </c>
      <c r="C63" t="s">
        <v>1498</v>
      </c>
      <c r="E63" t="s">
        <v>1490</v>
      </c>
      <c r="F63" t="s">
        <v>1496</v>
      </c>
      <c r="G63" t="s">
        <v>1498</v>
      </c>
    </row>
    <row r="64" spans="1:7" x14ac:dyDescent="0.3">
      <c r="A64" s="14" t="s">
        <v>21</v>
      </c>
      <c r="B64" s="15">
        <v>0.79629629629629628</v>
      </c>
      <c r="C64" s="18">
        <v>54</v>
      </c>
      <c r="E64" t="s">
        <v>21</v>
      </c>
      <c r="F64" s="17">
        <v>0.79629629629629628</v>
      </c>
      <c r="G64">
        <v>54</v>
      </c>
    </row>
    <row r="65" spans="1:7" x14ac:dyDescent="0.3">
      <c r="A65" s="14" t="s">
        <v>91</v>
      </c>
      <c r="B65" s="15">
        <v>1.0588235294117647</v>
      </c>
      <c r="C65" s="18">
        <v>51</v>
      </c>
      <c r="E65" t="s">
        <v>91</v>
      </c>
      <c r="F65" s="17">
        <v>1.0588235294117647</v>
      </c>
      <c r="G65">
        <v>51</v>
      </c>
    </row>
    <row r="66" spans="1:7" x14ac:dyDescent="0.3">
      <c r="A66" s="14" t="s">
        <v>81</v>
      </c>
      <c r="B66" s="15">
        <v>1.1489361702127661</v>
      </c>
      <c r="C66" s="18">
        <v>47</v>
      </c>
      <c r="E66" t="s">
        <v>81</v>
      </c>
      <c r="F66" s="17">
        <v>1.1489361702127661</v>
      </c>
      <c r="G66">
        <v>47</v>
      </c>
    </row>
    <row r="67" spans="1:7" x14ac:dyDescent="0.3">
      <c r="A67" s="14" t="s">
        <v>25</v>
      </c>
      <c r="B67" s="15">
        <v>0.86250000000000004</v>
      </c>
      <c r="C67" s="18">
        <v>80</v>
      </c>
      <c r="E67" t="s">
        <v>25</v>
      </c>
      <c r="F67" s="17">
        <v>0.86250000000000004</v>
      </c>
      <c r="G67">
        <v>80</v>
      </c>
    </row>
    <row r="68" spans="1:7" x14ac:dyDescent="0.3">
      <c r="A68" s="14" t="s">
        <v>65</v>
      </c>
      <c r="B68" s="15">
        <v>0.84</v>
      </c>
      <c r="C68" s="18">
        <v>25</v>
      </c>
      <c r="E68" t="s">
        <v>65</v>
      </c>
      <c r="F68" s="17">
        <v>0.84</v>
      </c>
      <c r="G68">
        <v>25</v>
      </c>
    </row>
    <row r="69" spans="1:7" x14ac:dyDescent="0.3">
      <c r="A69" s="14" t="s">
        <v>53</v>
      </c>
      <c r="B69" s="15">
        <v>1</v>
      </c>
      <c r="C69" s="18">
        <v>107</v>
      </c>
      <c r="E69" t="s">
        <v>53</v>
      </c>
      <c r="F69" s="17">
        <v>1</v>
      </c>
      <c r="G69">
        <v>107</v>
      </c>
    </row>
    <row r="70" spans="1:7" x14ac:dyDescent="0.3">
      <c r="A70" s="14" t="s">
        <v>15</v>
      </c>
      <c r="B70" s="15">
        <v>1</v>
      </c>
      <c r="C70" s="18">
        <v>96</v>
      </c>
      <c r="E70" t="s">
        <v>15</v>
      </c>
      <c r="F70" s="17">
        <v>1</v>
      </c>
      <c r="G70">
        <v>96</v>
      </c>
    </row>
    <row r="71" spans="1:7" x14ac:dyDescent="0.3">
      <c r="A71" s="14" t="s">
        <v>74</v>
      </c>
      <c r="B71" s="15">
        <v>0.83333333333333337</v>
      </c>
      <c r="C71" s="18">
        <v>36</v>
      </c>
      <c r="E71" t="s">
        <v>74</v>
      </c>
      <c r="F71" s="17">
        <v>0.83333333333333337</v>
      </c>
      <c r="G71">
        <v>36</v>
      </c>
    </row>
    <row r="72" spans="1:7" x14ac:dyDescent="0.3">
      <c r="A72" s="14" t="s">
        <v>36</v>
      </c>
      <c r="B72" s="15">
        <v>0.97368421052631582</v>
      </c>
      <c r="C72" s="18">
        <v>114</v>
      </c>
      <c r="E72" t="s">
        <v>36</v>
      </c>
      <c r="F72" s="17">
        <v>0.97368421052631582</v>
      </c>
      <c r="G72">
        <v>114</v>
      </c>
    </row>
    <row r="73" spans="1:7" x14ac:dyDescent="0.3">
      <c r="A73" s="14" t="s">
        <v>40</v>
      </c>
      <c r="B73" s="15">
        <v>0.94339622641509435</v>
      </c>
      <c r="C73" s="18">
        <v>53</v>
      </c>
      <c r="E73" t="s">
        <v>40</v>
      </c>
      <c r="F73" s="17">
        <v>0.94339622641509435</v>
      </c>
      <c r="G73">
        <v>53</v>
      </c>
    </row>
    <row r="74" spans="1:7" x14ac:dyDescent="0.3">
      <c r="A74" s="14" t="s">
        <v>61</v>
      </c>
      <c r="B74" s="15">
        <v>1</v>
      </c>
      <c r="C74" s="18">
        <v>30</v>
      </c>
      <c r="E74" t="s">
        <v>61</v>
      </c>
      <c r="F74" s="17">
        <v>1</v>
      </c>
      <c r="G74">
        <v>30</v>
      </c>
    </row>
    <row r="75" spans="1:7" x14ac:dyDescent="0.3">
      <c r="A75" s="14" t="s">
        <v>48</v>
      </c>
      <c r="B75" s="15">
        <v>1.0888888888888888</v>
      </c>
      <c r="C75" s="18">
        <v>45</v>
      </c>
      <c r="E75" t="s">
        <v>48</v>
      </c>
      <c r="F75" s="17">
        <v>1.0888888888888888</v>
      </c>
      <c r="G75">
        <v>45</v>
      </c>
    </row>
    <row r="83" spans="1:2" x14ac:dyDescent="0.3">
      <c r="A83" s="13" t="s">
        <v>1490</v>
      </c>
      <c r="B83" t="s">
        <v>1497</v>
      </c>
    </row>
    <row r="84" spans="1:2" x14ac:dyDescent="0.3">
      <c r="A84" s="14" t="s">
        <v>26</v>
      </c>
      <c r="B84" s="21">
        <v>266</v>
      </c>
    </row>
    <row r="85" spans="1:2" x14ac:dyDescent="0.3">
      <c r="A85" s="14" t="s">
        <v>16</v>
      </c>
      <c r="B85" s="21">
        <v>85</v>
      </c>
    </row>
    <row r="86" spans="1:2" x14ac:dyDescent="0.3">
      <c r="A86" s="14" t="s">
        <v>32</v>
      </c>
      <c r="B86" s="21">
        <v>82</v>
      </c>
    </row>
    <row r="87" spans="1:2" x14ac:dyDescent="0.3">
      <c r="A87" s="14" t="s">
        <v>95</v>
      </c>
      <c r="B87" s="21">
        <v>281</v>
      </c>
    </row>
    <row r="88" spans="1:2" x14ac:dyDescent="0.3">
      <c r="A88" s="14" t="s">
        <v>1491</v>
      </c>
      <c r="B88" s="21">
        <v>714</v>
      </c>
    </row>
    <row r="108" spans="1:1" x14ac:dyDescent="0.3">
      <c r="A108" s="13" t="s">
        <v>1490</v>
      </c>
    </row>
    <row r="109" spans="1:1" x14ac:dyDescent="0.3">
      <c r="A109" s="14" t="s">
        <v>1499</v>
      </c>
    </row>
    <row r="110" spans="1:1" x14ac:dyDescent="0.3">
      <c r="A110" s="14" t="s">
        <v>1500</v>
      </c>
    </row>
    <row r="111" spans="1:1" x14ac:dyDescent="0.3">
      <c r="A111" s="14" t="s">
        <v>1501</v>
      </c>
    </row>
    <row r="112" spans="1:1" x14ac:dyDescent="0.3">
      <c r="A112" s="14" t="s">
        <v>1504</v>
      </c>
    </row>
    <row r="113" spans="1:2" x14ac:dyDescent="0.3">
      <c r="A113" s="14" t="s">
        <v>1491</v>
      </c>
    </row>
    <row r="121" spans="1:2" x14ac:dyDescent="0.3">
      <c r="A121" s="13" t="s">
        <v>1490</v>
      </c>
      <c r="B121" t="s">
        <v>1502</v>
      </c>
    </row>
    <row r="122" spans="1:2" x14ac:dyDescent="0.3">
      <c r="A122" s="14" t="s">
        <v>17</v>
      </c>
      <c r="B122" s="21">
        <v>586</v>
      </c>
    </row>
    <row r="123" spans="1:2" x14ac:dyDescent="0.3">
      <c r="A123" s="22" t="s">
        <v>1495</v>
      </c>
      <c r="B123" s="21">
        <v>20</v>
      </c>
    </row>
    <row r="124" spans="1:2" x14ac:dyDescent="0.3">
      <c r="A124" s="22" t="s">
        <v>1493</v>
      </c>
      <c r="B124" s="21">
        <v>452</v>
      </c>
    </row>
    <row r="125" spans="1:2" x14ac:dyDescent="0.3">
      <c r="A125" s="22" t="s">
        <v>1494</v>
      </c>
      <c r="B125" s="21">
        <v>114</v>
      </c>
    </row>
    <row r="126" spans="1:2" x14ac:dyDescent="0.3">
      <c r="A126" s="14" t="s">
        <v>1491</v>
      </c>
      <c r="B126" s="21">
        <v>586</v>
      </c>
    </row>
    <row r="136" spans="1:2" x14ac:dyDescent="0.3">
      <c r="A136" s="13" t="s">
        <v>1490</v>
      </c>
      <c r="B136" t="s">
        <v>1502</v>
      </c>
    </row>
    <row r="137" spans="1:2" x14ac:dyDescent="0.3">
      <c r="A137" s="14" t="s">
        <v>41</v>
      </c>
      <c r="B137" s="21">
        <v>152</v>
      </c>
    </row>
    <row r="138" spans="1:2" x14ac:dyDescent="0.3">
      <c r="A138" s="22" t="s">
        <v>1495</v>
      </c>
      <c r="B138" s="21">
        <v>3</v>
      </c>
    </row>
    <row r="139" spans="1:2" x14ac:dyDescent="0.3">
      <c r="A139" s="22" t="s">
        <v>1493</v>
      </c>
      <c r="B139" s="21">
        <v>118</v>
      </c>
    </row>
    <row r="140" spans="1:2" x14ac:dyDescent="0.3">
      <c r="A140" s="22" t="s">
        <v>1494</v>
      </c>
      <c r="B140" s="21">
        <v>31</v>
      </c>
    </row>
    <row r="141" spans="1:2" x14ac:dyDescent="0.3">
      <c r="A141" s="14" t="s">
        <v>1491</v>
      </c>
      <c r="B141" s="21">
        <v>152</v>
      </c>
    </row>
    <row r="161" spans="1:5" x14ac:dyDescent="0.3">
      <c r="A161" s="13" t="s">
        <v>1502</v>
      </c>
      <c r="B161" s="13" t="s">
        <v>1503</v>
      </c>
    </row>
    <row r="162" spans="1:5" x14ac:dyDescent="0.3">
      <c r="A162" s="13" t="s">
        <v>1490</v>
      </c>
      <c r="B162" t="s">
        <v>1495</v>
      </c>
      <c r="C162" t="s">
        <v>1493</v>
      </c>
      <c r="D162" t="s">
        <v>1494</v>
      </c>
      <c r="E162" t="s">
        <v>1491</v>
      </c>
    </row>
    <row r="163" spans="1:5" x14ac:dyDescent="0.3">
      <c r="A163" s="14" t="s">
        <v>1499</v>
      </c>
      <c r="B163" s="6">
        <v>3.0952380952380953E-2</v>
      </c>
      <c r="C163" s="6">
        <v>0.76190476190476186</v>
      </c>
      <c r="D163" s="6">
        <v>0.20714285714285716</v>
      </c>
      <c r="E163" s="6">
        <v>1</v>
      </c>
    </row>
    <row r="164" spans="1:5" x14ac:dyDescent="0.3">
      <c r="A164" s="14" t="s">
        <v>1500</v>
      </c>
      <c r="B164" s="6">
        <v>3.3582089552238806E-2</v>
      </c>
      <c r="C164" s="6">
        <v>0.80597014925373134</v>
      </c>
      <c r="D164" s="6">
        <v>0.16044776119402984</v>
      </c>
      <c r="E164" s="6">
        <v>1</v>
      </c>
    </row>
    <row r="165" spans="1:5" x14ac:dyDescent="0.3">
      <c r="A165" s="14" t="s">
        <v>1501</v>
      </c>
      <c r="B165" s="6">
        <v>2.5000000000000001E-2</v>
      </c>
      <c r="C165" s="6">
        <v>0.72499999999999998</v>
      </c>
      <c r="D165" s="6">
        <v>0.25</v>
      </c>
      <c r="E165" s="6">
        <v>1</v>
      </c>
    </row>
    <row r="166" spans="1:5" x14ac:dyDescent="0.3">
      <c r="A166" s="14" t="s">
        <v>1491</v>
      </c>
      <c r="B166" s="6">
        <v>3.1593406593406592E-2</v>
      </c>
      <c r="C166" s="6">
        <v>0.77609890109890112</v>
      </c>
      <c r="D166" s="6">
        <v>0.19230769230769232</v>
      </c>
      <c r="E166" s="6">
        <v>1</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E9DC5-4869-40F5-9D5F-C236693FA524}">
  <dimension ref="A1:AK80"/>
  <sheetViews>
    <sheetView showGridLines="0" tabSelected="1" zoomScale="47" zoomScaleNormal="47" workbookViewId="0">
      <selection activeCell="AQ51" sqref="AQ51"/>
    </sheetView>
  </sheetViews>
  <sheetFormatPr defaultRowHeight="14.4" x14ac:dyDescent="0.3"/>
  <sheetData>
    <row r="1" spans="1:37" x14ac:dyDescent="0.3">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row>
    <row r="2" spans="1:37"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row>
    <row r="3" spans="1:37" x14ac:dyDescent="0.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row>
    <row r="4" spans="1:37" x14ac:dyDescent="0.3">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row>
    <row r="5" spans="1:37" x14ac:dyDescent="0.3">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row>
    <row r="6" spans="1:37" x14ac:dyDescent="0.3">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row>
    <row r="7" spans="1:37" x14ac:dyDescent="0.3">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row>
    <row r="8" spans="1:37" x14ac:dyDescent="0.3">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row>
    <row r="9" spans="1:37" x14ac:dyDescent="0.3">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row>
    <row r="10" spans="1:37" x14ac:dyDescent="0.3">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row>
    <row r="11" spans="1:37" x14ac:dyDescent="0.3">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row>
    <row r="12" spans="1:37"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row>
    <row r="13" spans="1:37" x14ac:dyDescent="0.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row>
    <row r="14" spans="1:37" x14ac:dyDescent="0.3">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row>
    <row r="15" spans="1:37"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row>
    <row r="16" spans="1:37"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spans="1:37"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row>
    <row r="18" spans="1:37"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row>
    <row r="19" spans="1:37" x14ac:dyDescent="0.3">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row>
    <row r="20" spans="1:37" x14ac:dyDescent="0.3">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row>
    <row r="21" spans="1:37"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row>
    <row r="22" spans="1:37"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row>
    <row r="23" spans="1:37"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row>
    <row r="24" spans="1:37"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row>
    <row r="25" spans="1:37"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row>
    <row r="26" spans="1:37"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row>
    <row r="27" spans="1:37"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row>
    <row r="28" spans="1:37"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row>
    <row r="29" spans="1:37"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row>
    <row r="30" spans="1:37"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spans="1:37" x14ac:dyDescent="0.3">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spans="1:37"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spans="1:37"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spans="1:37"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row>
    <row r="35" spans="1:37"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row>
    <row r="36" spans="1:37"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row>
    <row r="37" spans="1:37"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row>
    <row r="38" spans="1:37"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spans="1:37"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spans="1:37"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spans="1:37"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row>
    <row r="42" spans="1:37"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row>
    <row r="43" spans="1:37"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row>
    <row r="44" spans="1:37"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row>
    <row r="45" spans="1:37"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row>
    <row r="46" spans="1:37"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row>
    <row r="47" spans="1:37"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row>
    <row r="48" spans="1:37"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row>
    <row r="49" spans="1:37"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row>
    <row r="50" spans="1:37"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row>
    <row r="51" spans="1:37"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row>
    <row r="52" spans="1:37"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row>
    <row r="53" spans="1:37"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spans="1:37"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row>
    <row r="55" spans="1:37"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row>
    <row r="56" spans="1:37"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row>
    <row r="57" spans="1:37"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row>
    <row r="58" spans="1:37"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row>
    <row r="59" spans="1:37" x14ac:dyDescent="0.3">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row>
    <row r="60" spans="1:37"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row>
    <row r="61" spans="1:37" x14ac:dyDescent="0.3">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row>
    <row r="62" spans="1:37" x14ac:dyDescent="0.3">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spans="1:37" x14ac:dyDescent="0.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row>
    <row r="64" spans="1:37" x14ac:dyDescent="0.3">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row>
    <row r="65" spans="1:37" x14ac:dyDescent="0.3">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row>
    <row r="66" spans="1:37" x14ac:dyDescent="0.3">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row>
    <row r="67" spans="1:37" x14ac:dyDescent="0.3">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row>
    <row r="68" spans="1:37" x14ac:dyDescent="0.3">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row>
    <row r="69" spans="1:37" x14ac:dyDescent="0.3">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row>
    <row r="70" spans="1:37" x14ac:dyDescent="0.3">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row>
    <row r="71" spans="1:37" x14ac:dyDescent="0.3">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spans="1:37" x14ac:dyDescent="0.3">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row>
    <row r="73" spans="1:37" x14ac:dyDescent="0.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row>
    <row r="74" spans="1:37" x14ac:dyDescent="0.3">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row>
    <row r="75" spans="1:37" x14ac:dyDescent="0.3">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row>
    <row r="76" spans="1:37" x14ac:dyDescent="0.3">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row>
    <row r="77" spans="1:37" x14ac:dyDescent="0.3">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row>
    <row r="78" spans="1:37" x14ac:dyDescent="0.3">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row>
    <row r="79" spans="1:37" x14ac:dyDescent="0.3">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row>
    <row r="80" spans="1:37" x14ac:dyDescent="0.3">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39"/>
  <sheetViews>
    <sheetView topLeftCell="H703" workbookViewId="0">
      <selection activeCell="N724" sqref="N724"/>
    </sheetView>
  </sheetViews>
  <sheetFormatPr defaultRowHeight="14.4" x14ac:dyDescent="0.3"/>
  <cols>
    <col min="1" max="1" width="10.33203125" bestFit="1" customWidth="1"/>
    <col min="2" max="2" width="12" customWidth="1"/>
    <col min="3" max="3" width="10.109375" bestFit="1" customWidth="1"/>
    <col min="4" max="4" width="8.77734375" bestFit="1" customWidth="1"/>
    <col min="5" max="5" width="20" customWidth="1"/>
    <col min="6" max="6" width="18" customWidth="1"/>
    <col min="7" max="7" width="13.44140625" bestFit="1" customWidth="1"/>
    <col min="8" max="8" width="16" customWidth="1"/>
    <col min="9" max="9" width="23.33203125" bestFit="1" customWidth="1"/>
    <col min="10" max="10" width="12" customWidth="1"/>
    <col min="11" max="11" width="30" hidden="1" customWidth="1"/>
    <col min="12" max="12" width="22.44140625" bestFit="1" customWidth="1"/>
    <col min="13" max="13" width="13.77734375" bestFit="1" customWidth="1"/>
    <col min="14" max="14" width="13.33203125" bestFit="1" customWidth="1"/>
    <col min="15" max="15" width="15" customWidth="1"/>
    <col min="16" max="16" width="26.109375" bestFit="1" customWidth="1"/>
    <col min="17" max="17" width="12.6640625" bestFit="1" customWidth="1"/>
    <col min="18" max="18" width="13.44140625" bestFit="1" customWidth="1"/>
    <col min="19" max="19" width="16.5546875" bestFit="1" customWidth="1"/>
    <col min="20" max="20" width="13.5546875" bestFit="1" customWidth="1"/>
    <col min="21" max="21" width="17.109375" bestFit="1" customWidth="1"/>
    <col min="22" max="22" width="16.5546875" bestFit="1" customWidth="1"/>
    <col min="23" max="23" width="12.33203125" bestFit="1" customWidth="1"/>
    <col min="24" max="24" width="12.21875" bestFit="1" customWidth="1"/>
  </cols>
  <sheetData>
    <row r="1" spans="1:24" x14ac:dyDescent="0.3">
      <c r="A1" s="9" t="s">
        <v>0</v>
      </c>
      <c r="B1" s="9" t="s">
        <v>1</v>
      </c>
      <c r="C1" s="10" t="s">
        <v>2</v>
      </c>
      <c r="D1" s="11" t="s">
        <v>3</v>
      </c>
      <c r="E1" s="10" t="s">
        <v>4</v>
      </c>
      <c r="F1" s="10" t="s">
        <v>5</v>
      </c>
      <c r="G1" s="10" t="s">
        <v>6</v>
      </c>
      <c r="H1" s="10" t="s">
        <v>7</v>
      </c>
      <c r="I1" s="10" t="s">
        <v>8</v>
      </c>
      <c r="J1" s="10" t="s">
        <v>9</v>
      </c>
      <c r="K1" s="9" t="s">
        <v>10</v>
      </c>
      <c r="L1" s="9" t="s">
        <v>1440</v>
      </c>
      <c r="M1" s="12" t="s">
        <v>1441</v>
      </c>
      <c r="N1" s="10" t="s">
        <v>1389</v>
      </c>
      <c r="O1" s="9" t="s">
        <v>1450</v>
      </c>
      <c r="P1" s="9" t="s">
        <v>1469</v>
      </c>
      <c r="Q1" s="9" t="s">
        <v>1442</v>
      </c>
      <c r="R1" s="9" t="s">
        <v>1443</v>
      </c>
      <c r="S1" s="9" t="s">
        <v>1444</v>
      </c>
      <c r="T1" s="9" t="s">
        <v>1445</v>
      </c>
      <c r="U1" s="9" t="s">
        <v>1446</v>
      </c>
      <c r="V1" s="9" t="s">
        <v>1447</v>
      </c>
      <c r="W1" s="9" t="s">
        <v>1448</v>
      </c>
      <c r="X1" s="9" t="s">
        <v>1449</v>
      </c>
    </row>
    <row r="2" spans="1:24" x14ac:dyDescent="0.3">
      <c r="A2" t="s">
        <v>11</v>
      </c>
      <c r="B2" t="s">
        <v>12</v>
      </c>
      <c r="C2" s="3">
        <v>46068</v>
      </c>
      <c r="D2" s="8" t="s">
        <v>13</v>
      </c>
      <c r="E2" s="7" t="s">
        <v>14</v>
      </c>
      <c r="F2" s="7" t="s">
        <v>15</v>
      </c>
      <c r="G2" s="7" t="s">
        <v>22</v>
      </c>
      <c r="H2" s="4">
        <v>2404.0100000000002</v>
      </c>
      <c r="I2" s="7" t="s">
        <v>16</v>
      </c>
      <c r="J2" s="7" t="s">
        <v>17</v>
      </c>
      <c r="L2" t="str">
        <f>PROPER(TRIM(SUBSTITUTE(_xlfn.XLOOKUP(B2,Cardholders_Reference!A:A,Cardholders_Reference!B:B),","," ")))</f>
        <v>Carlos Maseko</v>
      </c>
      <c r="M2" s="5">
        <f>_xlfn.XLOOKUP(B2,Cardholders_Reference!A:A,Cardholders_Reference!G:G)</f>
        <v>25000</v>
      </c>
      <c r="N2" s="7" t="str">
        <f>_xlfn.XLOOKUP(B2,Cardholders_Reference!A:A,Cardholders_Reference!D:D)</f>
        <v>Capitec</v>
      </c>
      <c r="O2" s="7" t="str">
        <f>_xlfn.XLOOKUP(B2,Cardholders_Reference!A:A,Cardholders_Reference!E:E)</f>
        <v>Mastercard</v>
      </c>
      <c r="P2" s="6">
        <f>H2/M2</f>
        <v>9.6160400000000007E-2</v>
      </c>
      <c r="Q2">
        <f t="shared" ref="Q2:Q65" si="0">IF(COUNTIFS($B$1:$B$738,B1,$G$1:$G$738,G1)/COUNTIF($B$1:$B$738,B1)&lt;0.5,1,0)</f>
        <v>0</v>
      </c>
      <c r="R2">
        <f t="shared" ref="R2:R65" si="1">IF(D2="Unknown",1,IF(OR(TIMEVALUE(D2)&lt;TIME(5,0,0),TIMEVALUE(D2)&gt;=TIME(23,0,0)),1,0))</f>
        <v>0</v>
      </c>
      <c r="S2">
        <f>IF(COUNTIFS($B$1:$B$738,B1,$C$1:$C$738,#REF!)&gt;2,1,0)</f>
        <v>0</v>
      </c>
      <c r="T2">
        <f t="shared" ref="T2:T65" si="2">IF(P1&gt;0.4,1,0)</f>
        <v>1</v>
      </c>
      <c r="U2">
        <f t="shared" ref="U2:U65" si="3">IF(OR(F1="Gambling",F1="ATM Withdrawal"),1,0)</f>
        <v>0</v>
      </c>
      <c r="V2">
        <f t="shared" ref="V2:V65" si="4">IF(OR(I2="Card Not Present (Phone)",I2="Online"),1,0)</f>
        <v>0</v>
      </c>
      <c r="W2">
        <f>SUM(Q2:V2)</f>
        <v>1</v>
      </c>
      <c r="X2" t="str" cm="1">
        <f t="array" ref="X2">_xlfn.IFS(W2&lt;=1,"Low",W2=2,"Medium",W2&gt;=3,"High")</f>
        <v>Low</v>
      </c>
    </row>
    <row r="3" spans="1:24" x14ac:dyDescent="0.3">
      <c r="A3" t="s">
        <v>18</v>
      </c>
      <c r="B3" t="s">
        <v>12</v>
      </c>
      <c r="C3" s="3">
        <v>46041</v>
      </c>
      <c r="D3" s="8" t="s">
        <v>19</v>
      </c>
      <c r="E3" s="7" t="s">
        <v>20</v>
      </c>
      <c r="F3" s="7" t="s">
        <v>21</v>
      </c>
      <c r="G3" s="7" t="s">
        <v>22</v>
      </c>
      <c r="H3" s="4">
        <v>982.64</v>
      </c>
      <c r="I3" s="7" t="s">
        <v>16</v>
      </c>
      <c r="J3" s="7" t="s">
        <v>17</v>
      </c>
      <c r="L3" t="str">
        <f>PROPER(TRIM(SUBSTITUTE(_xlfn.XLOOKUP(B3,Cardholders_Reference!A:A,Cardholders_Reference!B:B),","," ")))</f>
        <v>Carlos Maseko</v>
      </c>
      <c r="M3" s="5">
        <f>_xlfn.XLOOKUP(B3,Cardholders_Reference!A:A,Cardholders_Reference!G:G)</f>
        <v>25000</v>
      </c>
      <c r="N3" s="7" t="str">
        <f>_xlfn.XLOOKUP(B3,Cardholders_Reference!A:A,Cardholders_Reference!D:D)</f>
        <v>Capitec</v>
      </c>
      <c r="O3" s="7" t="str">
        <f>_xlfn.XLOOKUP(B3,Cardholders_Reference!A:A,Cardholders_Reference!E:E)</f>
        <v>Mastercard</v>
      </c>
      <c r="P3" s="6">
        <f t="shared" ref="P3:P66" si="5">H3/M3</f>
        <v>3.9305599999999996E-2</v>
      </c>
      <c r="Q3">
        <f t="shared" si="0"/>
        <v>0</v>
      </c>
      <c r="R3">
        <f t="shared" si="1"/>
        <v>0</v>
      </c>
      <c r="S3">
        <f>IF(COUNTIFS($B$1:$B$738,B2,$C$1:$C$738,#REF!)&gt;2,1,0)</f>
        <v>0</v>
      </c>
      <c r="T3">
        <f t="shared" si="2"/>
        <v>0</v>
      </c>
      <c r="U3">
        <f t="shared" si="3"/>
        <v>0</v>
      </c>
      <c r="V3">
        <f t="shared" si="4"/>
        <v>0</v>
      </c>
      <c r="W3">
        <f t="shared" ref="W3:W66" si="6">SUM(Q3:V3)</f>
        <v>0</v>
      </c>
      <c r="X3" t="str" cm="1">
        <f t="array" ref="X3">_xlfn.IFS(W3&lt;=1,"Low",W3=2,"Medium",W3&gt;=3,"High")</f>
        <v>Low</v>
      </c>
    </row>
    <row r="4" spans="1:24" x14ac:dyDescent="0.3">
      <c r="A4" t="s">
        <v>23</v>
      </c>
      <c r="B4" t="s">
        <v>12</v>
      </c>
      <c r="C4" s="3">
        <v>46016</v>
      </c>
      <c r="D4" s="8" t="s">
        <v>1439</v>
      </c>
      <c r="E4" s="7" t="s">
        <v>24</v>
      </c>
      <c r="F4" s="7" t="s">
        <v>25</v>
      </c>
      <c r="G4" s="7" t="s">
        <v>22</v>
      </c>
      <c r="H4" s="4">
        <v>1017.6</v>
      </c>
      <c r="I4" s="7" t="s">
        <v>26</v>
      </c>
      <c r="J4" s="7" t="s">
        <v>17</v>
      </c>
      <c r="L4" t="str">
        <f>PROPER(TRIM(SUBSTITUTE(_xlfn.XLOOKUP(B4,Cardholders_Reference!A:A,Cardholders_Reference!B:B),","," ")))</f>
        <v>Carlos Maseko</v>
      </c>
      <c r="M4" s="5">
        <f>_xlfn.XLOOKUP(B4,Cardholders_Reference!A:A,Cardholders_Reference!G:G)</f>
        <v>25000</v>
      </c>
      <c r="N4" s="7" t="str">
        <f>_xlfn.XLOOKUP(B4,Cardholders_Reference!A:A,Cardholders_Reference!D:D)</f>
        <v>Capitec</v>
      </c>
      <c r="O4" s="7" t="str">
        <f>_xlfn.XLOOKUP(B4,Cardholders_Reference!A:A,Cardholders_Reference!E:E)</f>
        <v>Mastercard</v>
      </c>
      <c r="P4" s="6">
        <f t="shared" si="5"/>
        <v>4.0704000000000004E-2</v>
      </c>
      <c r="Q4">
        <f t="shared" si="0"/>
        <v>0</v>
      </c>
      <c r="R4">
        <f t="shared" si="1"/>
        <v>1</v>
      </c>
      <c r="S4">
        <f>IF(COUNTIFS($B$1:$B$738,B3,$C$1:$C$738,#REF!)&gt;2,1,0)</f>
        <v>0</v>
      </c>
      <c r="T4">
        <f t="shared" si="2"/>
        <v>0</v>
      </c>
      <c r="U4">
        <f t="shared" si="3"/>
        <v>1</v>
      </c>
      <c r="V4">
        <f t="shared" si="4"/>
        <v>1</v>
      </c>
      <c r="W4">
        <f t="shared" si="6"/>
        <v>3</v>
      </c>
      <c r="X4" t="str" cm="1">
        <f t="array" ref="X4">_xlfn.IFS(W4&lt;=1,"Low",W4=2,"Medium",W4&gt;=3,"High")</f>
        <v>High</v>
      </c>
    </row>
    <row r="5" spans="1:24" x14ac:dyDescent="0.3">
      <c r="A5" t="s">
        <v>27</v>
      </c>
      <c r="B5" t="s">
        <v>12</v>
      </c>
      <c r="C5" s="3">
        <v>45696</v>
      </c>
      <c r="D5" s="8" t="s">
        <v>28</v>
      </c>
      <c r="E5" s="7" t="s">
        <v>14</v>
      </c>
      <c r="F5" s="7" t="s">
        <v>15</v>
      </c>
      <c r="G5" s="7" t="s">
        <v>22</v>
      </c>
      <c r="H5" s="4">
        <v>982.43</v>
      </c>
      <c r="I5" s="7" t="s">
        <v>16</v>
      </c>
      <c r="J5" s="7" t="s">
        <v>17</v>
      </c>
      <c r="L5" t="str">
        <f>PROPER(TRIM(SUBSTITUTE(_xlfn.XLOOKUP(B5,Cardholders_Reference!A:A,Cardholders_Reference!B:B),","," ")))</f>
        <v>Carlos Maseko</v>
      </c>
      <c r="M5" s="5">
        <f>_xlfn.XLOOKUP(B5,Cardholders_Reference!A:A,Cardholders_Reference!G:G)</f>
        <v>25000</v>
      </c>
      <c r="N5" s="7" t="str">
        <f>_xlfn.XLOOKUP(B5,Cardholders_Reference!A:A,Cardholders_Reference!D:D)</f>
        <v>Capitec</v>
      </c>
      <c r="O5" s="7" t="str">
        <f>_xlfn.XLOOKUP(B5,Cardholders_Reference!A:A,Cardholders_Reference!E:E)</f>
        <v>Mastercard</v>
      </c>
      <c r="P5" s="6">
        <f t="shared" si="5"/>
        <v>3.9297199999999997E-2</v>
      </c>
      <c r="Q5">
        <f t="shared" si="0"/>
        <v>0</v>
      </c>
      <c r="R5">
        <f t="shared" si="1"/>
        <v>0</v>
      </c>
      <c r="S5">
        <f>IF(COUNTIFS($B$1:$B$738,B4,$C$1:$C$738,#REF!)&gt;2,1,0)</f>
        <v>0</v>
      </c>
      <c r="T5">
        <f t="shared" si="2"/>
        <v>0</v>
      </c>
      <c r="U5">
        <f t="shared" si="3"/>
        <v>0</v>
      </c>
      <c r="V5">
        <f t="shared" si="4"/>
        <v>0</v>
      </c>
      <c r="W5">
        <f t="shared" si="6"/>
        <v>0</v>
      </c>
      <c r="X5" t="str" cm="1">
        <f t="array" ref="X5">_xlfn.IFS(W5&lt;=1,"Low",W5=2,"Medium",W5&gt;=3,"High")</f>
        <v>Low</v>
      </c>
    </row>
    <row r="6" spans="1:24" x14ac:dyDescent="0.3">
      <c r="A6" t="s">
        <v>29</v>
      </c>
      <c r="B6" t="s">
        <v>12</v>
      </c>
      <c r="C6" s="3">
        <v>45661</v>
      </c>
      <c r="D6" s="8" t="s">
        <v>30</v>
      </c>
      <c r="E6" s="7" t="s">
        <v>31</v>
      </c>
      <c r="F6" s="7" t="s">
        <v>25</v>
      </c>
      <c r="G6" s="7" t="s">
        <v>22</v>
      </c>
      <c r="H6" s="4">
        <v>985.17</v>
      </c>
      <c r="I6" s="7" t="s">
        <v>32</v>
      </c>
      <c r="J6" s="7" t="s">
        <v>17</v>
      </c>
      <c r="L6" t="str">
        <f>PROPER(TRIM(SUBSTITUTE(_xlfn.XLOOKUP(B6,Cardholders_Reference!A:A,Cardholders_Reference!B:B),","," ")))</f>
        <v>Carlos Maseko</v>
      </c>
      <c r="M6" s="5">
        <f>_xlfn.XLOOKUP(B6,Cardholders_Reference!A:A,Cardholders_Reference!G:G)</f>
        <v>25000</v>
      </c>
      <c r="N6" s="7" t="str">
        <f>_xlfn.XLOOKUP(B6,Cardholders_Reference!A:A,Cardholders_Reference!D:D)</f>
        <v>Capitec</v>
      </c>
      <c r="O6" s="7" t="str">
        <f>_xlfn.XLOOKUP(B6,Cardholders_Reference!A:A,Cardholders_Reference!E:E)</f>
        <v>Mastercard</v>
      </c>
      <c r="P6" s="6">
        <f t="shared" si="5"/>
        <v>3.9406799999999999E-2</v>
      </c>
      <c r="Q6">
        <f t="shared" si="0"/>
        <v>0</v>
      </c>
      <c r="R6">
        <f t="shared" si="1"/>
        <v>0</v>
      </c>
      <c r="S6">
        <f>IF(COUNTIFS($B$1:$B$738,B5,$C$1:$C$738,#REF!)&gt;2,1,0)</f>
        <v>0</v>
      </c>
      <c r="T6">
        <f t="shared" si="2"/>
        <v>0</v>
      </c>
      <c r="U6">
        <f t="shared" si="3"/>
        <v>0</v>
      </c>
      <c r="V6">
        <f t="shared" si="4"/>
        <v>0</v>
      </c>
      <c r="W6">
        <f t="shared" si="6"/>
        <v>0</v>
      </c>
      <c r="X6" t="str" cm="1">
        <f t="array" ref="X6">_xlfn.IFS(W6&lt;=1,"Low",W6=2,"Medium",W6&gt;=3,"High")</f>
        <v>Low</v>
      </c>
    </row>
    <row r="7" spans="1:24" x14ac:dyDescent="0.3">
      <c r="A7" t="s">
        <v>33</v>
      </c>
      <c r="B7" t="s">
        <v>12</v>
      </c>
      <c r="C7" s="3">
        <v>46513</v>
      </c>
      <c r="D7" s="8" t="s">
        <v>34</v>
      </c>
      <c r="E7" s="7" t="s">
        <v>35</v>
      </c>
      <c r="F7" s="7" t="s">
        <v>36</v>
      </c>
      <c r="G7" s="7" t="s">
        <v>22</v>
      </c>
      <c r="H7" s="4">
        <v>123.43</v>
      </c>
      <c r="I7" s="7" t="s">
        <v>16</v>
      </c>
      <c r="J7" s="7" t="s">
        <v>17</v>
      </c>
      <c r="L7" t="str">
        <f>PROPER(TRIM(SUBSTITUTE(_xlfn.XLOOKUP(B7,Cardholders_Reference!A:A,Cardholders_Reference!B:B),","," ")))</f>
        <v>Carlos Maseko</v>
      </c>
      <c r="M7" s="5">
        <f>_xlfn.XLOOKUP(B7,Cardholders_Reference!A:A,Cardholders_Reference!G:G)</f>
        <v>25000</v>
      </c>
      <c r="N7" s="7" t="str">
        <f>_xlfn.XLOOKUP(B7,Cardholders_Reference!A:A,Cardholders_Reference!D:D)</f>
        <v>Capitec</v>
      </c>
      <c r="O7" s="7" t="str">
        <f>_xlfn.XLOOKUP(B7,Cardholders_Reference!A:A,Cardholders_Reference!E:E)</f>
        <v>Mastercard</v>
      </c>
      <c r="P7" s="6">
        <f t="shared" si="5"/>
        <v>4.9372000000000001E-3</v>
      </c>
      <c r="Q7">
        <f t="shared" si="0"/>
        <v>0</v>
      </c>
      <c r="R7">
        <f t="shared" si="1"/>
        <v>0</v>
      </c>
      <c r="S7">
        <f>IF(COUNTIFS($B$1:$B$738,B6,$C$1:$C$738,#REF!)&gt;2,1,0)</f>
        <v>0</v>
      </c>
      <c r="T7">
        <f t="shared" si="2"/>
        <v>0</v>
      </c>
      <c r="U7">
        <f t="shared" si="3"/>
        <v>0</v>
      </c>
      <c r="V7">
        <f t="shared" si="4"/>
        <v>0</v>
      </c>
      <c r="W7">
        <f t="shared" si="6"/>
        <v>0</v>
      </c>
      <c r="X7" t="str" cm="1">
        <f t="array" ref="X7">_xlfn.IFS(W7&lt;=1,"Low",W7=2,"Medium",W7&gt;=3,"High")</f>
        <v>Low</v>
      </c>
    </row>
    <row r="8" spans="1:24" x14ac:dyDescent="0.3">
      <c r="A8" t="s">
        <v>37</v>
      </c>
      <c r="B8" t="s">
        <v>12</v>
      </c>
      <c r="C8" s="3">
        <v>46193</v>
      </c>
      <c r="D8" s="8" t="s">
        <v>38</v>
      </c>
      <c r="E8" s="7" t="s">
        <v>39</v>
      </c>
      <c r="F8" s="7" t="s">
        <v>40</v>
      </c>
      <c r="G8" s="7" t="s">
        <v>22</v>
      </c>
      <c r="H8" s="4">
        <v>314.22000000000003</v>
      </c>
      <c r="I8" s="7" t="s">
        <v>26</v>
      </c>
      <c r="J8" s="7" t="s">
        <v>41</v>
      </c>
      <c r="L8" t="str">
        <f>PROPER(TRIM(SUBSTITUTE(_xlfn.XLOOKUP(B8,Cardholders_Reference!A:A,Cardholders_Reference!B:B),","," ")))</f>
        <v>Carlos Maseko</v>
      </c>
      <c r="M8" s="5">
        <f>_xlfn.XLOOKUP(B8,Cardholders_Reference!A:A,Cardholders_Reference!G:G)</f>
        <v>25000</v>
      </c>
      <c r="N8" s="7" t="str">
        <f>_xlfn.XLOOKUP(B8,Cardholders_Reference!A:A,Cardholders_Reference!D:D)</f>
        <v>Capitec</v>
      </c>
      <c r="O8" s="7" t="str">
        <f>_xlfn.XLOOKUP(B8,Cardholders_Reference!A:A,Cardholders_Reference!E:E)</f>
        <v>Mastercard</v>
      </c>
      <c r="P8" s="6">
        <f t="shared" si="5"/>
        <v>1.2568800000000001E-2</v>
      </c>
      <c r="Q8">
        <f t="shared" si="0"/>
        <v>0</v>
      </c>
      <c r="R8">
        <f t="shared" si="1"/>
        <v>0</v>
      </c>
      <c r="S8">
        <f>IF(COUNTIFS($B$1:$B$738,B7,$C$1:$C$738,#REF!)&gt;2,1,0)</f>
        <v>0</v>
      </c>
      <c r="T8">
        <f t="shared" si="2"/>
        <v>0</v>
      </c>
      <c r="U8">
        <f t="shared" si="3"/>
        <v>0</v>
      </c>
      <c r="V8">
        <f t="shared" si="4"/>
        <v>1</v>
      </c>
      <c r="W8">
        <f t="shared" si="6"/>
        <v>1</v>
      </c>
      <c r="X8" t="str" cm="1">
        <f t="array" ref="X8">_xlfn.IFS(W8&lt;=1,"Low",W8=2,"Medium",W8&gt;=3,"High")</f>
        <v>Low</v>
      </c>
    </row>
    <row r="9" spans="1:24" x14ac:dyDescent="0.3">
      <c r="A9" t="s">
        <v>42</v>
      </c>
      <c r="B9" t="s">
        <v>12</v>
      </c>
      <c r="C9" s="3">
        <v>45931</v>
      </c>
      <c r="D9" s="8" t="s">
        <v>43</v>
      </c>
      <c r="E9" s="7" t="s">
        <v>44</v>
      </c>
      <c r="F9" s="7" t="s">
        <v>25</v>
      </c>
      <c r="G9" s="7" t="s">
        <v>22</v>
      </c>
      <c r="H9" s="4">
        <v>979.18</v>
      </c>
      <c r="I9" s="7" t="s">
        <v>32</v>
      </c>
      <c r="J9" s="7" t="s">
        <v>17</v>
      </c>
      <c r="L9" t="str">
        <f>PROPER(TRIM(SUBSTITUTE(_xlfn.XLOOKUP(B9,Cardholders_Reference!A:A,Cardholders_Reference!B:B),","," ")))</f>
        <v>Carlos Maseko</v>
      </c>
      <c r="M9" s="5">
        <f>_xlfn.XLOOKUP(B9,Cardholders_Reference!A:A,Cardholders_Reference!G:G)</f>
        <v>25000</v>
      </c>
      <c r="N9" s="7" t="str">
        <f>_xlfn.XLOOKUP(B9,Cardholders_Reference!A:A,Cardholders_Reference!D:D)</f>
        <v>Capitec</v>
      </c>
      <c r="O9" s="7" t="str">
        <f>_xlfn.XLOOKUP(B9,Cardholders_Reference!A:A,Cardholders_Reference!E:E)</f>
        <v>Mastercard</v>
      </c>
      <c r="P9" s="6">
        <f t="shared" si="5"/>
        <v>3.9167199999999999E-2</v>
      </c>
      <c r="Q9">
        <f t="shared" si="0"/>
        <v>0</v>
      </c>
      <c r="R9">
        <f t="shared" si="1"/>
        <v>0</v>
      </c>
      <c r="S9">
        <f>IF(COUNTIFS($B$1:$B$738,B8,$C$1:$C$738,#REF!)&gt;2,1,0)</f>
        <v>0</v>
      </c>
      <c r="T9">
        <f t="shared" si="2"/>
        <v>0</v>
      </c>
      <c r="U9">
        <f t="shared" si="3"/>
        <v>0</v>
      </c>
      <c r="V9">
        <f t="shared" si="4"/>
        <v>0</v>
      </c>
      <c r="W9">
        <f t="shared" si="6"/>
        <v>0</v>
      </c>
      <c r="X9" t="str" cm="1">
        <f t="array" ref="X9">_xlfn.IFS(W9&lt;=1,"Low",W9=2,"Medium",W9&gt;=3,"High")</f>
        <v>Low</v>
      </c>
    </row>
    <row r="10" spans="1:24" x14ac:dyDescent="0.3">
      <c r="A10" t="s">
        <v>45</v>
      </c>
      <c r="B10" t="s">
        <v>12</v>
      </c>
      <c r="C10" s="3">
        <v>45727</v>
      </c>
      <c r="D10" s="8" t="s">
        <v>46</v>
      </c>
      <c r="E10" s="7" t="s">
        <v>47</v>
      </c>
      <c r="F10" s="7" t="s">
        <v>48</v>
      </c>
      <c r="G10" s="7" t="s">
        <v>49</v>
      </c>
      <c r="H10" s="4">
        <v>1222.8900000000001</v>
      </c>
      <c r="I10" s="7" t="s">
        <v>32</v>
      </c>
      <c r="J10" s="7" t="s">
        <v>17</v>
      </c>
      <c r="L10" t="str">
        <f>PROPER(TRIM(SUBSTITUTE(_xlfn.XLOOKUP(B10,Cardholders_Reference!A:A,Cardholders_Reference!B:B),","," ")))</f>
        <v>Carlos Maseko</v>
      </c>
      <c r="M10" s="5">
        <f>_xlfn.XLOOKUP(B10,Cardholders_Reference!A:A,Cardholders_Reference!G:G)</f>
        <v>25000</v>
      </c>
      <c r="N10" s="7" t="str">
        <f>_xlfn.XLOOKUP(B10,Cardholders_Reference!A:A,Cardholders_Reference!D:D)</f>
        <v>Capitec</v>
      </c>
      <c r="O10" s="7" t="str">
        <f>_xlfn.XLOOKUP(B10,Cardholders_Reference!A:A,Cardholders_Reference!E:E)</f>
        <v>Mastercard</v>
      </c>
      <c r="P10" s="6">
        <f t="shared" si="5"/>
        <v>4.8915600000000004E-2</v>
      </c>
      <c r="Q10">
        <f t="shared" si="0"/>
        <v>0</v>
      </c>
      <c r="R10">
        <f t="shared" si="1"/>
        <v>0</v>
      </c>
      <c r="S10">
        <f>IF(COUNTIFS($B$1:$B$738,B9,$C$1:$C$738,#REF!)&gt;2,1,0)</f>
        <v>0</v>
      </c>
      <c r="T10">
        <f t="shared" si="2"/>
        <v>0</v>
      </c>
      <c r="U10">
        <f t="shared" si="3"/>
        <v>0</v>
      </c>
      <c r="V10">
        <f t="shared" si="4"/>
        <v>0</v>
      </c>
      <c r="W10">
        <f t="shared" si="6"/>
        <v>0</v>
      </c>
      <c r="X10" t="str" cm="1">
        <f t="array" ref="X10">_xlfn.IFS(W10&lt;=1,"Low",W10=2,"Medium",W10&gt;=3,"High")</f>
        <v>Low</v>
      </c>
    </row>
    <row r="11" spans="1:24" x14ac:dyDescent="0.3">
      <c r="A11" t="s">
        <v>50</v>
      </c>
      <c r="B11" t="s">
        <v>12</v>
      </c>
      <c r="C11" s="3">
        <v>46085</v>
      </c>
      <c r="D11" s="8" t="s">
        <v>51</v>
      </c>
      <c r="E11" s="7" t="s">
        <v>52</v>
      </c>
      <c r="F11" s="7" t="s">
        <v>53</v>
      </c>
      <c r="G11" s="7" t="s">
        <v>22</v>
      </c>
      <c r="H11" s="4">
        <v>880.73</v>
      </c>
      <c r="I11" s="7" t="s">
        <v>32</v>
      </c>
      <c r="J11" s="7" t="s">
        <v>17</v>
      </c>
      <c r="L11" t="str">
        <f>PROPER(TRIM(SUBSTITUTE(_xlfn.XLOOKUP(B11,Cardholders_Reference!A:A,Cardholders_Reference!B:B),","," ")))</f>
        <v>Carlos Maseko</v>
      </c>
      <c r="M11" s="5">
        <f>_xlfn.XLOOKUP(B11,Cardholders_Reference!A:A,Cardholders_Reference!G:G)</f>
        <v>25000</v>
      </c>
      <c r="N11" s="7" t="str">
        <f>_xlfn.XLOOKUP(B11,Cardholders_Reference!A:A,Cardholders_Reference!D:D)</f>
        <v>Capitec</v>
      </c>
      <c r="O11" s="7" t="str">
        <f>_xlfn.XLOOKUP(B11,Cardholders_Reference!A:A,Cardholders_Reference!E:E)</f>
        <v>Mastercard</v>
      </c>
      <c r="P11" s="6">
        <f t="shared" si="5"/>
        <v>3.5229200000000002E-2</v>
      </c>
      <c r="Q11">
        <f t="shared" si="0"/>
        <v>1</v>
      </c>
      <c r="R11">
        <f t="shared" si="1"/>
        <v>0</v>
      </c>
      <c r="S11">
        <f>IF(COUNTIFS($B$1:$B$738,B10,$C$1:$C$738,#REF!)&gt;2,1,0)</f>
        <v>0</v>
      </c>
      <c r="T11">
        <f t="shared" si="2"/>
        <v>0</v>
      </c>
      <c r="U11">
        <f t="shared" si="3"/>
        <v>0</v>
      </c>
      <c r="V11">
        <f t="shared" si="4"/>
        <v>0</v>
      </c>
      <c r="W11">
        <f t="shared" si="6"/>
        <v>1</v>
      </c>
      <c r="X11" t="str" cm="1">
        <f t="array" ref="X11">_xlfn.IFS(W11&lt;=1,"Low",W11=2,"Medium",W11&gt;=3,"High")</f>
        <v>Low</v>
      </c>
    </row>
    <row r="12" spans="1:24" x14ac:dyDescent="0.3">
      <c r="A12" t="s">
        <v>54</v>
      </c>
      <c r="B12" t="s">
        <v>55</v>
      </c>
      <c r="C12" s="3">
        <v>45935</v>
      </c>
      <c r="D12" s="8" t="s">
        <v>56</v>
      </c>
      <c r="E12" s="7" t="s">
        <v>57</v>
      </c>
      <c r="F12" s="7" t="s">
        <v>36</v>
      </c>
      <c r="G12" s="7" t="s">
        <v>22</v>
      </c>
      <c r="H12" s="4">
        <v>562.54</v>
      </c>
      <c r="I12" s="7" t="s">
        <v>26</v>
      </c>
      <c r="J12" s="7" t="s">
        <v>17</v>
      </c>
      <c r="L12" t="str">
        <f>PROPER(TRIM(SUBSTITUTE(_xlfn.XLOOKUP(B12,Cardholders_Reference!A:A,Cardholders_Reference!B:B),","," ")))</f>
        <v>Fatima Adams</v>
      </c>
      <c r="M12" s="5">
        <f>_xlfn.XLOOKUP(B12,Cardholders_Reference!A:A,Cardholders_Reference!G:G)</f>
        <v>20000</v>
      </c>
      <c r="N12" s="7" t="str">
        <f>_xlfn.XLOOKUP(B12,Cardholders_Reference!A:A,Cardholders_Reference!D:D)</f>
        <v>Standard Bank</v>
      </c>
      <c r="O12" s="7" t="str">
        <f>_xlfn.XLOOKUP(B12,Cardholders_Reference!A:A,Cardholders_Reference!E:E)</f>
        <v>Visa</v>
      </c>
      <c r="P12" s="6">
        <f t="shared" si="5"/>
        <v>2.8126999999999999E-2</v>
      </c>
      <c r="Q12">
        <f t="shared" si="0"/>
        <v>0</v>
      </c>
      <c r="R12">
        <f t="shared" si="1"/>
        <v>0</v>
      </c>
      <c r="S12">
        <f>IF(COUNTIFS($B$1:$B$738,B11,$C$1:$C$738,#REF!)&gt;2,1,0)</f>
        <v>0</v>
      </c>
      <c r="T12">
        <f t="shared" si="2"/>
        <v>0</v>
      </c>
      <c r="U12">
        <f t="shared" si="3"/>
        <v>0</v>
      </c>
      <c r="V12">
        <f t="shared" si="4"/>
        <v>1</v>
      </c>
      <c r="W12">
        <f t="shared" si="6"/>
        <v>1</v>
      </c>
      <c r="X12" t="str" cm="1">
        <f t="array" ref="X12">_xlfn.IFS(W12&lt;=1,"Low",W12=2,"Medium",W12&gt;=3,"High")</f>
        <v>Low</v>
      </c>
    </row>
    <row r="13" spans="1:24" x14ac:dyDescent="0.3">
      <c r="A13" t="s">
        <v>58</v>
      </c>
      <c r="B13" t="s">
        <v>55</v>
      </c>
      <c r="C13" s="3">
        <v>46150</v>
      </c>
      <c r="D13" s="8" t="s">
        <v>59</v>
      </c>
      <c r="E13" s="7" t="s">
        <v>60</v>
      </c>
      <c r="F13" s="7" t="s">
        <v>61</v>
      </c>
      <c r="G13" s="7" t="s">
        <v>22</v>
      </c>
      <c r="H13" s="4">
        <v>5562.16</v>
      </c>
      <c r="I13" s="7" t="s">
        <v>16</v>
      </c>
      <c r="J13" s="7" t="s">
        <v>17</v>
      </c>
      <c r="L13" t="str">
        <f>PROPER(TRIM(SUBSTITUTE(_xlfn.XLOOKUP(B13,Cardholders_Reference!A:A,Cardholders_Reference!B:B),","," ")))</f>
        <v>Fatima Adams</v>
      </c>
      <c r="M13" s="5">
        <f>_xlfn.XLOOKUP(B13,Cardholders_Reference!A:A,Cardholders_Reference!G:G)</f>
        <v>20000</v>
      </c>
      <c r="N13" s="7" t="str">
        <f>_xlfn.XLOOKUP(B13,Cardholders_Reference!A:A,Cardholders_Reference!D:D)</f>
        <v>Standard Bank</v>
      </c>
      <c r="O13" s="7" t="str">
        <f>_xlfn.XLOOKUP(B13,Cardholders_Reference!A:A,Cardholders_Reference!E:E)</f>
        <v>Visa</v>
      </c>
      <c r="P13" s="6">
        <f t="shared" si="5"/>
        <v>0.27810799999999997</v>
      </c>
      <c r="Q13">
        <f t="shared" si="0"/>
        <v>0</v>
      </c>
      <c r="R13">
        <f t="shared" si="1"/>
        <v>0</v>
      </c>
      <c r="S13">
        <f>IF(COUNTIFS($B$1:$B$738,B12,$C$1:$C$738,#REF!)&gt;2,1,0)</f>
        <v>0</v>
      </c>
      <c r="T13">
        <f t="shared" si="2"/>
        <v>0</v>
      </c>
      <c r="U13">
        <f t="shared" si="3"/>
        <v>0</v>
      </c>
      <c r="V13">
        <f t="shared" si="4"/>
        <v>0</v>
      </c>
      <c r="W13">
        <f t="shared" si="6"/>
        <v>0</v>
      </c>
      <c r="X13" t="str" cm="1">
        <f t="array" ref="X13">_xlfn.IFS(W13&lt;=1,"Low",W13=2,"Medium",W13&gt;=3,"High")</f>
        <v>Low</v>
      </c>
    </row>
    <row r="14" spans="1:24" x14ac:dyDescent="0.3">
      <c r="A14" t="s">
        <v>62</v>
      </c>
      <c r="B14" t="s">
        <v>55</v>
      </c>
      <c r="C14" s="3">
        <v>45826</v>
      </c>
      <c r="D14" s="8" t="s">
        <v>63</v>
      </c>
      <c r="E14" s="7" t="s">
        <v>64</v>
      </c>
      <c r="F14" s="7" t="s">
        <v>65</v>
      </c>
      <c r="G14" s="7" t="s">
        <v>22</v>
      </c>
      <c r="H14" s="4">
        <v>1757.45</v>
      </c>
      <c r="I14" s="7" t="s">
        <v>32</v>
      </c>
      <c r="J14" s="7" t="s">
        <v>17</v>
      </c>
      <c r="L14" t="str">
        <f>PROPER(TRIM(SUBSTITUTE(_xlfn.XLOOKUP(B14,Cardholders_Reference!A:A,Cardholders_Reference!B:B),","," ")))</f>
        <v>Fatima Adams</v>
      </c>
      <c r="M14" s="5">
        <f>_xlfn.XLOOKUP(B14,Cardholders_Reference!A:A,Cardholders_Reference!G:G)</f>
        <v>20000</v>
      </c>
      <c r="N14" s="7" t="str">
        <f>_xlfn.XLOOKUP(B14,Cardholders_Reference!A:A,Cardholders_Reference!D:D)</f>
        <v>Standard Bank</v>
      </c>
      <c r="O14" s="7" t="str">
        <f>_xlfn.XLOOKUP(B14,Cardholders_Reference!A:A,Cardholders_Reference!E:E)</f>
        <v>Visa</v>
      </c>
      <c r="P14" s="6">
        <f t="shared" si="5"/>
        <v>8.7872500000000006E-2</v>
      </c>
      <c r="Q14">
        <f t="shared" si="0"/>
        <v>0</v>
      </c>
      <c r="R14">
        <f t="shared" si="1"/>
        <v>0</v>
      </c>
      <c r="S14">
        <f>IF(COUNTIFS($B$1:$B$738,B13,$C$1:$C$738,#REF!)&gt;2,1,0)</f>
        <v>0</v>
      </c>
      <c r="T14">
        <f t="shared" si="2"/>
        <v>0</v>
      </c>
      <c r="U14">
        <f t="shared" si="3"/>
        <v>0</v>
      </c>
      <c r="V14">
        <f t="shared" si="4"/>
        <v>0</v>
      </c>
      <c r="W14">
        <f t="shared" si="6"/>
        <v>0</v>
      </c>
      <c r="X14" t="str" cm="1">
        <f t="array" ref="X14">_xlfn.IFS(W14&lt;=1,"Low",W14=2,"Medium",W14&gt;=3,"High")</f>
        <v>Low</v>
      </c>
    </row>
    <row r="15" spans="1:24" x14ac:dyDescent="0.3">
      <c r="A15" t="s">
        <v>66</v>
      </c>
      <c r="B15" t="s">
        <v>55</v>
      </c>
      <c r="C15" s="3">
        <v>46088</v>
      </c>
      <c r="D15" s="8" t="s">
        <v>67</v>
      </c>
      <c r="E15" s="7" t="s">
        <v>24</v>
      </c>
      <c r="F15" s="7" t="s">
        <v>25</v>
      </c>
      <c r="G15" s="7" t="s">
        <v>22</v>
      </c>
      <c r="H15" s="4">
        <v>1052.71</v>
      </c>
      <c r="I15" s="7" t="s">
        <v>26</v>
      </c>
      <c r="J15" s="7" t="s">
        <v>17</v>
      </c>
      <c r="L15" t="str">
        <f>PROPER(TRIM(SUBSTITUTE(_xlfn.XLOOKUP(B15,Cardholders_Reference!A:A,Cardholders_Reference!B:B),","," ")))</f>
        <v>Fatima Adams</v>
      </c>
      <c r="M15" s="5">
        <f>_xlfn.XLOOKUP(B15,Cardholders_Reference!A:A,Cardholders_Reference!G:G)</f>
        <v>20000</v>
      </c>
      <c r="N15" s="7" t="str">
        <f>_xlfn.XLOOKUP(B15,Cardholders_Reference!A:A,Cardholders_Reference!D:D)</f>
        <v>Standard Bank</v>
      </c>
      <c r="O15" s="7" t="str">
        <f>_xlfn.XLOOKUP(B15,Cardholders_Reference!A:A,Cardholders_Reference!E:E)</f>
        <v>Visa</v>
      </c>
      <c r="P15" s="6">
        <f t="shared" si="5"/>
        <v>5.2635500000000002E-2</v>
      </c>
      <c r="Q15">
        <f t="shared" si="0"/>
        <v>0</v>
      </c>
      <c r="R15">
        <f t="shared" si="1"/>
        <v>0</v>
      </c>
      <c r="S15">
        <f>IF(COUNTIFS($B$1:$B$738,B14,$C$1:$C$738,#REF!)&gt;2,1,0)</f>
        <v>0</v>
      </c>
      <c r="T15">
        <f t="shared" si="2"/>
        <v>0</v>
      </c>
      <c r="U15">
        <f t="shared" si="3"/>
        <v>1</v>
      </c>
      <c r="V15">
        <f t="shared" si="4"/>
        <v>1</v>
      </c>
      <c r="W15">
        <f t="shared" si="6"/>
        <v>2</v>
      </c>
      <c r="X15" t="str" cm="1">
        <f t="array" ref="X15">_xlfn.IFS(W15&lt;=1,"Low",W15=2,"Medium",W15&gt;=3,"High")</f>
        <v>Medium</v>
      </c>
    </row>
    <row r="16" spans="1:24" x14ac:dyDescent="0.3">
      <c r="A16" t="s">
        <v>68</v>
      </c>
      <c r="B16" t="s">
        <v>55</v>
      </c>
      <c r="C16" s="3">
        <v>45964</v>
      </c>
      <c r="D16" s="8" t="s">
        <v>69</v>
      </c>
      <c r="E16" s="7" t="s">
        <v>70</v>
      </c>
      <c r="F16" s="7" t="s">
        <v>36</v>
      </c>
      <c r="G16" s="7" t="s">
        <v>22</v>
      </c>
      <c r="H16" s="4">
        <v>250.36</v>
      </c>
      <c r="I16" s="7" t="s">
        <v>16</v>
      </c>
      <c r="J16" s="7" t="s">
        <v>17</v>
      </c>
      <c r="L16" t="str">
        <f>PROPER(TRIM(SUBSTITUTE(_xlfn.XLOOKUP(B16,Cardholders_Reference!A:A,Cardholders_Reference!B:B),","," ")))</f>
        <v>Fatima Adams</v>
      </c>
      <c r="M16" s="5">
        <f>_xlfn.XLOOKUP(B16,Cardholders_Reference!A:A,Cardholders_Reference!G:G)</f>
        <v>20000</v>
      </c>
      <c r="N16" s="7" t="str">
        <f>_xlfn.XLOOKUP(B16,Cardholders_Reference!A:A,Cardholders_Reference!D:D)</f>
        <v>Standard Bank</v>
      </c>
      <c r="O16" s="7" t="str">
        <f>_xlfn.XLOOKUP(B16,Cardholders_Reference!A:A,Cardholders_Reference!E:E)</f>
        <v>Visa</v>
      </c>
      <c r="P16" s="6">
        <f t="shared" si="5"/>
        <v>1.2518000000000001E-2</v>
      </c>
      <c r="Q16">
        <f t="shared" si="0"/>
        <v>0</v>
      </c>
      <c r="R16">
        <f t="shared" si="1"/>
        <v>0</v>
      </c>
      <c r="S16">
        <f>IF(COUNTIFS($B$1:$B$738,B15,$C$1:$C$738,#REF!)&gt;2,1,0)</f>
        <v>0</v>
      </c>
      <c r="T16">
        <f t="shared" si="2"/>
        <v>0</v>
      </c>
      <c r="U16">
        <f t="shared" si="3"/>
        <v>0</v>
      </c>
      <c r="V16">
        <f t="shared" si="4"/>
        <v>0</v>
      </c>
      <c r="W16">
        <f t="shared" si="6"/>
        <v>0</v>
      </c>
      <c r="X16" t="str" cm="1">
        <f t="array" ref="X16">_xlfn.IFS(W16&lt;=1,"Low",W16=2,"Medium",W16&gt;=3,"High")</f>
        <v>Low</v>
      </c>
    </row>
    <row r="17" spans="1:24" x14ac:dyDescent="0.3">
      <c r="A17" t="s">
        <v>71</v>
      </c>
      <c r="B17" t="s">
        <v>55</v>
      </c>
      <c r="C17" s="3">
        <v>45946</v>
      </c>
      <c r="D17" s="8" t="s">
        <v>72</v>
      </c>
      <c r="E17" s="7" t="s">
        <v>73</v>
      </c>
      <c r="F17" s="7" t="s">
        <v>74</v>
      </c>
      <c r="G17" s="7" t="s">
        <v>22</v>
      </c>
      <c r="H17" s="4">
        <v>328.01</v>
      </c>
      <c r="I17" s="7" t="s">
        <v>16</v>
      </c>
      <c r="J17" s="7" t="s">
        <v>17</v>
      </c>
      <c r="L17" t="str">
        <f>PROPER(TRIM(SUBSTITUTE(_xlfn.XLOOKUP(B17,Cardholders_Reference!A:A,Cardholders_Reference!B:B),","," ")))</f>
        <v>Fatima Adams</v>
      </c>
      <c r="M17" s="5">
        <f>_xlfn.XLOOKUP(B17,Cardholders_Reference!A:A,Cardholders_Reference!G:G)</f>
        <v>20000</v>
      </c>
      <c r="N17" s="7" t="str">
        <f>_xlfn.XLOOKUP(B17,Cardholders_Reference!A:A,Cardholders_Reference!D:D)</f>
        <v>Standard Bank</v>
      </c>
      <c r="O17" s="7" t="str">
        <f>_xlfn.XLOOKUP(B17,Cardholders_Reference!A:A,Cardholders_Reference!E:E)</f>
        <v>Visa</v>
      </c>
      <c r="P17" s="6">
        <f t="shared" si="5"/>
        <v>1.6400499999999998E-2</v>
      </c>
      <c r="Q17">
        <f t="shared" si="0"/>
        <v>0</v>
      </c>
      <c r="R17">
        <f t="shared" si="1"/>
        <v>0</v>
      </c>
      <c r="S17">
        <f>IF(COUNTIFS($B$1:$B$738,B16,$C$1:$C$738,#REF!)&gt;2,1,0)</f>
        <v>0</v>
      </c>
      <c r="T17">
        <f t="shared" si="2"/>
        <v>0</v>
      </c>
      <c r="U17">
        <f t="shared" si="3"/>
        <v>0</v>
      </c>
      <c r="V17">
        <f t="shared" si="4"/>
        <v>0</v>
      </c>
      <c r="W17">
        <f t="shared" si="6"/>
        <v>0</v>
      </c>
      <c r="X17" t="str" cm="1">
        <f t="array" ref="X17">_xlfn.IFS(W17&lt;=1,"Low",W17=2,"Medium",W17&gt;=3,"High")</f>
        <v>Low</v>
      </c>
    </row>
    <row r="18" spans="1:24" x14ac:dyDescent="0.3">
      <c r="A18" t="s">
        <v>75</v>
      </c>
      <c r="B18" t="s">
        <v>55</v>
      </c>
      <c r="C18" s="3">
        <v>45915</v>
      </c>
      <c r="D18" s="8" t="s">
        <v>76</v>
      </c>
      <c r="E18" s="7" t="s">
        <v>77</v>
      </c>
      <c r="F18" s="7" t="s">
        <v>15</v>
      </c>
      <c r="G18" s="7" t="s">
        <v>264</v>
      </c>
      <c r="H18" s="4">
        <v>1267.71</v>
      </c>
      <c r="I18" s="7" t="s">
        <v>26</v>
      </c>
      <c r="J18" s="7" t="s">
        <v>17</v>
      </c>
      <c r="L18" t="str">
        <f>PROPER(TRIM(SUBSTITUTE(_xlfn.XLOOKUP(B18,Cardholders_Reference!A:A,Cardholders_Reference!B:B),","," ")))</f>
        <v>Fatima Adams</v>
      </c>
      <c r="M18" s="5">
        <f>_xlfn.XLOOKUP(B18,Cardholders_Reference!A:A,Cardholders_Reference!G:G)</f>
        <v>20000</v>
      </c>
      <c r="N18" s="7" t="str">
        <f>_xlfn.XLOOKUP(B18,Cardholders_Reference!A:A,Cardholders_Reference!D:D)</f>
        <v>Standard Bank</v>
      </c>
      <c r="O18" s="7" t="str">
        <f>_xlfn.XLOOKUP(B18,Cardholders_Reference!A:A,Cardholders_Reference!E:E)</f>
        <v>Visa</v>
      </c>
      <c r="P18" s="6">
        <f t="shared" si="5"/>
        <v>6.3385499999999997E-2</v>
      </c>
      <c r="Q18">
        <f t="shared" si="0"/>
        <v>0</v>
      </c>
      <c r="R18">
        <f t="shared" si="1"/>
        <v>0</v>
      </c>
      <c r="S18">
        <f>IF(COUNTIFS($B$1:$B$738,B17,$C$1:$C$738,#REF!)&gt;2,1,0)</f>
        <v>0</v>
      </c>
      <c r="T18">
        <f t="shared" si="2"/>
        <v>0</v>
      </c>
      <c r="U18">
        <f t="shared" si="3"/>
        <v>0</v>
      </c>
      <c r="V18">
        <f t="shared" si="4"/>
        <v>1</v>
      </c>
      <c r="W18">
        <f t="shared" si="6"/>
        <v>1</v>
      </c>
      <c r="X18" t="str" cm="1">
        <f t="array" ref="X18">_xlfn.IFS(W18&lt;=1,"Low",W18=2,"Medium",W18&gt;=3,"High")</f>
        <v>Low</v>
      </c>
    </row>
    <row r="19" spans="1:24" x14ac:dyDescent="0.3">
      <c r="A19" t="s">
        <v>78</v>
      </c>
      <c r="B19" t="s">
        <v>55</v>
      </c>
      <c r="C19" s="3">
        <v>45862</v>
      </c>
      <c r="D19" s="8" t="s">
        <v>79</v>
      </c>
      <c r="E19" s="7" t="s">
        <v>80</v>
      </c>
      <c r="F19" s="7" t="s">
        <v>81</v>
      </c>
      <c r="G19" s="7" t="s">
        <v>22</v>
      </c>
      <c r="H19" s="4">
        <v>3602.55</v>
      </c>
      <c r="I19" s="7" t="s">
        <v>16</v>
      </c>
      <c r="J19" s="7" t="s">
        <v>17</v>
      </c>
      <c r="L19" t="str">
        <f>PROPER(TRIM(SUBSTITUTE(_xlfn.XLOOKUP(B19,Cardholders_Reference!A:A,Cardholders_Reference!B:B),","," ")))</f>
        <v>Fatima Adams</v>
      </c>
      <c r="M19" s="5">
        <f>_xlfn.XLOOKUP(B19,Cardholders_Reference!A:A,Cardholders_Reference!G:G)</f>
        <v>20000</v>
      </c>
      <c r="N19" s="7" t="str">
        <f>_xlfn.XLOOKUP(B19,Cardholders_Reference!A:A,Cardholders_Reference!D:D)</f>
        <v>Standard Bank</v>
      </c>
      <c r="O19" s="7" t="str">
        <f>_xlfn.XLOOKUP(B19,Cardholders_Reference!A:A,Cardholders_Reference!E:E)</f>
        <v>Visa</v>
      </c>
      <c r="P19" s="6">
        <f t="shared" si="5"/>
        <v>0.1801275</v>
      </c>
      <c r="Q19">
        <f t="shared" si="0"/>
        <v>1</v>
      </c>
      <c r="R19">
        <f t="shared" si="1"/>
        <v>0</v>
      </c>
      <c r="S19">
        <f>IF(COUNTIFS($B$1:$B$738,B18,$C$1:$C$738,#REF!)&gt;2,1,0)</f>
        <v>0</v>
      </c>
      <c r="T19">
        <f t="shared" si="2"/>
        <v>0</v>
      </c>
      <c r="U19">
        <f t="shared" si="3"/>
        <v>0</v>
      </c>
      <c r="V19">
        <f t="shared" si="4"/>
        <v>0</v>
      </c>
      <c r="W19">
        <f t="shared" si="6"/>
        <v>1</v>
      </c>
      <c r="X19" t="str" cm="1">
        <f t="array" ref="X19">_xlfn.IFS(W19&lt;=1,"Low",W19=2,"Medium",W19&gt;=3,"High")</f>
        <v>Low</v>
      </c>
    </row>
    <row r="20" spans="1:24" x14ac:dyDescent="0.3">
      <c r="A20" t="s">
        <v>82</v>
      </c>
      <c r="B20" t="s">
        <v>55</v>
      </c>
      <c r="C20" s="3">
        <v>45827</v>
      </c>
      <c r="D20" s="8" t="s">
        <v>83</v>
      </c>
      <c r="E20" s="7" t="s">
        <v>84</v>
      </c>
      <c r="F20" s="7" t="s">
        <v>61</v>
      </c>
      <c r="G20" s="7" t="s">
        <v>22</v>
      </c>
      <c r="H20" s="4">
        <v>4221.32</v>
      </c>
      <c r="I20" s="7" t="s">
        <v>16</v>
      </c>
      <c r="J20" s="7" t="s">
        <v>17</v>
      </c>
      <c r="L20" t="str">
        <f>PROPER(TRIM(SUBSTITUTE(_xlfn.XLOOKUP(B20,Cardholders_Reference!A:A,Cardholders_Reference!B:B),","," ")))</f>
        <v>Fatima Adams</v>
      </c>
      <c r="M20" s="5">
        <f>_xlfn.XLOOKUP(B20,Cardholders_Reference!A:A,Cardholders_Reference!G:G)</f>
        <v>20000</v>
      </c>
      <c r="N20" s="7" t="str">
        <f>_xlfn.XLOOKUP(B20,Cardholders_Reference!A:A,Cardholders_Reference!D:D)</f>
        <v>Standard Bank</v>
      </c>
      <c r="O20" s="7" t="str">
        <f>_xlfn.XLOOKUP(B20,Cardholders_Reference!A:A,Cardholders_Reference!E:E)</f>
        <v>Visa</v>
      </c>
      <c r="P20" s="6">
        <f t="shared" si="5"/>
        <v>0.21106599999999998</v>
      </c>
      <c r="Q20">
        <f t="shared" si="0"/>
        <v>0</v>
      </c>
      <c r="R20">
        <f t="shared" si="1"/>
        <v>0</v>
      </c>
      <c r="S20">
        <f>IF(COUNTIFS($B$1:$B$738,B19,$C$1:$C$738,#REF!)&gt;2,1,0)</f>
        <v>0</v>
      </c>
      <c r="T20">
        <f t="shared" si="2"/>
        <v>0</v>
      </c>
      <c r="U20">
        <f t="shared" si="3"/>
        <v>0</v>
      </c>
      <c r="V20">
        <f t="shared" si="4"/>
        <v>0</v>
      </c>
      <c r="W20">
        <f t="shared" si="6"/>
        <v>0</v>
      </c>
      <c r="X20" t="str" cm="1">
        <f t="array" ref="X20">_xlfn.IFS(W20&lt;=1,"Low",W20=2,"Medium",W20&gt;=3,"High")</f>
        <v>Low</v>
      </c>
    </row>
    <row r="21" spans="1:24" x14ac:dyDescent="0.3">
      <c r="A21" t="s">
        <v>85</v>
      </c>
      <c r="B21" t="s">
        <v>55</v>
      </c>
      <c r="C21" s="3">
        <v>45678</v>
      </c>
      <c r="D21" s="8" t="s">
        <v>86</v>
      </c>
      <c r="E21" s="7" t="s">
        <v>87</v>
      </c>
      <c r="F21" s="7" t="s">
        <v>48</v>
      </c>
      <c r="G21" s="7" t="s">
        <v>22</v>
      </c>
      <c r="H21" s="4">
        <v>1152.47</v>
      </c>
      <c r="I21" s="7" t="s">
        <v>26</v>
      </c>
      <c r="J21" s="7" t="s">
        <v>17</v>
      </c>
      <c r="L21" t="str">
        <f>PROPER(TRIM(SUBSTITUTE(_xlfn.XLOOKUP(B21,Cardholders_Reference!A:A,Cardholders_Reference!B:B),","," ")))</f>
        <v>Fatima Adams</v>
      </c>
      <c r="M21" s="5">
        <f>_xlfn.XLOOKUP(B21,Cardholders_Reference!A:A,Cardholders_Reference!G:G)</f>
        <v>20000</v>
      </c>
      <c r="N21" s="7" t="str">
        <f>_xlfn.XLOOKUP(B21,Cardholders_Reference!A:A,Cardholders_Reference!D:D)</f>
        <v>Standard Bank</v>
      </c>
      <c r="O21" s="7" t="str">
        <f>_xlfn.XLOOKUP(B21,Cardholders_Reference!A:A,Cardholders_Reference!E:E)</f>
        <v>Visa</v>
      </c>
      <c r="P21" s="6">
        <f t="shared" si="5"/>
        <v>5.7623500000000001E-2</v>
      </c>
      <c r="Q21">
        <f t="shared" si="0"/>
        <v>0</v>
      </c>
      <c r="R21">
        <f t="shared" si="1"/>
        <v>0</v>
      </c>
      <c r="S21">
        <f>IF(COUNTIFS($B$1:$B$738,B20,$C$1:$C$738,#REF!)&gt;2,1,0)</f>
        <v>0</v>
      </c>
      <c r="T21">
        <f t="shared" si="2"/>
        <v>0</v>
      </c>
      <c r="U21">
        <f t="shared" si="3"/>
        <v>0</v>
      </c>
      <c r="V21">
        <f t="shared" si="4"/>
        <v>1</v>
      </c>
      <c r="W21">
        <f t="shared" si="6"/>
        <v>1</v>
      </c>
      <c r="X21" t="str" cm="1">
        <f t="array" ref="X21">_xlfn.IFS(W21&lt;=1,"Low",W21=2,"Medium",W21&gt;=3,"High")</f>
        <v>Low</v>
      </c>
    </row>
    <row r="22" spans="1:24" x14ac:dyDescent="0.3">
      <c r="A22" t="s">
        <v>88</v>
      </c>
      <c r="B22" t="s">
        <v>55</v>
      </c>
      <c r="C22" s="3">
        <v>45793</v>
      </c>
      <c r="D22" s="8" t="s">
        <v>89</v>
      </c>
      <c r="E22" s="7" t="s">
        <v>90</v>
      </c>
      <c r="F22" s="7" t="s">
        <v>91</v>
      </c>
      <c r="G22" s="7" t="s">
        <v>22</v>
      </c>
      <c r="H22" s="4">
        <v>1584.47</v>
      </c>
      <c r="I22" s="7" t="s">
        <v>26</v>
      </c>
      <c r="J22" s="7" t="s">
        <v>17</v>
      </c>
      <c r="L22" t="str">
        <f>PROPER(TRIM(SUBSTITUTE(_xlfn.XLOOKUP(B22,Cardholders_Reference!A:A,Cardholders_Reference!B:B),","," ")))</f>
        <v>Fatima Adams</v>
      </c>
      <c r="M22" s="5">
        <f>_xlfn.XLOOKUP(B22,Cardholders_Reference!A:A,Cardholders_Reference!G:G)</f>
        <v>20000</v>
      </c>
      <c r="N22" s="7" t="str">
        <f>_xlfn.XLOOKUP(B22,Cardholders_Reference!A:A,Cardholders_Reference!D:D)</f>
        <v>Standard Bank</v>
      </c>
      <c r="O22" s="7" t="str">
        <f>_xlfn.XLOOKUP(B22,Cardholders_Reference!A:A,Cardholders_Reference!E:E)</f>
        <v>Visa</v>
      </c>
      <c r="P22" s="6">
        <f t="shared" si="5"/>
        <v>7.9223500000000002E-2</v>
      </c>
      <c r="Q22">
        <f t="shared" si="0"/>
        <v>0</v>
      </c>
      <c r="R22">
        <f t="shared" si="1"/>
        <v>0</v>
      </c>
      <c r="S22">
        <f>IF(COUNTIFS($B$1:$B$738,B21,$C$1:$C$738,#REF!)&gt;2,1,0)</f>
        <v>0</v>
      </c>
      <c r="T22">
        <f t="shared" si="2"/>
        <v>0</v>
      </c>
      <c r="U22">
        <f t="shared" si="3"/>
        <v>0</v>
      </c>
      <c r="V22">
        <f t="shared" si="4"/>
        <v>1</v>
      </c>
      <c r="W22">
        <f t="shared" si="6"/>
        <v>1</v>
      </c>
      <c r="X22" t="str" cm="1">
        <f t="array" ref="X22">_xlfn.IFS(W22&lt;=1,"Low",W22=2,"Medium",W22&gt;=3,"High")</f>
        <v>Low</v>
      </c>
    </row>
    <row r="23" spans="1:24" x14ac:dyDescent="0.3">
      <c r="A23" t="s">
        <v>92</v>
      </c>
      <c r="B23" t="s">
        <v>55</v>
      </c>
      <c r="C23" s="3">
        <v>45674</v>
      </c>
      <c r="D23" s="8" t="s">
        <v>93</v>
      </c>
      <c r="E23" s="7" t="s">
        <v>94</v>
      </c>
      <c r="F23" s="7" t="s">
        <v>53</v>
      </c>
      <c r="G23" s="7" t="s">
        <v>22</v>
      </c>
      <c r="H23" s="4">
        <v>1660.68</v>
      </c>
      <c r="I23" s="7" t="s">
        <v>95</v>
      </c>
      <c r="J23" s="7" t="s">
        <v>17</v>
      </c>
      <c r="L23" t="str">
        <f>PROPER(TRIM(SUBSTITUTE(_xlfn.XLOOKUP(B23,Cardholders_Reference!A:A,Cardholders_Reference!B:B),","," ")))</f>
        <v>Fatima Adams</v>
      </c>
      <c r="M23" s="5">
        <f>_xlfn.XLOOKUP(B23,Cardholders_Reference!A:A,Cardholders_Reference!G:G)</f>
        <v>20000</v>
      </c>
      <c r="N23" s="7" t="str">
        <f>_xlfn.XLOOKUP(B23,Cardholders_Reference!A:A,Cardholders_Reference!D:D)</f>
        <v>Standard Bank</v>
      </c>
      <c r="O23" s="7" t="str">
        <f>_xlfn.XLOOKUP(B23,Cardholders_Reference!A:A,Cardholders_Reference!E:E)</f>
        <v>Visa</v>
      </c>
      <c r="P23" s="6">
        <f t="shared" si="5"/>
        <v>8.3033999999999997E-2</v>
      </c>
      <c r="Q23">
        <f t="shared" si="0"/>
        <v>0</v>
      </c>
      <c r="R23">
        <f t="shared" si="1"/>
        <v>0</v>
      </c>
      <c r="S23">
        <f>IF(COUNTIFS($B$1:$B$738,B22,$C$1:$C$738,#REF!)&gt;2,1,0)</f>
        <v>0</v>
      </c>
      <c r="T23">
        <f t="shared" si="2"/>
        <v>0</v>
      </c>
      <c r="U23">
        <f t="shared" si="3"/>
        <v>0</v>
      </c>
      <c r="V23">
        <f t="shared" si="4"/>
        <v>1</v>
      </c>
      <c r="W23">
        <f t="shared" si="6"/>
        <v>1</v>
      </c>
      <c r="X23" t="str" cm="1">
        <f t="array" ref="X23">_xlfn.IFS(W23&lt;=1,"Low",W23=2,"Medium",W23&gt;=3,"High")</f>
        <v>Low</v>
      </c>
    </row>
    <row r="24" spans="1:24" x14ac:dyDescent="0.3">
      <c r="A24" t="s">
        <v>96</v>
      </c>
      <c r="B24" t="s">
        <v>55</v>
      </c>
      <c r="C24" s="3">
        <v>46152</v>
      </c>
      <c r="D24" s="8" t="s">
        <v>1439</v>
      </c>
      <c r="E24" s="7" t="s">
        <v>97</v>
      </c>
      <c r="F24" s="7" t="s">
        <v>53</v>
      </c>
      <c r="G24" s="7" t="s">
        <v>22</v>
      </c>
      <c r="H24" s="4">
        <v>1219.17</v>
      </c>
      <c r="I24" s="7" t="s">
        <v>95</v>
      </c>
      <c r="J24" s="7" t="s">
        <v>17</v>
      </c>
      <c r="L24" t="str">
        <f>PROPER(TRIM(SUBSTITUTE(_xlfn.XLOOKUP(B24,Cardholders_Reference!A:A,Cardholders_Reference!B:B),","," ")))</f>
        <v>Fatima Adams</v>
      </c>
      <c r="M24" s="5">
        <f>_xlfn.XLOOKUP(B24,Cardholders_Reference!A:A,Cardholders_Reference!G:G)</f>
        <v>20000</v>
      </c>
      <c r="N24" s="7" t="str">
        <f>_xlfn.XLOOKUP(B24,Cardholders_Reference!A:A,Cardholders_Reference!D:D)</f>
        <v>Standard Bank</v>
      </c>
      <c r="O24" s="7" t="str">
        <f>_xlfn.XLOOKUP(B24,Cardholders_Reference!A:A,Cardholders_Reference!E:E)</f>
        <v>Visa</v>
      </c>
      <c r="P24" s="6">
        <f t="shared" si="5"/>
        <v>6.0958500000000006E-2</v>
      </c>
      <c r="Q24">
        <f t="shared" si="0"/>
        <v>0</v>
      </c>
      <c r="R24">
        <f t="shared" si="1"/>
        <v>1</v>
      </c>
      <c r="S24">
        <f>IF(COUNTIFS($B$1:$B$738,B23,$C$1:$C$738,#REF!)&gt;2,1,0)</f>
        <v>0</v>
      </c>
      <c r="T24">
        <f t="shared" si="2"/>
        <v>0</v>
      </c>
      <c r="U24">
        <f t="shared" si="3"/>
        <v>0</v>
      </c>
      <c r="V24">
        <f t="shared" si="4"/>
        <v>1</v>
      </c>
      <c r="W24">
        <f t="shared" si="6"/>
        <v>2</v>
      </c>
      <c r="X24" t="str" cm="1">
        <f t="array" ref="X24">_xlfn.IFS(W24&lt;=1,"Low",W24=2,"Medium",W24&gt;=3,"High")</f>
        <v>Medium</v>
      </c>
    </row>
    <row r="25" spans="1:24" x14ac:dyDescent="0.3">
      <c r="A25" t="s">
        <v>98</v>
      </c>
      <c r="B25" t="s">
        <v>55</v>
      </c>
      <c r="C25" s="3">
        <v>45758</v>
      </c>
      <c r="D25" s="8" t="s">
        <v>99</v>
      </c>
      <c r="E25" s="7" t="s">
        <v>14</v>
      </c>
      <c r="F25" s="7" t="s">
        <v>15</v>
      </c>
      <c r="G25" s="7" t="s">
        <v>22</v>
      </c>
      <c r="H25" s="4">
        <v>2757.58</v>
      </c>
      <c r="I25" s="7" t="s">
        <v>95</v>
      </c>
      <c r="J25" s="7" t="s">
        <v>17</v>
      </c>
      <c r="L25" t="str">
        <f>PROPER(TRIM(SUBSTITUTE(_xlfn.XLOOKUP(B25,Cardholders_Reference!A:A,Cardholders_Reference!B:B),","," ")))</f>
        <v>Fatima Adams</v>
      </c>
      <c r="M25" s="5">
        <f>_xlfn.XLOOKUP(B25,Cardholders_Reference!A:A,Cardholders_Reference!G:G)</f>
        <v>20000</v>
      </c>
      <c r="N25" s="7" t="str">
        <f>_xlfn.XLOOKUP(B25,Cardholders_Reference!A:A,Cardholders_Reference!D:D)</f>
        <v>Standard Bank</v>
      </c>
      <c r="O25" s="7" t="str">
        <f>_xlfn.XLOOKUP(B25,Cardholders_Reference!A:A,Cardholders_Reference!E:E)</f>
        <v>Visa</v>
      </c>
      <c r="P25" s="6">
        <f t="shared" si="5"/>
        <v>0.137879</v>
      </c>
      <c r="Q25">
        <f t="shared" si="0"/>
        <v>0</v>
      </c>
      <c r="R25">
        <f t="shared" si="1"/>
        <v>0</v>
      </c>
      <c r="S25">
        <f>IF(COUNTIFS($B$1:$B$738,B24,$C$1:$C$738,#REF!)&gt;2,1,0)</f>
        <v>0</v>
      </c>
      <c r="T25">
        <f t="shared" si="2"/>
        <v>0</v>
      </c>
      <c r="U25">
        <f t="shared" si="3"/>
        <v>0</v>
      </c>
      <c r="V25">
        <f t="shared" si="4"/>
        <v>1</v>
      </c>
      <c r="W25">
        <f t="shared" si="6"/>
        <v>1</v>
      </c>
      <c r="X25" t="str" cm="1">
        <f t="array" ref="X25">_xlfn.IFS(W25&lt;=1,"Low",W25=2,"Medium",W25&gt;=3,"High")</f>
        <v>Low</v>
      </c>
    </row>
    <row r="26" spans="1:24" x14ac:dyDescent="0.3">
      <c r="A26" t="s">
        <v>100</v>
      </c>
      <c r="B26" t="s">
        <v>55</v>
      </c>
      <c r="C26" s="3">
        <v>46275</v>
      </c>
      <c r="D26" s="8" t="s">
        <v>101</v>
      </c>
      <c r="E26" s="7" t="s">
        <v>31</v>
      </c>
      <c r="F26" s="7" t="s">
        <v>25</v>
      </c>
      <c r="G26" s="7" t="s">
        <v>250</v>
      </c>
      <c r="H26" s="4">
        <v>792.61</v>
      </c>
      <c r="I26" s="7" t="s">
        <v>16</v>
      </c>
      <c r="J26" s="7" t="s">
        <v>17</v>
      </c>
      <c r="L26" t="str">
        <f>PROPER(TRIM(SUBSTITUTE(_xlfn.XLOOKUP(B26,Cardholders_Reference!A:A,Cardholders_Reference!B:B),","," ")))</f>
        <v>Fatima Adams</v>
      </c>
      <c r="M26" s="5">
        <f>_xlfn.XLOOKUP(B26,Cardholders_Reference!A:A,Cardholders_Reference!G:G)</f>
        <v>20000</v>
      </c>
      <c r="N26" s="7" t="str">
        <f>_xlfn.XLOOKUP(B26,Cardholders_Reference!A:A,Cardholders_Reference!D:D)</f>
        <v>Standard Bank</v>
      </c>
      <c r="O26" s="7" t="str">
        <f>_xlfn.XLOOKUP(B26,Cardholders_Reference!A:A,Cardholders_Reference!E:E)</f>
        <v>Visa</v>
      </c>
      <c r="P26" s="6">
        <f t="shared" si="5"/>
        <v>3.9630499999999999E-2</v>
      </c>
      <c r="Q26">
        <f t="shared" si="0"/>
        <v>0</v>
      </c>
      <c r="R26">
        <f t="shared" si="1"/>
        <v>0</v>
      </c>
      <c r="S26">
        <f>IF(COUNTIFS($B$1:$B$738,B25,$C$1:$C$738,#REF!)&gt;2,1,0)</f>
        <v>0</v>
      </c>
      <c r="T26">
        <f t="shared" si="2"/>
        <v>0</v>
      </c>
      <c r="U26">
        <f t="shared" si="3"/>
        <v>0</v>
      </c>
      <c r="V26">
        <f t="shared" si="4"/>
        <v>0</v>
      </c>
      <c r="W26">
        <f t="shared" si="6"/>
        <v>0</v>
      </c>
      <c r="X26" t="str" cm="1">
        <f t="array" ref="X26">_xlfn.IFS(W26&lt;=1,"Low",W26=2,"Medium",W26&gt;=3,"High")</f>
        <v>Low</v>
      </c>
    </row>
    <row r="27" spans="1:24" x14ac:dyDescent="0.3">
      <c r="A27" t="s">
        <v>102</v>
      </c>
      <c r="B27" t="s">
        <v>55</v>
      </c>
      <c r="C27" s="3">
        <v>46039</v>
      </c>
      <c r="D27" s="8" t="s">
        <v>103</v>
      </c>
      <c r="E27" s="7" t="s">
        <v>104</v>
      </c>
      <c r="F27" s="7" t="s">
        <v>65</v>
      </c>
      <c r="G27" s="7" t="s">
        <v>177</v>
      </c>
      <c r="H27" s="4">
        <v>4535.62</v>
      </c>
      <c r="I27" s="7" t="s">
        <v>32</v>
      </c>
      <c r="J27" s="7" t="s">
        <v>17</v>
      </c>
      <c r="L27" t="str">
        <f>PROPER(TRIM(SUBSTITUTE(_xlfn.XLOOKUP(B27,Cardholders_Reference!A:A,Cardholders_Reference!B:B),","," ")))</f>
        <v>Fatima Adams</v>
      </c>
      <c r="M27" s="5">
        <f>_xlfn.XLOOKUP(B27,Cardholders_Reference!A:A,Cardholders_Reference!G:G)</f>
        <v>20000</v>
      </c>
      <c r="N27" s="7" t="str">
        <f>_xlfn.XLOOKUP(B27,Cardholders_Reference!A:A,Cardholders_Reference!D:D)</f>
        <v>Standard Bank</v>
      </c>
      <c r="O27" s="7" t="str">
        <f>_xlfn.XLOOKUP(B27,Cardholders_Reference!A:A,Cardholders_Reference!E:E)</f>
        <v>Visa</v>
      </c>
      <c r="P27" s="6">
        <f t="shared" si="5"/>
        <v>0.22678099999999998</v>
      </c>
      <c r="Q27">
        <f t="shared" si="0"/>
        <v>1</v>
      </c>
      <c r="R27">
        <f t="shared" si="1"/>
        <v>0</v>
      </c>
      <c r="S27">
        <f>IF(COUNTIFS($B$1:$B$738,B26,$C$1:$C$738,#REF!)&gt;2,1,0)</f>
        <v>0</v>
      </c>
      <c r="T27">
        <f t="shared" si="2"/>
        <v>0</v>
      </c>
      <c r="U27">
        <f t="shared" si="3"/>
        <v>0</v>
      </c>
      <c r="V27">
        <f t="shared" si="4"/>
        <v>0</v>
      </c>
      <c r="W27">
        <f t="shared" si="6"/>
        <v>1</v>
      </c>
      <c r="X27" t="str" cm="1">
        <f t="array" ref="X27">_xlfn.IFS(W27&lt;=1,"Low",W27=2,"Medium",W27&gt;=3,"High")</f>
        <v>Low</v>
      </c>
    </row>
    <row r="28" spans="1:24" x14ac:dyDescent="0.3">
      <c r="A28" t="s">
        <v>105</v>
      </c>
      <c r="B28" t="s">
        <v>106</v>
      </c>
      <c r="C28" s="3">
        <v>45905</v>
      </c>
      <c r="D28" s="8" t="s">
        <v>107</v>
      </c>
      <c r="E28" s="7" t="s">
        <v>47</v>
      </c>
      <c r="F28" s="7" t="s">
        <v>48</v>
      </c>
      <c r="G28" s="7" t="s">
        <v>108</v>
      </c>
      <c r="H28" s="4">
        <v>458.84</v>
      </c>
      <c r="I28" s="7" t="s">
        <v>95</v>
      </c>
      <c r="J28" s="7" t="s">
        <v>17</v>
      </c>
      <c r="L28" t="str">
        <f>PROPER(TRIM(SUBSTITUTE(_xlfn.XLOOKUP(B28,Cardholders_Reference!A:A,Cardholders_Reference!B:B),","," ")))</f>
        <v>Mahlangu Lerato</v>
      </c>
      <c r="M28" s="5">
        <f>_xlfn.XLOOKUP(B28,Cardholders_Reference!A:A,Cardholders_Reference!G:G)</f>
        <v>100000</v>
      </c>
      <c r="N28" s="7" t="str">
        <f>_xlfn.XLOOKUP(B28,Cardholders_Reference!A:A,Cardholders_Reference!D:D)</f>
        <v>Capitec</v>
      </c>
      <c r="O28" s="7" t="str">
        <f>_xlfn.XLOOKUP(B28,Cardholders_Reference!A:A,Cardholders_Reference!E:E)</f>
        <v>Visa</v>
      </c>
      <c r="P28" s="6">
        <f t="shared" si="5"/>
        <v>4.5883999999999994E-3</v>
      </c>
      <c r="Q28">
        <f t="shared" si="0"/>
        <v>1</v>
      </c>
      <c r="R28">
        <f t="shared" si="1"/>
        <v>0</v>
      </c>
      <c r="S28">
        <f>IF(COUNTIFS($B$1:$B$738,B27,$C$1:$C$738,#REF!)&gt;2,1,0)</f>
        <v>0</v>
      </c>
      <c r="T28">
        <f t="shared" si="2"/>
        <v>0</v>
      </c>
      <c r="U28">
        <f t="shared" si="3"/>
        <v>1</v>
      </c>
      <c r="V28">
        <f t="shared" si="4"/>
        <v>1</v>
      </c>
      <c r="W28">
        <f t="shared" si="6"/>
        <v>3</v>
      </c>
      <c r="X28" t="str" cm="1">
        <f t="array" ref="X28">_xlfn.IFS(W28&lt;=1,"Low",W28=2,"Medium",W28&gt;=3,"High")</f>
        <v>High</v>
      </c>
    </row>
    <row r="29" spans="1:24" x14ac:dyDescent="0.3">
      <c r="A29" t="s">
        <v>109</v>
      </c>
      <c r="B29" t="s">
        <v>106</v>
      </c>
      <c r="C29" s="3">
        <v>45994</v>
      </c>
      <c r="D29" s="8" t="s">
        <v>110</v>
      </c>
      <c r="E29" s="7" t="s">
        <v>111</v>
      </c>
      <c r="F29" s="7" t="s">
        <v>48</v>
      </c>
      <c r="G29" s="7" t="s">
        <v>264</v>
      </c>
      <c r="H29" s="4">
        <v>319.86</v>
      </c>
      <c r="I29" s="7" t="s">
        <v>26</v>
      </c>
      <c r="J29" s="7" t="s">
        <v>17</v>
      </c>
      <c r="L29" t="str">
        <f>PROPER(TRIM(SUBSTITUTE(_xlfn.XLOOKUP(B29,Cardholders_Reference!A:A,Cardholders_Reference!B:B),","," ")))</f>
        <v>Mahlangu Lerato</v>
      </c>
      <c r="M29" s="5">
        <f>_xlfn.XLOOKUP(B29,Cardholders_Reference!A:A,Cardholders_Reference!G:G)</f>
        <v>100000</v>
      </c>
      <c r="N29" s="7" t="str">
        <f>_xlfn.XLOOKUP(B29,Cardholders_Reference!A:A,Cardholders_Reference!D:D)</f>
        <v>Capitec</v>
      </c>
      <c r="O29" s="7" t="str">
        <f>_xlfn.XLOOKUP(B29,Cardholders_Reference!A:A,Cardholders_Reference!E:E)</f>
        <v>Visa</v>
      </c>
      <c r="P29" s="6">
        <f t="shared" si="5"/>
        <v>3.1986000000000002E-3</v>
      </c>
      <c r="Q29">
        <f t="shared" si="0"/>
        <v>0</v>
      </c>
      <c r="R29">
        <f t="shared" si="1"/>
        <v>0</v>
      </c>
      <c r="S29">
        <f>IF(COUNTIFS($B$1:$B$738,B28,$C$1:$C$738,#REF!)&gt;2,1,0)</f>
        <v>0</v>
      </c>
      <c r="T29">
        <f t="shared" si="2"/>
        <v>0</v>
      </c>
      <c r="U29">
        <f t="shared" si="3"/>
        <v>0</v>
      </c>
      <c r="V29">
        <f t="shared" si="4"/>
        <v>1</v>
      </c>
      <c r="W29">
        <f t="shared" si="6"/>
        <v>1</v>
      </c>
      <c r="X29" t="str" cm="1">
        <f t="array" ref="X29">_xlfn.IFS(W29&lt;=1,"Low",W29=2,"Medium",W29&gt;=3,"High")</f>
        <v>Low</v>
      </c>
    </row>
    <row r="30" spans="1:24" x14ac:dyDescent="0.3">
      <c r="A30" t="s">
        <v>112</v>
      </c>
      <c r="B30" t="s">
        <v>106</v>
      </c>
      <c r="C30" s="3">
        <v>46088</v>
      </c>
      <c r="D30" s="8" t="s">
        <v>113</v>
      </c>
      <c r="E30" s="7" t="s">
        <v>114</v>
      </c>
      <c r="F30" s="7" t="s">
        <v>81</v>
      </c>
      <c r="G30" s="7" t="s">
        <v>108</v>
      </c>
      <c r="H30" s="4">
        <v>6031.72</v>
      </c>
      <c r="I30" s="7" t="s">
        <v>32</v>
      </c>
      <c r="J30" s="7" t="s">
        <v>17</v>
      </c>
      <c r="L30" t="str">
        <f>PROPER(TRIM(SUBSTITUTE(_xlfn.XLOOKUP(B30,Cardholders_Reference!A:A,Cardholders_Reference!B:B),","," ")))</f>
        <v>Mahlangu Lerato</v>
      </c>
      <c r="M30" s="5">
        <f>_xlfn.XLOOKUP(B30,Cardholders_Reference!A:A,Cardholders_Reference!G:G)</f>
        <v>100000</v>
      </c>
      <c r="N30" s="7" t="str">
        <f>_xlfn.XLOOKUP(B30,Cardholders_Reference!A:A,Cardholders_Reference!D:D)</f>
        <v>Capitec</v>
      </c>
      <c r="O30" s="7" t="str">
        <f>_xlfn.XLOOKUP(B30,Cardholders_Reference!A:A,Cardholders_Reference!E:E)</f>
        <v>Visa</v>
      </c>
      <c r="P30" s="6">
        <f t="shared" si="5"/>
        <v>6.0317200000000001E-2</v>
      </c>
      <c r="Q30">
        <f t="shared" si="0"/>
        <v>1</v>
      </c>
      <c r="R30">
        <f t="shared" si="1"/>
        <v>0</v>
      </c>
      <c r="S30">
        <f>IF(COUNTIFS($B$1:$B$738,B29,$C$1:$C$738,#REF!)&gt;2,1,0)</f>
        <v>0</v>
      </c>
      <c r="T30">
        <f t="shared" si="2"/>
        <v>0</v>
      </c>
      <c r="U30">
        <f t="shared" si="3"/>
        <v>0</v>
      </c>
      <c r="V30">
        <f t="shared" si="4"/>
        <v>0</v>
      </c>
      <c r="W30">
        <f t="shared" si="6"/>
        <v>1</v>
      </c>
      <c r="X30" t="str" cm="1">
        <f t="array" ref="X30">_xlfn.IFS(W30&lt;=1,"Low",W30=2,"Medium",W30&gt;=3,"High")</f>
        <v>Low</v>
      </c>
    </row>
    <row r="31" spans="1:24" x14ac:dyDescent="0.3">
      <c r="A31" t="s">
        <v>115</v>
      </c>
      <c r="B31" t="s">
        <v>106</v>
      </c>
      <c r="C31" s="3">
        <v>45738</v>
      </c>
      <c r="D31" s="8" t="s">
        <v>86</v>
      </c>
      <c r="E31" s="7" t="s">
        <v>84</v>
      </c>
      <c r="F31" s="7" t="s">
        <v>61</v>
      </c>
      <c r="G31" s="7" t="s">
        <v>108</v>
      </c>
      <c r="H31" s="4">
        <v>8124.09</v>
      </c>
      <c r="I31" s="7" t="s">
        <v>16</v>
      </c>
      <c r="J31" s="7" t="s">
        <v>17</v>
      </c>
      <c r="L31" t="str">
        <f>PROPER(TRIM(SUBSTITUTE(_xlfn.XLOOKUP(B31,Cardholders_Reference!A:A,Cardholders_Reference!B:B),","," ")))</f>
        <v>Mahlangu Lerato</v>
      </c>
      <c r="M31" s="5">
        <f>_xlfn.XLOOKUP(B31,Cardholders_Reference!A:A,Cardholders_Reference!G:G)</f>
        <v>100000</v>
      </c>
      <c r="N31" s="7" t="str">
        <f>_xlfn.XLOOKUP(B31,Cardholders_Reference!A:A,Cardholders_Reference!D:D)</f>
        <v>Capitec</v>
      </c>
      <c r="O31" s="7" t="str">
        <f>_xlfn.XLOOKUP(B31,Cardholders_Reference!A:A,Cardholders_Reference!E:E)</f>
        <v>Visa</v>
      </c>
      <c r="P31" s="6">
        <f t="shared" si="5"/>
        <v>8.1240900000000005E-2</v>
      </c>
      <c r="Q31">
        <f t="shared" si="0"/>
        <v>0</v>
      </c>
      <c r="R31">
        <f t="shared" si="1"/>
        <v>0</v>
      </c>
      <c r="S31">
        <f>IF(COUNTIFS($B$1:$B$738,B30,$C$1:$C$738,#REF!)&gt;2,1,0)</f>
        <v>0</v>
      </c>
      <c r="T31">
        <f t="shared" si="2"/>
        <v>0</v>
      </c>
      <c r="U31">
        <f t="shared" si="3"/>
        <v>0</v>
      </c>
      <c r="V31">
        <f t="shared" si="4"/>
        <v>0</v>
      </c>
      <c r="W31">
        <f t="shared" si="6"/>
        <v>0</v>
      </c>
      <c r="X31" t="str" cm="1">
        <f t="array" ref="X31">_xlfn.IFS(W31&lt;=1,"Low",W31=2,"Medium",W31&gt;=3,"High")</f>
        <v>Low</v>
      </c>
    </row>
    <row r="32" spans="1:24" x14ac:dyDescent="0.3">
      <c r="A32" t="s">
        <v>116</v>
      </c>
      <c r="B32" t="s">
        <v>106</v>
      </c>
      <c r="C32" s="3">
        <v>45685</v>
      </c>
      <c r="D32" s="8" t="s">
        <v>117</v>
      </c>
      <c r="E32" s="7" t="s">
        <v>20</v>
      </c>
      <c r="F32" s="7" t="s">
        <v>21</v>
      </c>
      <c r="G32" s="7" t="s">
        <v>118</v>
      </c>
      <c r="H32" s="4">
        <v>2299.2399999999998</v>
      </c>
      <c r="I32" s="7" t="s">
        <v>26</v>
      </c>
      <c r="J32" s="7" t="s">
        <v>17</v>
      </c>
      <c r="L32" t="str">
        <f>PROPER(TRIM(SUBSTITUTE(_xlfn.XLOOKUP(B32,Cardholders_Reference!A:A,Cardholders_Reference!B:B),","," ")))</f>
        <v>Mahlangu Lerato</v>
      </c>
      <c r="M32" s="5">
        <f>_xlfn.XLOOKUP(B32,Cardholders_Reference!A:A,Cardholders_Reference!G:G)</f>
        <v>100000</v>
      </c>
      <c r="N32" s="7" t="str">
        <f>_xlfn.XLOOKUP(B32,Cardholders_Reference!A:A,Cardholders_Reference!D:D)</f>
        <v>Capitec</v>
      </c>
      <c r="O32" s="7" t="str">
        <f>_xlfn.XLOOKUP(B32,Cardholders_Reference!A:A,Cardholders_Reference!E:E)</f>
        <v>Visa</v>
      </c>
      <c r="P32" s="6">
        <f t="shared" si="5"/>
        <v>2.2992399999999996E-2</v>
      </c>
      <c r="Q32">
        <f t="shared" si="0"/>
        <v>0</v>
      </c>
      <c r="R32">
        <f t="shared" si="1"/>
        <v>0</v>
      </c>
      <c r="S32">
        <f>IF(COUNTIFS($B$1:$B$738,B31,$C$1:$C$738,#REF!)&gt;2,1,0)</f>
        <v>0</v>
      </c>
      <c r="T32">
        <f t="shared" si="2"/>
        <v>0</v>
      </c>
      <c r="U32">
        <f t="shared" si="3"/>
        <v>0</v>
      </c>
      <c r="V32">
        <f t="shared" si="4"/>
        <v>1</v>
      </c>
      <c r="W32">
        <f t="shared" si="6"/>
        <v>1</v>
      </c>
      <c r="X32" t="str" cm="1">
        <f t="array" ref="X32">_xlfn.IFS(W32&lt;=1,"Low",W32=2,"Medium",W32&gt;=3,"High")</f>
        <v>Low</v>
      </c>
    </row>
    <row r="33" spans="1:24" x14ac:dyDescent="0.3">
      <c r="A33" t="s">
        <v>119</v>
      </c>
      <c r="B33" t="s">
        <v>106</v>
      </c>
      <c r="C33" s="3">
        <v>45971</v>
      </c>
      <c r="D33" s="8" t="s">
        <v>120</v>
      </c>
      <c r="E33" s="7" t="s">
        <v>121</v>
      </c>
      <c r="F33" s="7" t="s">
        <v>36</v>
      </c>
      <c r="G33" s="7" t="s">
        <v>108</v>
      </c>
      <c r="H33" s="4">
        <v>132.6</v>
      </c>
      <c r="I33" s="7" t="s">
        <v>95</v>
      </c>
      <c r="J33" s="7" t="s">
        <v>41</v>
      </c>
      <c r="L33" t="str">
        <f>PROPER(TRIM(SUBSTITUTE(_xlfn.XLOOKUP(B33,Cardholders_Reference!A:A,Cardholders_Reference!B:B),","," ")))</f>
        <v>Mahlangu Lerato</v>
      </c>
      <c r="M33" s="5">
        <f>_xlfn.XLOOKUP(B33,Cardholders_Reference!A:A,Cardholders_Reference!G:G)</f>
        <v>100000</v>
      </c>
      <c r="N33" s="7" t="str">
        <f>_xlfn.XLOOKUP(B33,Cardholders_Reference!A:A,Cardholders_Reference!D:D)</f>
        <v>Capitec</v>
      </c>
      <c r="O33" s="7" t="str">
        <f>_xlfn.XLOOKUP(B33,Cardholders_Reference!A:A,Cardholders_Reference!E:E)</f>
        <v>Visa</v>
      </c>
      <c r="P33" s="6">
        <f t="shared" si="5"/>
        <v>1.3259999999999999E-3</v>
      </c>
      <c r="Q33">
        <f t="shared" si="0"/>
        <v>1</v>
      </c>
      <c r="R33">
        <f t="shared" si="1"/>
        <v>0</v>
      </c>
      <c r="S33">
        <f>IF(COUNTIFS($B$1:$B$738,B32,$C$1:$C$738,#REF!)&gt;2,1,0)</f>
        <v>0</v>
      </c>
      <c r="T33">
        <f t="shared" si="2"/>
        <v>0</v>
      </c>
      <c r="U33">
        <f t="shared" si="3"/>
        <v>1</v>
      </c>
      <c r="V33">
        <f t="shared" si="4"/>
        <v>1</v>
      </c>
      <c r="W33">
        <f t="shared" si="6"/>
        <v>3</v>
      </c>
      <c r="X33" t="str" cm="1">
        <f t="array" ref="X33">_xlfn.IFS(W33&lt;=1,"Low",W33=2,"Medium",W33&gt;=3,"High")</f>
        <v>High</v>
      </c>
    </row>
    <row r="34" spans="1:24" x14ac:dyDescent="0.3">
      <c r="A34" t="s">
        <v>122</v>
      </c>
      <c r="B34" t="s">
        <v>106</v>
      </c>
      <c r="C34" s="3">
        <v>45851</v>
      </c>
      <c r="D34" s="8" t="s">
        <v>123</v>
      </c>
      <c r="E34" s="7" t="s">
        <v>35</v>
      </c>
      <c r="F34" s="7" t="s">
        <v>36</v>
      </c>
      <c r="G34" s="7" t="s">
        <v>108</v>
      </c>
      <c r="H34" s="4">
        <v>169.54</v>
      </c>
      <c r="I34" s="7" t="s">
        <v>16</v>
      </c>
      <c r="J34" s="7" t="s">
        <v>17</v>
      </c>
      <c r="L34" t="str">
        <f>PROPER(TRIM(SUBSTITUTE(_xlfn.XLOOKUP(B34,Cardholders_Reference!A:A,Cardholders_Reference!B:B),","," ")))</f>
        <v>Mahlangu Lerato</v>
      </c>
      <c r="M34" s="5">
        <f>_xlfn.XLOOKUP(B34,Cardholders_Reference!A:A,Cardholders_Reference!G:G)</f>
        <v>100000</v>
      </c>
      <c r="N34" s="7" t="str">
        <f>_xlfn.XLOOKUP(B34,Cardholders_Reference!A:A,Cardholders_Reference!D:D)</f>
        <v>Capitec</v>
      </c>
      <c r="O34" s="7" t="str">
        <f>_xlfn.XLOOKUP(B34,Cardholders_Reference!A:A,Cardholders_Reference!E:E)</f>
        <v>Visa</v>
      </c>
      <c r="P34" s="6">
        <f t="shared" si="5"/>
        <v>1.6953999999999999E-3</v>
      </c>
      <c r="Q34">
        <f t="shared" si="0"/>
        <v>0</v>
      </c>
      <c r="R34">
        <f t="shared" si="1"/>
        <v>0</v>
      </c>
      <c r="S34">
        <f>IF(COUNTIFS($B$1:$B$738,B33,$C$1:$C$738,#REF!)&gt;2,1,0)</f>
        <v>0</v>
      </c>
      <c r="T34">
        <f t="shared" si="2"/>
        <v>0</v>
      </c>
      <c r="U34">
        <f t="shared" si="3"/>
        <v>0</v>
      </c>
      <c r="V34">
        <f t="shared" si="4"/>
        <v>0</v>
      </c>
      <c r="W34">
        <f t="shared" si="6"/>
        <v>0</v>
      </c>
      <c r="X34" t="str" cm="1">
        <f t="array" ref="X34">_xlfn.IFS(W34&lt;=1,"Low",W34=2,"Medium",W34&gt;=3,"High")</f>
        <v>Low</v>
      </c>
    </row>
    <row r="35" spans="1:24" x14ac:dyDescent="0.3">
      <c r="A35" t="s">
        <v>124</v>
      </c>
      <c r="B35" t="s">
        <v>106</v>
      </c>
      <c r="C35" s="3">
        <v>46147</v>
      </c>
      <c r="D35" s="8" t="s">
        <v>125</v>
      </c>
      <c r="E35" s="7" t="s">
        <v>126</v>
      </c>
      <c r="F35" s="7" t="s">
        <v>53</v>
      </c>
      <c r="G35" s="7" t="s">
        <v>108</v>
      </c>
      <c r="H35" s="4">
        <v>1177.99</v>
      </c>
      <c r="I35" s="7" t="s">
        <v>32</v>
      </c>
      <c r="J35" s="7" t="s">
        <v>41</v>
      </c>
      <c r="L35" t="str">
        <f>PROPER(TRIM(SUBSTITUTE(_xlfn.XLOOKUP(B35,Cardholders_Reference!A:A,Cardholders_Reference!B:B),","," ")))</f>
        <v>Mahlangu Lerato</v>
      </c>
      <c r="M35" s="5">
        <f>_xlfn.XLOOKUP(B35,Cardholders_Reference!A:A,Cardholders_Reference!G:G)</f>
        <v>100000</v>
      </c>
      <c r="N35" s="7" t="str">
        <f>_xlfn.XLOOKUP(B35,Cardholders_Reference!A:A,Cardholders_Reference!D:D)</f>
        <v>Capitec</v>
      </c>
      <c r="O35" s="7" t="str">
        <f>_xlfn.XLOOKUP(B35,Cardholders_Reference!A:A,Cardholders_Reference!E:E)</f>
        <v>Visa</v>
      </c>
      <c r="P35" s="6">
        <f t="shared" si="5"/>
        <v>1.1779899999999999E-2</v>
      </c>
      <c r="Q35">
        <f t="shared" si="0"/>
        <v>0</v>
      </c>
      <c r="R35">
        <f t="shared" si="1"/>
        <v>0</v>
      </c>
      <c r="S35">
        <f>IF(COUNTIFS($B$1:$B$738,B34,$C$1:$C$738,#REF!)&gt;2,1,0)</f>
        <v>0</v>
      </c>
      <c r="T35">
        <f t="shared" si="2"/>
        <v>0</v>
      </c>
      <c r="U35">
        <f t="shared" si="3"/>
        <v>0</v>
      </c>
      <c r="V35">
        <f t="shared" si="4"/>
        <v>0</v>
      </c>
      <c r="W35">
        <f t="shared" si="6"/>
        <v>0</v>
      </c>
      <c r="X35" t="str" cm="1">
        <f t="array" ref="X35">_xlfn.IFS(W35&lt;=1,"Low",W35=2,"Medium",W35&gt;=3,"High")</f>
        <v>Low</v>
      </c>
    </row>
    <row r="36" spans="1:24" x14ac:dyDescent="0.3">
      <c r="A36" t="s">
        <v>127</v>
      </c>
      <c r="B36" t="s">
        <v>106</v>
      </c>
      <c r="C36" s="3">
        <v>46143</v>
      </c>
      <c r="D36" s="8" t="s">
        <v>128</v>
      </c>
      <c r="E36" s="7" t="s">
        <v>129</v>
      </c>
      <c r="F36" s="7" t="s">
        <v>25</v>
      </c>
      <c r="G36" s="7" t="s">
        <v>108</v>
      </c>
      <c r="H36" s="4">
        <v>801.48</v>
      </c>
      <c r="I36" s="7" t="s">
        <v>95</v>
      </c>
      <c r="J36" s="7" t="s">
        <v>41</v>
      </c>
      <c r="L36" t="str">
        <f>PROPER(TRIM(SUBSTITUTE(_xlfn.XLOOKUP(B36,Cardholders_Reference!A:A,Cardholders_Reference!B:B),","," ")))</f>
        <v>Mahlangu Lerato</v>
      </c>
      <c r="M36" s="5">
        <f>_xlfn.XLOOKUP(B36,Cardholders_Reference!A:A,Cardholders_Reference!G:G)</f>
        <v>100000</v>
      </c>
      <c r="N36" s="7" t="str">
        <f>_xlfn.XLOOKUP(B36,Cardholders_Reference!A:A,Cardholders_Reference!D:D)</f>
        <v>Capitec</v>
      </c>
      <c r="O36" s="7" t="str">
        <f>_xlfn.XLOOKUP(B36,Cardholders_Reference!A:A,Cardholders_Reference!E:E)</f>
        <v>Visa</v>
      </c>
      <c r="P36" s="6">
        <f t="shared" si="5"/>
        <v>8.0148000000000007E-3</v>
      </c>
      <c r="Q36">
        <f t="shared" si="0"/>
        <v>0</v>
      </c>
      <c r="R36">
        <f t="shared" si="1"/>
        <v>0</v>
      </c>
      <c r="S36">
        <f>IF(COUNTIFS($B$1:$B$738,B35,$C$1:$C$738,#REF!)&gt;2,1,0)</f>
        <v>0</v>
      </c>
      <c r="T36">
        <f t="shared" si="2"/>
        <v>0</v>
      </c>
      <c r="U36">
        <f t="shared" si="3"/>
        <v>0</v>
      </c>
      <c r="V36">
        <f t="shared" si="4"/>
        <v>1</v>
      </c>
      <c r="W36">
        <f t="shared" si="6"/>
        <v>1</v>
      </c>
      <c r="X36" t="str" cm="1">
        <f t="array" ref="X36">_xlfn.IFS(W36&lt;=1,"Low",W36=2,"Medium",W36&gt;=3,"High")</f>
        <v>Low</v>
      </c>
    </row>
    <row r="37" spans="1:24" x14ac:dyDescent="0.3">
      <c r="A37" t="s">
        <v>130</v>
      </c>
      <c r="B37" t="s">
        <v>106</v>
      </c>
      <c r="C37" s="3">
        <v>45906</v>
      </c>
      <c r="D37" s="8" t="s">
        <v>131</v>
      </c>
      <c r="E37" s="7" t="s">
        <v>132</v>
      </c>
      <c r="F37" s="7" t="s">
        <v>25</v>
      </c>
      <c r="G37" s="7" t="s">
        <v>108</v>
      </c>
      <c r="H37" s="4">
        <v>816.74</v>
      </c>
      <c r="I37" s="7" t="s">
        <v>95</v>
      </c>
      <c r="J37" s="7" t="s">
        <v>41</v>
      </c>
      <c r="L37" t="str">
        <f>PROPER(TRIM(SUBSTITUTE(_xlfn.XLOOKUP(B37,Cardholders_Reference!A:A,Cardholders_Reference!B:B),","," ")))</f>
        <v>Mahlangu Lerato</v>
      </c>
      <c r="M37" s="5">
        <f>_xlfn.XLOOKUP(B37,Cardholders_Reference!A:A,Cardholders_Reference!G:G)</f>
        <v>100000</v>
      </c>
      <c r="N37" s="7" t="str">
        <f>_xlfn.XLOOKUP(B37,Cardholders_Reference!A:A,Cardholders_Reference!D:D)</f>
        <v>Capitec</v>
      </c>
      <c r="O37" s="7" t="str">
        <f>_xlfn.XLOOKUP(B37,Cardholders_Reference!A:A,Cardholders_Reference!E:E)</f>
        <v>Visa</v>
      </c>
      <c r="P37" s="6">
        <f t="shared" si="5"/>
        <v>8.1674E-3</v>
      </c>
      <c r="Q37">
        <f t="shared" si="0"/>
        <v>0</v>
      </c>
      <c r="R37">
        <f t="shared" si="1"/>
        <v>0</v>
      </c>
      <c r="S37">
        <f>IF(COUNTIFS($B$1:$B$738,B36,$C$1:$C$738,#REF!)&gt;2,1,0)</f>
        <v>0</v>
      </c>
      <c r="T37">
        <f t="shared" si="2"/>
        <v>0</v>
      </c>
      <c r="U37">
        <f t="shared" si="3"/>
        <v>0</v>
      </c>
      <c r="V37">
        <f t="shared" si="4"/>
        <v>1</v>
      </c>
      <c r="W37">
        <f t="shared" si="6"/>
        <v>1</v>
      </c>
      <c r="X37" t="str" cm="1">
        <f t="array" ref="X37">_xlfn.IFS(W37&lt;=1,"Low",W37=2,"Medium",W37&gt;=3,"High")</f>
        <v>Low</v>
      </c>
    </row>
    <row r="38" spans="1:24" x14ac:dyDescent="0.3">
      <c r="A38" t="s">
        <v>133</v>
      </c>
      <c r="B38" t="s">
        <v>106</v>
      </c>
      <c r="C38" s="3">
        <v>45780</v>
      </c>
      <c r="D38" s="8" t="s">
        <v>134</v>
      </c>
      <c r="E38" s="7" t="s">
        <v>20</v>
      </c>
      <c r="F38" s="7" t="s">
        <v>21</v>
      </c>
      <c r="G38" s="7" t="s">
        <v>108</v>
      </c>
      <c r="H38" s="4">
        <v>945.27</v>
      </c>
      <c r="I38" s="7" t="s">
        <v>16</v>
      </c>
      <c r="J38" s="7" t="s">
        <v>17</v>
      </c>
      <c r="L38" t="str">
        <f>PROPER(TRIM(SUBSTITUTE(_xlfn.XLOOKUP(B38,Cardholders_Reference!A:A,Cardholders_Reference!B:B),","," ")))</f>
        <v>Mahlangu Lerato</v>
      </c>
      <c r="M38" s="5">
        <f>_xlfn.XLOOKUP(B38,Cardholders_Reference!A:A,Cardholders_Reference!G:G)</f>
        <v>100000</v>
      </c>
      <c r="N38" s="7" t="str">
        <f>_xlfn.XLOOKUP(B38,Cardholders_Reference!A:A,Cardholders_Reference!D:D)</f>
        <v>Capitec</v>
      </c>
      <c r="O38" s="7" t="str">
        <f>_xlfn.XLOOKUP(B38,Cardholders_Reference!A:A,Cardholders_Reference!E:E)</f>
        <v>Visa</v>
      </c>
      <c r="P38" s="6">
        <f t="shared" si="5"/>
        <v>9.4526999999999996E-3</v>
      </c>
      <c r="Q38">
        <f t="shared" si="0"/>
        <v>0</v>
      </c>
      <c r="R38">
        <f t="shared" si="1"/>
        <v>0</v>
      </c>
      <c r="S38">
        <f>IF(COUNTIFS($B$1:$B$738,B37,$C$1:$C$738,#REF!)&gt;2,1,0)</f>
        <v>0</v>
      </c>
      <c r="T38">
        <f t="shared" si="2"/>
        <v>0</v>
      </c>
      <c r="U38">
        <f t="shared" si="3"/>
        <v>0</v>
      </c>
      <c r="V38">
        <f t="shared" si="4"/>
        <v>0</v>
      </c>
      <c r="W38">
        <f t="shared" si="6"/>
        <v>0</v>
      </c>
      <c r="X38" t="str" cm="1">
        <f t="array" ref="X38">_xlfn.IFS(W38&lt;=1,"Low",W38=2,"Medium",W38&gt;=3,"High")</f>
        <v>Low</v>
      </c>
    </row>
    <row r="39" spans="1:24" x14ac:dyDescent="0.3">
      <c r="A39" t="s">
        <v>135</v>
      </c>
      <c r="B39" t="s">
        <v>106</v>
      </c>
      <c r="C39" s="3">
        <v>45734</v>
      </c>
      <c r="D39" s="8" t="s">
        <v>136</v>
      </c>
      <c r="E39" s="7" t="s">
        <v>137</v>
      </c>
      <c r="F39" s="7" t="s">
        <v>40</v>
      </c>
      <c r="G39" s="7" t="s">
        <v>108</v>
      </c>
      <c r="H39" s="4">
        <v>435.24</v>
      </c>
      <c r="I39" s="7" t="s">
        <v>16</v>
      </c>
      <c r="J39" s="7" t="s">
        <v>17</v>
      </c>
      <c r="L39" t="str">
        <f>PROPER(TRIM(SUBSTITUTE(_xlfn.XLOOKUP(B39,Cardholders_Reference!A:A,Cardholders_Reference!B:B),","," ")))</f>
        <v>Mahlangu Lerato</v>
      </c>
      <c r="M39" s="5">
        <f>_xlfn.XLOOKUP(B39,Cardholders_Reference!A:A,Cardholders_Reference!G:G)</f>
        <v>100000</v>
      </c>
      <c r="N39" s="7" t="str">
        <f>_xlfn.XLOOKUP(B39,Cardholders_Reference!A:A,Cardholders_Reference!D:D)</f>
        <v>Capitec</v>
      </c>
      <c r="O39" s="7" t="str">
        <f>_xlfn.XLOOKUP(B39,Cardholders_Reference!A:A,Cardholders_Reference!E:E)</f>
        <v>Visa</v>
      </c>
      <c r="P39" s="6">
        <f t="shared" si="5"/>
        <v>4.3524000000000002E-3</v>
      </c>
      <c r="Q39">
        <f t="shared" si="0"/>
        <v>0</v>
      </c>
      <c r="R39">
        <f t="shared" si="1"/>
        <v>0</v>
      </c>
      <c r="S39">
        <f>IF(COUNTIFS($B$1:$B$738,B38,$C$1:$C$738,#REF!)&gt;2,1,0)</f>
        <v>0</v>
      </c>
      <c r="T39">
        <f t="shared" si="2"/>
        <v>0</v>
      </c>
      <c r="U39">
        <f t="shared" si="3"/>
        <v>1</v>
      </c>
      <c r="V39">
        <f t="shared" si="4"/>
        <v>0</v>
      </c>
      <c r="W39">
        <f t="shared" si="6"/>
        <v>1</v>
      </c>
      <c r="X39" t="str" cm="1">
        <f t="array" ref="X39">_xlfn.IFS(W39&lt;=1,"Low",W39=2,"Medium",W39&gt;=3,"High")</f>
        <v>Low</v>
      </c>
    </row>
    <row r="40" spans="1:24" x14ac:dyDescent="0.3">
      <c r="A40" t="s">
        <v>138</v>
      </c>
      <c r="B40" t="s">
        <v>106</v>
      </c>
      <c r="C40" s="3">
        <v>45828</v>
      </c>
      <c r="D40" s="8" t="s">
        <v>139</v>
      </c>
      <c r="E40" s="7" t="s">
        <v>140</v>
      </c>
      <c r="F40" s="7" t="s">
        <v>53</v>
      </c>
      <c r="G40" s="7" t="s">
        <v>118</v>
      </c>
      <c r="H40" s="4">
        <v>378.11</v>
      </c>
      <c r="I40" s="7" t="s">
        <v>32</v>
      </c>
      <c r="J40" s="7" t="s">
        <v>41</v>
      </c>
      <c r="K40" t="s">
        <v>141</v>
      </c>
      <c r="L40" t="str">
        <f>PROPER(TRIM(SUBSTITUTE(_xlfn.XLOOKUP(B40,Cardholders_Reference!A:A,Cardholders_Reference!B:B),","," ")))</f>
        <v>Mahlangu Lerato</v>
      </c>
      <c r="M40" s="5">
        <f>_xlfn.XLOOKUP(B40,Cardholders_Reference!A:A,Cardholders_Reference!G:G)</f>
        <v>100000</v>
      </c>
      <c r="N40" s="7" t="str">
        <f>_xlfn.XLOOKUP(B40,Cardholders_Reference!A:A,Cardholders_Reference!D:D)</f>
        <v>Capitec</v>
      </c>
      <c r="O40" s="7" t="str">
        <f>_xlfn.XLOOKUP(B40,Cardholders_Reference!A:A,Cardholders_Reference!E:E)</f>
        <v>Visa</v>
      </c>
      <c r="P40" s="6">
        <f t="shared" si="5"/>
        <v>3.7811000000000003E-3</v>
      </c>
      <c r="Q40">
        <f t="shared" si="0"/>
        <v>0</v>
      </c>
      <c r="R40">
        <f t="shared" si="1"/>
        <v>0</v>
      </c>
      <c r="S40">
        <f>IF(COUNTIFS($B$1:$B$738,B39,$C$1:$C$738,#REF!)&gt;2,1,0)</f>
        <v>0</v>
      </c>
      <c r="T40">
        <f t="shared" si="2"/>
        <v>0</v>
      </c>
      <c r="U40">
        <f t="shared" si="3"/>
        <v>0</v>
      </c>
      <c r="V40">
        <f t="shared" si="4"/>
        <v>0</v>
      </c>
      <c r="W40">
        <f t="shared" si="6"/>
        <v>0</v>
      </c>
      <c r="X40" t="str" cm="1">
        <f t="array" ref="X40">_xlfn.IFS(W40&lt;=1,"Low",W40=2,"Medium",W40&gt;=3,"High")</f>
        <v>Low</v>
      </c>
    </row>
    <row r="41" spans="1:24" x14ac:dyDescent="0.3">
      <c r="A41" t="s">
        <v>142</v>
      </c>
      <c r="B41" t="s">
        <v>143</v>
      </c>
      <c r="C41" s="3">
        <v>45766</v>
      </c>
      <c r="D41" s="8" t="s">
        <v>144</v>
      </c>
      <c r="E41" s="7" t="s">
        <v>14</v>
      </c>
      <c r="F41" s="7" t="s">
        <v>15</v>
      </c>
      <c r="G41" s="7" t="s">
        <v>145</v>
      </c>
      <c r="H41" s="4">
        <v>429.93</v>
      </c>
      <c r="I41" s="7" t="s">
        <v>16</v>
      </c>
      <c r="J41" s="7" t="s">
        <v>17</v>
      </c>
      <c r="L41" t="str">
        <f>PROPER(TRIM(SUBSTITUTE(_xlfn.XLOOKUP(B41,Cardholders_Reference!A:A,Cardholders_Reference!B:B),","," ")))</f>
        <v>Lerato Dlamini</v>
      </c>
      <c r="M41" s="5">
        <f>_xlfn.XLOOKUP(B41,Cardholders_Reference!A:A,Cardholders_Reference!G:G)</f>
        <v>30000</v>
      </c>
      <c r="N41" s="7" t="str">
        <f>_xlfn.XLOOKUP(B41,Cardholders_Reference!A:A,Cardholders_Reference!D:D)</f>
        <v>Nedbank</v>
      </c>
      <c r="O41" s="7" t="str">
        <f>_xlfn.XLOOKUP(B41,Cardholders_Reference!A:A,Cardholders_Reference!E:E)</f>
        <v>Visa</v>
      </c>
      <c r="P41" s="6">
        <f t="shared" si="5"/>
        <v>1.4331E-2</v>
      </c>
      <c r="Q41">
        <f t="shared" si="0"/>
        <v>1</v>
      </c>
      <c r="R41">
        <f t="shared" si="1"/>
        <v>0</v>
      </c>
      <c r="S41">
        <f>IF(COUNTIFS($B$1:$B$738,B40,$C$1:$C$738,#REF!)&gt;2,1,0)</f>
        <v>0</v>
      </c>
      <c r="T41">
        <f t="shared" si="2"/>
        <v>0</v>
      </c>
      <c r="U41">
        <f t="shared" si="3"/>
        <v>0</v>
      </c>
      <c r="V41">
        <f t="shared" si="4"/>
        <v>0</v>
      </c>
      <c r="W41">
        <f t="shared" si="6"/>
        <v>1</v>
      </c>
      <c r="X41" t="str" cm="1">
        <f t="array" ref="X41">_xlfn.IFS(W41&lt;=1,"Low",W41=2,"Medium",W41&gt;=3,"High")</f>
        <v>Low</v>
      </c>
    </row>
    <row r="42" spans="1:24" x14ac:dyDescent="0.3">
      <c r="A42" t="s">
        <v>146</v>
      </c>
      <c r="B42" t="s">
        <v>143</v>
      </c>
      <c r="C42" s="3">
        <v>46073</v>
      </c>
      <c r="D42" s="8" t="s">
        <v>147</v>
      </c>
      <c r="E42" s="7" t="s">
        <v>77</v>
      </c>
      <c r="F42" s="7" t="s">
        <v>15</v>
      </c>
      <c r="G42" s="7" t="s">
        <v>49</v>
      </c>
      <c r="H42" s="4">
        <v>3748</v>
      </c>
      <c r="I42" s="7" t="s">
        <v>16</v>
      </c>
      <c r="J42" s="7" t="s">
        <v>41</v>
      </c>
      <c r="L42" t="str">
        <f>PROPER(TRIM(SUBSTITUTE(_xlfn.XLOOKUP(B42,Cardholders_Reference!A:A,Cardholders_Reference!B:B),","," ")))</f>
        <v>Lerato Dlamini</v>
      </c>
      <c r="M42" s="5">
        <f>_xlfn.XLOOKUP(B42,Cardholders_Reference!A:A,Cardholders_Reference!G:G)</f>
        <v>30000</v>
      </c>
      <c r="N42" s="7" t="str">
        <f>_xlfn.XLOOKUP(B42,Cardholders_Reference!A:A,Cardholders_Reference!D:D)</f>
        <v>Nedbank</v>
      </c>
      <c r="O42" s="7" t="str">
        <f>_xlfn.XLOOKUP(B42,Cardholders_Reference!A:A,Cardholders_Reference!E:E)</f>
        <v>Visa</v>
      </c>
      <c r="P42" s="6">
        <f t="shared" si="5"/>
        <v>0.12493333333333333</v>
      </c>
      <c r="Q42">
        <f t="shared" si="0"/>
        <v>1</v>
      </c>
      <c r="R42">
        <f t="shared" si="1"/>
        <v>0</v>
      </c>
      <c r="S42">
        <f>IF(COUNTIFS($B$1:$B$738,B41,$C$1:$C$738,#REF!)&gt;2,1,0)</f>
        <v>0</v>
      </c>
      <c r="T42">
        <f t="shared" si="2"/>
        <v>0</v>
      </c>
      <c r="U42">
        <f t="shared" si="3"/>
        <v>0</v>
      </c>
      <c r="V42">
        <f t="shared" si="4"/>
        <v>0</v>
      </c>
      <c r="W42">
        <f t="shared" si="6"/>
        <v>1</v>
      </c>
      <c r="X42" t="str" cm="1">
        <f t="array" ref="X42">_xlfn.IFS(W42&lt;=1,"Low",W42=2,"Medium",W42&gt;=3,"High")</f>
        <v>Low</v>
      </c>
    </row>
    <row r="43" spans="1:24" x14ac:dyDescent="0.3">
      <c r="A43" t="s">
        <v>148</v>
      </c>
      <c r="B43" t="s">
        <v>143</v>
      </c>
      <c r="C43" s="3">
        <v>46067</v>
      </c>
      <c r="D43" s="8" t="s">
        <v>149</v>
      </c>
      <c r="E43" s="7" t="s">
        <v>137</v>
      </c>
      <c r="F43" s="7" t="s">
        <v>40</v>
      </c>
      <c r="G43" s="7" t="s">
        <v>49</v>
      </c>
      <c r="H43" s="4">
        <v>362.52</v>
      </c>
      <c r="I43" s="7" t="s">
        <v>26</v>
      </c>
      <c r="J43" s="7" t="s">
        <v>17</v>
      </c>
      <c r="L43" t="str">
        <f>PROPER(TRIM(SUBSTITUTE(_xlfn.XLOOKUP(B43,Cardholders_Reference!A:A,Cardholders_Reference!B:B),","," ")))</f>
        <v>Lerato Dlamini</v>
      </c>
      <c r="M43" s="5">
        <f>_xlfn.XLOOKUP(B43,Cardholders_Reference!A:A,Cardholders_Reference!G:G)</f>
        <v>30000</v>
      </c>
      <c r="N43" s="7" t="str">
        <f>_xlfn.XLOOKUP(B43,Cardholders_Reference!A:A,Cardholders_Reference!D:D)</f>
        <v>Nedbank</v>
      </c>
      <c r="O43" s="7" t="str">
        <f>_xlfn.XLOOKUP(B43,Cardholders_Reference!A:A,Cardholders_Reference!E:E)</f>
        <v>Visa</v>
      </c>
      <c r="P43" s="6">
        <f t="shared" si="5"/>
        <v>1.2083999999999999E-2</v>
      </c>
      <c r="Q43">
        <f t="shared" si="0"/>
        <v>0</v>
      </c>
      <c r="R43">
        <f t="shared" si="1"/>
        <v>0</v>
      </c>
      <c r="S43">
        <f>IF(COUNTIFS($B$1:$B$738,B42,$C$1:$C$738,#REF!)&gt;2,1,0)</f>
        <v>0</v>
      </c>
      <c r="T43">
        <f t="shared" si="2"/>
        <v>0</v>
      </c>
      <c r="U43">
        <f t="shared" si="3"/>
        <v>0</v>
      </c>
      <c r="V43">
        <f t="shared" si="4"/>
        <v>1</v>
      </c>
      <c r="W43">
        <f t="shared" si="6"/>
        <v>1</v>
      </c>
      <c r="X43" t="str" cm="1">
        <f t="array" ref="X43">_xlfn.IFS(W43&lt;=1,"Low",W43=2,"Medium",W43&gt;=3,"High")</f>
        <v>Low</v>
      </c>
    </row>
    <row r="44" spans="1:24" x14ac:dyDescent="0.3">
      <c r="A44" t="s">
        <v>150</v>
      </c>
      <c r="B44" t="s">
        <v>143</v>
      </c>
      <c r="C44" s="3">
        <v>46024</v>
      </c>
      <c r="D44" s="8" t="s">
        <v>151</v>
      </c>
      <c r="E44" s="7" t="s">
        <v>140</v>
      </c>
      <c r="F44" s="7" t="s">
        <v>53</v>
      </c>
      <c r="G44" s="7" t="s">
        <v>49</v>
      </c>
      <c r="H44" s="4">
        <v>1701.4</v>
      </c>
      <c r="I44" s="7" t="s">
        <v>16</v>
      </c>
      <c r="J44" s="7" t="s">
        <v>17</v>
      </c>
      <c r="L44" t="str">
        <f>PROPER(TRIM(SUBSTITUTE(_xlfn.XLOOKUP(B44,Cardholders_Reference!A:A,Cardholders_Reference!B:B),","," ")))</f>
        <v>Lerato Dlamini</v>
      </c>
      <c r="M44" s="5">
        <f>_xlfn.XLOOKUP(B44,Cardholders_Reference!A:A,Cardholders_Reference!G:G)</f>
        <v>30000</v>
      </c>
      <c r="N44" s="7" t="str">
        <f>_xlfn.XLOOKUP(B44,Cardholders_Reference!A:A,Cardholders_Reference!D:D)</f>
        <v>Nedbank</v>
      </c>
      <c r="O44" s="7" t="str">
        <f>_xlfn.XLOOKUP(B44,Cardholders_Reference!A:A,Cardholders_Reference!E:E)</f>
        <v>Visa</v>
      </c>
      <c r="P44" s="6">
        <f t="shared" si="5"/>
        <v>5.6713333333333338E-2</v>
      </c>
      <c r="Q44">
        <f t="shared" si="0"/>
        <v>0</v>
      </c>
      <c r="R44">
        <f t="shared" si="1"/>
        <v>0</v>
      </c>
      <c r="S44">
        <f>IF(COUNTIFS($B$1:$B$738,B43,$C$1:$C$738,#REF!)&gt;2,1,0)</f>
        <v>0</v>
      </c>
      <c r="T44">
        <f t="shared" si="2"/>
        <v>0</v>
      </c>
      <c r="U44">
        <f t="shared" si="3"/>
        <v>0</v>
      </c>
      <c r="V44">
        <f t="shared" si="4"/>
        <v>0</v>
      </c>
      <c r="W44">
        <f t="shared" si="6"/>
        <v>0</v>
      </c>
      <c r="X44" t="str" cm="1">
        <f t="array" ref="X44">_xlfn.IFS(W44&lt;=1,"Low",W44=2,"Medium",W44&gt;=3,"High")</f>
        <v>Low</v>
      </c>
    </row>
    <row r="45" spans="1:24" x14ac:dyDescent="0.3">
      <c r="A45" t="s">
        <v>152</v>
      </c>
      <c r="B45" t="s">
        <v>143</v>
      </c>
      <c r="C45" s="3">
        <v>46072</v>
      </c>
      <c r="D45" s="8" t="s">
        <v>153</v>
      </c>
      <c r="E45" s="7" t="s">
        <v>52</v>
      </c>
      <c r="F45" s="7" t="s">
        <v>53</v>
      </c>
      <c r="G45" s="7" t="s">
        <v>49</v>
      </c>
      <c r="H45" s="4">
        <v>1605.59</v>
      </c>
      <c r="I45" s="7" t="s">
        <v>32</v>
      </c>
      <c r="J45" s="7" t="s">
        <v>17</v>
      </c>
      <c r="L45" t="str">
        <f>PROPER(TRIM(SUBSTITUTE(_xlfn.XLOOKUP(B45,Cardholders_Reference!A:A,Cardholders_Reference!B:B),","," ")))</f>
        <v>Lerato Dlamini</v>
      </c>
      <c r="M45" s="5">
        <f>_xlfn.XLOOKUP(B45,Cardholders_Reference!A:A,Cardholders_Reference!G:G)</f>
        <v>30000</v>
      </c>
      <c r="N45" s="7" t="str">
        <f>_xlfn.XLOOKUP(B45,Cardholders_Reference!A:A,Cardholders_Reference!D:D)</f>
        <v>Nedbank</v>
      </c>
      <c r="O45" s="7" t="str">
        <f>_xlfn.XLOOKUP(B45,Cardholders_Reference!A:A,Cardholders_Reference!E:E)</f>
        <v>Visa</v>
      </c>
      <c r="P45" s="6">
        <f t="shared" si="5"/>
        <v>5.3519666666666667E-2</v>
      </c>
      <c r="Q45">
        <f t="shared" si="0"/>
        <v>0</v>
      </c>
      <c r="R45">
        <f t="shared" si="1"/>
        <v>0</v>
      </c>
      <c r="S45">
        <f>IF(COUNTIFS($B$1:$B$738,B44,$C$1:$C$738,#REF!)&gt;2,1,0)</f>
        <v>0</v>
      </c>
      <c r="T45">
        <f t="shared" si="2"/>
        <v>0</v>
      </c>
      <c r="U45">
        <f t="shared" si="3"/>
        <v>0</v>
      </c>
      <c r="V45">
        <f t="shared" si="4"/>
        <v>0</v>
      </c>
      <c r="W45">
        <f t="shared" si="6"/>
        <v>0</v>
      </c>
      <c r="X45" t="str" cm="1">
        <f t="array" ref="X45">_xlfn.IFS(W45&lt;=1,"Low",W45=2,"Medium",W45&gt;=3,"High")</f>
        <v>Low</v>
      </c>
    </row>
    <row r="46" spans="1:24" x14ac:dyDescent="0.3">
      <c r="A46" t="s">
        <v>154</v>
      </c>
      <c r="B46" t="s">
        <v>143</v>
      </c>
      <c r="C46" s="3">
        <v>45731</v>
      </c>
      <c r="D46" s="8" t="s">
        <v>155</v>
      </c>
      <c r="E46" s="7" t="s">
        <v>156</v>
      </c>
      <c r="F46" s="7" t="s">
        <v>36</v>
      </c>
      <c r="G46" s="7" t="s">
        <v>49</v>
      </c>
      <c r="H46" s="4">
        <v>106.16</v>
      </c>
      <c r="I46" s="7" t="s">
        <v>16</v>
      </c>
      <c r="J46" s="7" t="s">
        <v>17</v>
      </c>
      <c r="L46" t="str">
        <f>PROPER(TRIM(SUBSTITUTE(_xlfn.XLOOKUP(B46,Cardholders_Reference!A:A,Cardholders_Reference!B:B),","," ")))</f>
        <v>Lerato Dlamini</v>
      </c>
      <c r="M46" s="5">
        <f>_xlfn.XLOOKUP(B46,Cardholders_Reference!A:A,Cardholders_Reference!G:G)</f>
        <v>30000</v>
      </c>
      <c r="N46" s="7" t="str">
        <f>_xlfn.XLOOKUP(B46,Cardholders_Reference!A:A,Cardholders_Reference!D:D)</f>
        <v>Nedbank</v>
      </c>
      <c r="O46" s="7" t="str">
        <f>_xlfn.XLOOKUP(B46,Cardholders_Reference!A:A,Cardholders_Reference!E:E)</f>
        <v>Visa</v>
      </c>
      <c r="P46" s="6">
        <f t="shared" si="5"/>
        <v>3.5386666666666665E-3</v>
      </c>
      <c r="Q46">
        <f t="shared" si="0"/>
        <v>0</v>
      </c>
      <c r="R46">
        <f t="shared" si="1"/>
        <v>0</v>
      </c>
      <c r="S46">
        <f>IF(COUNTIFS($B$1:$B$738,B45,$C$1:$C$738,#REF!)&gt;2,1,0)</f>
        <v>0</v>
      </c>
      <c r="T46">
        <f t="shared" si="2"/>
        <v>0</v>
      </c>
      <c r="U46">
        <f t="shared" si="3"/>
        <v>0</v>
      </c>
      <c r="V46">
        <f t="shared" si="4"/>
        <v>0</v>
      </c>
      <c r="W46">
        <f t="shared" si="6"/>
        <v>0</v>
      </c>
      <c r="X46" t="str" cm="1">
        <f t="array" ref="X46">_xlfn.IFS(W46&lt;=1,"Low",W46=2,"Medium",W46&gt;=3,"High")</f>
        <v>Low</v>
      </c>
    </row>
    <row r="47" spans="1:24" x14ac:dyDescent="0.3">
      <c r="A47" t="s">
        <v>157</v>
      </c>
      <c r="B47" t="s">
        <v>143</v>
      </c>
      <c r="C47" s="3">
        <v>46207</v>
      </c>
      <c r="D47" s="8" t="s">
        <v>158</v>
      </c>
      <c r="E47" s="7" t="s">
        <v>73</v>
      </c>
      <c r="F47" s="7" t="s">
        <v>74</v>
      </c>
      <c r="G47" s="7" t="s">
        <v>145</v>
      </c>
      <c r="H47" s="4">
        <v>814.43</v>
      </c>
      <c r="I47" s="7" t="s">
        <v>16</v>
      </c>
      <c r="J47" s="7" t="s">
        <v>17</v>
      </c>
      <c r="L47" t="str">
        <f>PROPER(TRIM(SUBSTITUTE(_xlfn.XLOOKUP(B47,Cardholders_Reference!A:A,Cardholders_Reference!B:B),","," ")))</f>
        <v>Lerato Dlamini</v>
      </c>
      <c r="M47" s="5">
        <f>_xlfn.XLOOKUP(B47,Cardholders_Reference!A:A,Cardholders_Reference!G:G)</f>
        <v>30000</v>
      </c>
      <c r="N47" s="7" t="str">
        <f>_xlfn.XLOOKUP(B47,Cardholders_Reference!A:A,Cardholders_Reference!D:D)</f>
        <v>Nedbank</v>
      </c>
      <c r="O47" s="7" t="str">
        <f>_xlfn.XLOOKUP(B47,Cardholders_Reference!A:A,Cardholders_Reference!E:E)</f>
        <v>Visa</v>
      </c>
      <c r="P47" s="6">
        <f t="shared" si="5"/>
        <v>2.7147666666666664E-2</v>
      </c>
      <c r="Q47">
        <f t="shared" si="0"/>
        <v>0</v>
      </c>
      <c r="R47">
        <f t="shared" si="1"/>
        <v>0</v>
      </c>
      <c r="S47">
        <f>IF(COUNTIFS($B$1:$B$738,B46,$C$1:$C$738,#REF!)&gt;2,1,0)</f>
        <v>0</v>
      </c>
      <c r="T47">
        <f t="shared" si="2"/>
        <v>0</v>
      </c>
      <c r="U47">
        <f t="shared" si="3"/>
        <v>0</v>
      </c>
      <c r="V47">
        <f t="shared" si="4"/>
        <v>0</v>
      </c>
      <c r="W47">
        <f t="shared" si="6"/>
        <v>0</v>
      </c>
      <c r="X47" t="str" cm="1">
        <f t="array" ref="X47">_xlfn.IFS(W47&lt;=1,"Low",W47=2,"Medium",W47&gt;=3,"High")</f>
        <v>Low</v>
      </c>
    </row>
    <row r="48" spans="1:24" x14ac:dyDescent="0.3">
      <c r="A48" t="s">
        <v>159</v>
      </c>
      <c r="B48" t="s">
        <v>143</v>
      </c>
      <c r="C48" s="3">
        <v>45709</v>
      </c>
      <c r="D48" s="8" t="s">
        <v>160</v>
      </c>
      <c r="E48" s="7" t="s">
        <v>47</v>
      </c>
      <c r="F48" s="7" t="s">
        <v>48</v>
      </c>
      <c r="G48" s="7" t="s">
        <v>250</v>
      </c>
      <c r="H48" s="4">
        <v>1611.95</v>
      </c>
      <c r="I48" s="7" t="s">
        <v>95</v>
      </c>
      <c r="J48" s="7" t="s">
        <v>17</v>
      </c>
      <c r="L48" t="str">
        <f>PROPER(TRIM(SUBSTITUTE(_xlfn.XLOOKUP(B48,Cardholders_Reference!A:A,Cardholders_Reference!B:B),","," ")))</f>
        <v>Lerato Dlamini</v>
      </c>
      <c r="M48" s="5">
        <f>_xlfn.XLOOKUP(B48,Cardholders_Reference!A:A,Cardholders_Reference!G:G)</f>
        <v>30000</v>
      </c>
      <c r="N48" s="7" t="str">
        <f>_xlfn.XLOOKUP(B48,Cardholders_Reference!A:A,Cardholders_Reference!D:D)</f>
        <v>Nedbank</v>
      </c>
      <c r="O48" s="7" t="str">
        <f>_xlfn.XLOOKUP(B48,Cardholders_Reference!A:A,Cardholders_Reference!E:E)</f>
        <v>Visa</v>
      </c>
      <c r="P48" s="6">
        <f t="shared" si="5"/>
        <v>5.3731666666666671E-2</v>
      </c>
      <c r="Q48">
        <f t="shared" si="0"/>
        <v>1</v>
      </c>
      <c r="R48">
        <f t="shared" si="1"/>
        <v>0</v>
      </c>
      <c r="S48">
        <f>IF(COUNTIFS($B$1:$B$738,B47,$C$1:$C$738,#REF!)&gt;2,1,0)</f>
        <v>0</v>
      </c>
      <c r="T48">
        <f t="shared" si="2"/>
        <v>0</v>
      </c>
      <c r="U48">
        <f t="shared" si="3"/>
        <v>0</v>
      </c>
      <c r="V48">
        <f t="shared" si="4"/>
        <v>1</v>
      </c>
      <c r="W48">
        <f t="shared" si="6"/>
        <v>2</v>
      </c>
      <c r="X48" t="str" cm="1">
        <f t="array" ref="X48">_xlfn.IFS(W48&lt;=1,"Low",W48=2,"Medium",W48&gt;=3,"High")</f>
        <v>Medium</v>
      </c>
    </row>
    <row r="49" spans="1:24" x14ac:dyDescent="0.3">
      <c r="A49" t="s">
        <v>161</v>
      </c>
      <c r="B49" t="s">
        <v>143</v>
      </c>
      <c r="C49" s="3">
        <v>45770</v>
      </c>
      <c r="D49" s="8" t="s">
        <v>162</v>
      </c>
      <c r="E49" s="7" t="s">
        <v>24</v>
      </c>
      <c r="F49" s="7" t="s">
        <v>25</v>
      </c>
      <c r="G49" s="7" t="s">
        <v>145</v>
      </c>
      <c r="H49" s="4">
        <v>1011.44</v>
      </c>
      <c r="I49" s="7" t="s">
        <v>26</v>
      </c>
      <c r="J49" s="7" t="s">
        <v>41</v>
      </c>
      <c r="L49" t="str">
        <f>PROPER(TRIM(SUBSTITUTE(_xlfn.XLOOKUP(B49,Cardholders_Reference!A:A,Cardholders_Reference!B:B),","," ")))</f>
        <v>Lerato Dlamini</v>
      </c>
      <c r="M49" s="5">
        <f>_xlfn.XLOOKUP(B49,Cardholders_Reference!A:A,Cardholders_Reference!G:G)</f>
        <v>30000</v>
      </c>
      <c r="N49" s="7" t="str">
        <f>_xlfn.XLOOKUP(B49,Cardholders_Reference!A:A,Cardholders_Reference!D:D)</f>
        <v>Nedbank</v>
      </c>
      <c r="O49" s="7" t="str">
        <f>_xlfn.XLOOKUP(B49,Cardholders_Reference!A:A,Cardholders_Reference!E:E)</f>
        <v>Visa</v>
      </c>
      <c r="P49" s="6">
        <f t="shared" si="5"/>
        <v>3.3714666666666671E-2</v>
      </c>
      <c r="Q49">
        <f t="shared" si="0"/>
        <v>1</v>
      </c>
      <c r="R49">
        <f t="shared" si="1"/>
        <v>0</v>
      </c>
      <c r="S49">
        <f>IF(COUNTIFS($B$1:$B$738,B48,$C$1:$C$738,#REF!)&gt;2,1,0)</f>
        <v>0</v>
      </c>
      <c r="T49">
        <f t="shared" si="2"/>
        <v>0</v>
      </c>
      <c r="U49">
        <f t="shared" si="3"/>
        <v>0</v>
      </c>
      <c r="V49">
        <f t="shared" si="4"/>
        <v>1</v>
      </c>
      <c r="W49">
        <f t="shared" si="6"/>
        <v>2</v>
      </c>
      <c r="X49" t="str" cm="1">
        <f t="array" ref="X49">_xlfn.IFS(W49&lt;=1,"Low",W49=2,"Medium",W49&gt;=3,"High")</f>
        <v>Medium</v>
      </c>
    </row>
    <row r="50" spans="1:24" x14ac:dyDescent="0.3">
      <c r="A50" t="s">
        <v>163</v>
      </c>
      <c r="B50" t="s">
        <v>143</v>
      </c>
      <c r="C50" s="3">
        <v>45830</v>
      </c>
      <c r="D50" s="8" t="s">
        <v>1439</v>
      </c>
      <c r="E50" s="7" t="s">
        <v>94</v>
      </c>
      <c r="F50" s="7" t="s">
        <v>53</v>
      </c>
      <c r="G50" s="7" t="s">
        <v>49</v>
      </c>
      <c r="H50" s="4">
        <v>876.57</v>
      </c>
      <c r="I50" s="7" t="s">
        <v>16</v>
      </c>
      <c r="J50" s="7" t="s">
        <v>41</v>
      </c>
      <c r="L50" t="str">
        <f>PROPER(TRIM(SUBSTITUTE(_xlfn.XLOOKUP(B50,Cardholders_Reference!A:A,Cardholders_Reference!B:B),","," ")))</f>
        <v>Lerato Dlamini</v>
      </c>
      <c r="M50" s="5">
        <f>_xlfn.XLOOKUP(B50,Cardholders_Reference!A:A,Cardholders_Reference!G:G)</f>
        <v>30000</v>
      </c>
      <c r="N50" s="7" t="str">
        <f>_xlfn.XLOOKUP(B50,Cardholders_Reference!A:A,Cardholders_Reference!D:D)</f>
        <v>Nedbank</v>
      </c>
      <c r="O50" s="7" t="str">
        <f>_xlfn.XLOOKUP(B50,Cardholders_Reference!A:A,Cardholders_Reference!E:E)</f>
        <v>Visa</v>
      </c>
      <c r="P50" s="6">
        <f t="shared" si="5"/>
        <v>2.9219000000000002E-2</v>
      </c>
      <c r="Q50">
        <f t="shared" si="0"/>
        <v>1</v>
      </c>
      <c r="R50">
        <f t="shared" si="1"/>
        <v>1</v>
      </c>
      <c r="S50">
        <f>IF(COUNTIFS($B$1:$B$738,B49,$C$1:$C$738,#REF!)&gt;2,1,0)</f>
        <v>0</v>
      </c>
      <c r="T50">
        <f t="shared" si="2"/>
        <v>0</v>
      </c>
      <c r="U50">
        <f t="shared" si="3"/>
        <v>0</v>
      </c>
      <c r="V50">
        <f t="shared" si="4"/>
        <v>0</v>
      </c>
      <c r="W50">
        <f t="shared" si="6"/>
        <v>2</v>
      </c>
      <c r="X50" t="str" cm="1">
        <f t="array" ref="X50">_xlfn.IFS(W50&lt;=1,"Low",W50=2,"Medium",W50&gt;=3,"High")</f>
        <v>Medium</v>
      </c>
    </row>
    <row r="51" spans="1:24" x14ac:dyDescent="0.3">
      <c r="A51" t="s">
        <v>164</v>
      </c>
      <c r="B51" t="s">
        <v>143</v>
      </c>
      <c r="C51" s="3">
        <v>46785</v>
      </c>
      <c r="D51" s="8" t="s">
        <v>165</v>
      </c>
      <c r="E51" s="7" t="s">
        <v>14</v>
      </c>
      <c r="F51" s="7" t="s">
        <v>15</v>
      </c>
      <c r="G51" s="7" t="s">
        <v>145</v>
      </c>
      <c r="H51" s="4">
        <v>3357.01</v>
      </c>
      <c r="I51" s="7" t="s">
        <v>16</v>
      </c>
      <c r="J51" s="7" t="s">
        <v>17</v>
      </c>
      <c r="L51" t="str">
        <f>PROPER(TRIM(SUBSTITUTE(_xlfn.XLOOKUP(B51,Cardholders_Reference!A:A,Cardholders_Reference!B:B),","," ")))</f>
        <v>Lerato Dlamini</v>
      </c>
      <c r="M51" s="5">
        <f>_xlfn.XLOOKUP(B51,Cardholders_Reference!A:A,Cardholders_Reference!G:G)</f>
        <v>30000</v>
      </c>
      <c r="N51" s="7" t="str">
        <f>_xlfn.XLOOKUP(B51,Cardholders_Reference!A:A,Cardholders_Reference!D:D)</f>
        <v>Nedbank</v>
      </c>
      <c r="O51" s="7" t="str">
        <f>_xlfn.XLOOKUP(B51,Cardholders_Reference!A:A,Cardholders_Reference!E:E)</f>
        <v>Visa</v>
      </c>
      <c r="P51" s="6">
        <f t="shared" si="5"/>
        <v>0.11190033333333334</v>
      </c>
      <c r="Q51">
        <f t="shared" si="0"/>
        <v>0</v>
      </c>
      <c r="R51">
        <f t="shared" si="1"/>
        <v>0</v>
      </c>
      <c r="S51">
        <f>IF(COUNTIFS($B$1:$B$738,B50,$C$1:$C$738,#REF!)&gt;2,1,0)</f>
        <v>0</v>
      </c>
      <c r="T51">
        <f t="shared" si="2"/>
        <v>0</v>
      </c>
      <c r="U51">
        <f t="shared" si="3"/>
        <v>0</v>
      </c>
      <c r="V51">
        <f t="shared" si="4"/>
        <v>0</v>
      </c>
      <c r="W51">
        <f t="shared" si="6"/>
        <v>0</v>
      </c>
      <c r="X51" t="str" cm="1">
        <f t="array" ref="X51">_xlfn.IFS(W51&lt;=1,"Low",W51=2,"Medium",W51&gt;=3,"High")</f>
        <v>Low</v>
      </c>
    </row>
    <row r="52" spans="1:24" x14ac:dyDescent="0.3">
      <c r="A52" t="s">
        <v>166</v>
      </c>
      <c r="B52" t="s">
        <v>143</v>
      </c>
      <c r="C52" s="3">
        <v>46023</v>
      </c>
      <c r="D52" s="8" t="s">
        <v>167</v>
      </c>
      <c r="E52" s="7" t="s">
        <v>132</v>
      </c>
      <c r="F52" s="7" t="s">
        <v>25</v>
      </c>
      <c r="G52" s="7" t="s">
        <v>145</v>
      </c>
      <c r="H52" s="4">
        <v>588.72</v>
      </c>
      <c r="I52" s="7" t="s">
        <v>32</v>
      </c>
      <c r="J52" s="7" t="s">
        <v>17</v>
      </c>
      <c r="L52" t="str">
        <f>PROPER(TRIM(SUBSTITUTE(_xlfn.XLOOKUP(B52,Cardholders_Reference!A:A,Cardholders_Reference!B:B),","," ")))</f>
        <v>Lerato Dlamini</v>
      </c>
      <c r="M52" s="5">
        <f>_xlfn.XLOOKUP(B52,Cardholders_Reference!A:A,Cardholders_Reference!G:G)</f>
        <v>30000</v>
      </c>
      <c r="N52" s="7" t="str">
        <f>_xlfn.XLOOKUP(B52,Cardholders_Reference!A:A,Cardholders_Reference!D:D)</f>
        <v>Nedbank</v>
      </c>
      <c r="O52" s="7" t="str">
        <f>_xlfn.XLOOKUP(B52,Cardholders_Reference!A:A,Cardholders_Reference!E:E)</f>
        <v>Visa</v>
      </c>
      <c r="P52" s="6">
        <f t="shared" si="5"/>
        <v>1.9624000000000003E-2</v>
      </c>
      <c r="Q52">
        <f t="shared" si="0"/>
        <v>1</v>
      </c>
      <c r="R52">
        <f t="shared" si="1"/>
        <v>0</v>
      </c>
      <c r="S52">
        <f>IF(COUNTIFS($B$1:$B$738,B51,$C$1:$C$738,#REF!)&gt;2,1,0)</f>
        <v>0</v>
      </c>
      <c r="T52">
        <f t="shared" si="2"/>
        <v>0</v>
      </c>
      <c r="U52">
        <f t="shared" si="3"/>
        <v>0</v>
      </c>
      <c r="V52">
        <f t="shared" si="4"/>
        <v>0</v>
      </c>
      <c r="W52">
        <f t="shared" si="6"/>
        <v>1</v>
      </c>
      <c r="X52" t="str" cm="1">
        <f t="array" ref="X52">_xlfn.IFS(W52&lt;=1,"Low",W52=2,"Medium",W52&gt;=3,"High")</f>
        <v>Low</v>
      </c>
    </row>
    <row r="53" spans="1:24" x14ac:dyDescent="0.3">
      <c r="A53" t="s">
        <v>168</v>
      </c>
      <c r="B53" t="s">
        <v>143</v>
      </c>
      <c r="C53" s="3">
        <v>46166</v>
      </c>
      <c r="D53" s="8" t="s">
        <v>169</v>
      </c>
      <c r="E53" s="7" t="s">
        <v>170</v>
      </c>
      <c r="F53" s="7" t="s">
        <v>91</v>
      </c>
      <c r="G53" s="7" t="s">
        <v>49</v>
      </c>
      <c r="H53" s="4">
        <v>1014.87</v>
      </c>
      <c r="I53" s="7" t="s">
        <v>32</v>
      </c>
      <c r="J53" s="7" t="s">
        <v>41</v>
      </c>
      <c r="L53" t="str">
        <f>PROPER(TRIM(SUBSTITUTE(_xlfn.XLOOKUP(B53,Cardholders_Reference!A:A,Cardholders_Reference!B:B),","," ")))</f>
        <v>Lerato Dlamini</v>
      </c>
      <c r="M53" s="5">
        <f>_xlfn.XLOOKUP(B53,Cardholders_Reference!A:A,Cardholders_Reference!G:G)</f>
        <v>30000</v>
      </c>
      <c r="N53" s="7" t="str">
        <f>_xlfn.XLOOKUP(B53,Cardholders_Reference!A:A,Cardholders_Reference!D:D)</f>
        <v>Nedbank</v>
      </c>
      <c r="O53" s="7" t="str">
        <f>_xlfn.XLOOKUP(B53,Cardholders_Reference!A:A,Cardholders_Reference!E:E)</f>
        <v>Visa</v>
      </c>
      <c r="P53" s="6">
        <f t="shared" si="5"/>
        <v>3.3828999999999998E-2</v>
      </c>
      <c r="Q53">
        <f t="shared" si="0"/>
        <v>1</v>
      </c>
      <c r="R53">
        <f t="shared" si="1"/>
        <v>0</v>
      </c>
      <c r="S53">
        <f>IF(COUNTIFS($B$1:$B$738,B52,$C$1:$C$738,#REF!)&gt;2,1,0)</f>
        <v>0</v>
      </c>
      <c r="T53">
        <f t="shared" si="2"/>
        <v>0</v>
      </c>
      <c r="U53">
        <f t="shared" si="3"/>
        <v>0</v>
      </c>
      <c r="V53">
        <f t="shared" si="4"/>
        <v>0</v>
      </c>
      <c r="W53">
        <f t="shared" si="6"/>
        <v>1</v>
      </c>
      <c r="X53" t="str" cm="1">
        <f t="array" ref="X53">_xlfn.IFS(W53&lt;=1,"Low",W53=2,"Medium",W53&gt;=3,"High")</f>
        <v>Low</v>
      </c>
    </row>
    <row r="54" spans="1:24" x14ac:dyDescent="0.3">
      <c r="A54" t="s">
        <v>171</v>
      </c>
      <c r="B54" t="s">
        <v>143</v>
      </c>
      <c r="C54" s="3">
        <v>46130</v>
      </c>
      <c r="D54" s="8" t="s">
        <v>172</v>
      </c>
      <c r="E54" s="7" t="s">
        <v>173</v>
      </c>
      <c r="F54" s="7" t="s">
        <v>21</v>
      </c>
      <c r="G54" s="7" t="s">
        <v>49</v>
      </c>
      <c r="H54" s="4">
        <v>1871.12</v>
      </c>
      <c r="I54" s="7" t="s">
        <v>16</v>
      </c>
      <c r="J54" s="7" t="s">
        <v>41</v>
      </c>
      <c r="L54" t="str">
        <f>PROPER(TRIM(SUBSTITUTE(_xlfn.XLOOKUP(B54,Cardholders_Reference!A:A,Cardholders_Reference!B:B),","," ")))</f>
        <v>Lerato Dlamini</v>
      </c>
      <c r="M54" s="5">
        <f>_xlfn.XLOOKUP(B54,Cardholders_Reference!A:A,Cardholders_Reference!G:G)</f>
        <v>30000</v>
      </c>
      <c r="N54" s="7" t="str">
        <f>_xlfn.XLOOKUP(B54,Cardholders_Reference!A:A,Cardholders_Reference!D:D)</f>
        <v>Nedbank</v>
      </c>
      <c r="O54" s="7" t="str">
        <f>_xlfn.XLOOKUP(B54,Cardholders_Reference!A:A,Cardholders_Reference!E:E)</f>
        <v>Visa</v>
      </c>
      <c r="P54" s="6">
        <f t="shared" si="5"/>
        <v>6.2370666666666665E-2</v>
      </c>
      <c r="Q54">
        <f t="shared" si="0"/>
        <v>0</v>
      </c>
      <c r="R54">
        <f t="shared" si="1"/>
        <v>0</v>
      </c>
      <c r="S54">
        <f>IF(COUNTIFS($B$1:$B$738,B53,$C$1:$C$738,#REF!)&gt;2,1,0)</f>
        <v>0</v>
      </c>
      <c r="T54">
        <f t="shared" si="2"/>
        <v>0</v>
      </c>
      <c r="U54">
        <f t="shared" si="3"/>
        <v>0</v>
      </c>
      <c r="V54">
        <f t="shared" si="4"/>
        <v>0</v>
      </c>
      <c r="W54">
        <f t="shared" si="6"/>
        <v>0</v>
      </c>
      <c r="X54" t="str" cm="1">
        <f t="array" ref="X54">_xlfn.IFS(W54&lt;=1,"Low",W54=2,"Medium",W54&gt;=3,"High")</f>
        <v>Low</v>
      </c>
    </row>
    <row r="55" spans="1:24" x14ac:dyDescent="0.3">
      <c r="A55" t="s">
        <v>174</v>
      </c>
      <c r="B55" t="s">
        <v>175</v>
      </c>
      <c r="C55" s="3">
        <v>46787</v>
      </c>
      <c r="D55" s="8" t="s">
        <v>176</v>
      </c>
      <c r="E55" s="7" t="s">
        <v>114</v>
      </c>
      <c r="F55" s="7" t="s">
        <v>81</v>
      </c>
      <c r="G55" s="7" t="s">
        <v>177</v>
      </c>
      <c r="H55" s="4">
        <v>2500.0500000000002</v>
      </c>
      <c r="I55" s="7" t="s">
        <v>95</v>
      </c>
      <c r="J55" s="7" t="s">
        <v>41</v>
      </c>
      <c r="L55" t="str">
        <f>PROPER(TRIM(SUBSTITUTE(_xlfn.XLOOKUP(B55,Cardholders_Reference!A:A,Cardholders_Reference!B:B),","," ")))</f>
        <v>Rachel Sithole</v>
      </c>
      <c r="M55" s="5">
        <f>_xlfn.XLOOKUP(B55,Cardholders_Reference!A:A,Cardholders_Reference!G:G)</f>
        <v>20000</v>
      </c>
      <c r="N55" s="7" t="str">
        <f>_xlfn.XLOOKUP(B55,Cardholders_Reference!A:A,Cardholders_Reference!D:D)</f>
        <v>FNB</v>
      </c>
      <c r="O55" s="7" t="str">
        <f>_xlfn.XLOOKUP(B55,Cardholders_Reference!A:A,Cardholders_Reference!E:E)</f>
        <v>Mastercard</v>
      </c>
      <c r="P55" s="6">
        <f t="shared" si="5"/>
        <v>0.12500250000000002</v>
      </c>
      <c r="Q55">
        <f t="shared" si="0"/>
        <v>0</v>
      </c>
      <c r="R55">
        <f t="shared" si="1"/>
        <v>0</v>
      </c>
      <c r="S55">
        <f>IF(COUNTIFS($B$1:$B$738,B54,$C$1:$C$738,#REF!)&gt;2,1,0)</f>
        <v>0</v>
      </c>
      <c r="T55">
        <f t="shared" si="2"/>
        <v>0</v>
      </c>
      <c r="U55">
        <f t="shared" si="3"/>
        <v>1</v>
      </c>
      <c r="V55">
        <f t="shared" si="4"/>
        <v>1</v>
      </c>
      <c r="W55">
        <f t="shared" si="6"/>
        <v>2</v>
      </c>
      <c r="X55" t="str" cm="1">
        <f t="array" ref="X55">_xlfn.IFS(W55&lt;=1,"Low",W55=2,"Medium",W55&gt;=3,"High")</f>
        <v>Medium</v>
      </c>
    </row>
    <row r="56" spans="1:24" x14ac:dyDescent="0.3">
      <c r="A56" t="s">
        <v>178</v>
      </c>
      <c r="B56" t="s">
        <v>175</v>
      </c>
      <c r="C56" s="3">
        <v>45988</v>
      </c>
      <c r="D56" s="8" t="s">
        <v>179</v>
      </c>
      <c r="E56" s="7" t="s">
        <v>180</v>
      </c>
      <c r="F56" s="7" t="s">
        <v>21</v>
      </c>
      <c r="G56" s="7" t="s">
        <v>177</v>
      </c>
      <c r="H56" s="4">
        <v>1260.81</v>
      </c>
      <c r="I56" s="7" t="s">
        <v>95</v>
      </c>
      <c r="J56" s="7" t="s">
        <v>17</v>
      </c>
      <c r="L56" t="str">
        <f>PROPER(TRIM(SUBSTITUTE(_xlfn.XLOOKUP(B56,Cardholders_Reference!A:A,Cardholders_Reference!B:B),","," ")))</f>
        <v>Rachel Sithole</v>
      </c>
      <c r="M56" s="5">
        <f>_xlfn.XLOOKUP(B56,Cardholders_Reference!A:A,Cardholders_Reference!G:G)</f>
        <v>20000</v>
      </c>
      <c r="N56" s="7" t="str">
        <f>_xlfn.XLOOKUP(B56,Cardholders_Reference!A:A,Cardholders_Reference!D:D)</f>
        <v>FNB</v>
      </c>
      <c r="O56" s="7" t="str">
        <f>_xlfn.XLOOKUP(B56,Cardholders_Reference!A:A,Cardholders_Reference!E:E)</f>
        <v>Mastercard</v>
      </c>
      <c r="P56" s="6">
        <f t="shared" si="5"/>
        <v>6.3040499999999999E-2</v>
      </c>
      <c r="Q56">
        <f t="shared" si="0"/>
        <v>0</v>
      </c>
      <c r="R56">
        <f t="shared" si="1"/>
        <v>0</v>
      </c>
      <c r="S56">
        <f>IF(COUNTIFS($B$1:$B$738,B55,$C$1:$C$738,#REF!)&gt;2,1,0)</f>
        <v>0</v>
      </c>
      <c r="T56">
        <f t="shared" si="2"/>
        <v>0</v>
      </c>
      <c r="U56">
        <f t="shared" si="3"/>
        <v>0</v>
      </c>
      <c r="V56">
        <f t="shared" si="4"/>
        <v>1</v>
      </c>
      <c r="W56">
        <f t="shared" si="6"/>
        <v>1</v>
      </c>
      <c r="X56" t="str" cm="1">
        <f t="array" ref="X56">_xlfn.IFS(W56&lt;=1,"Low",W56=2,"Medium",W56&gt;=3,"High")</f>
        <v>Low</v>
      </c>
    </row>
    <row r="57" spans="1:24" x14ac:dyDescent="0.3">
      <c r="A57" t="s">
        <v>181</v>
      </c>
      <c r="B57" t="s">
        <v>175</v>
      </c>
      <c r="C57" s="3">
        <v>45699</v>
      </c>
      <c r="D57" s="8" t="s">
        <v>182</v>
      </c>
      <c r="E57" s="7" t="s">
        <v>14</v>
      </c>
      <c r="F57" s="7" t="s">
        <v>15</v>
      </c>
      <c r="G57" s="7" t="s">
        <v>177</v>
      </c>
      <c r="H57" s="4">
        <v>752.19</v>
      </c>
      <c r="I57" s="7" t="s">
        <v>95</v>
      </c>
      <c r="J57" s="7" t="s">
        <v>17</v>
      </c>
      <c r="K57" t="s">
        <v>183</v>
      </c>
      <c r="L57" t="str">
        <f>PROPER(TRIM(SUBSTITUTE(_xlfn.XLOOKUP(B57,Cardholders_Reference!A:A,Cardholders_Reference!B:B),","," ")))</f>
        <v>Rachel Sithole</v>
      </c>
      <c r="M57" s="5">
        <f>_xlfn.XLOOKUP(B57,Cardholders_Reference!A:A,Cardholders_Reference!G:G)</f>
        <v>20000</v>
      </c>
      <c r="N57" s="7" t="str">
        <f>_xlfn.XLOOKUP(B57,Cardholders_Reference!A:A,Cardholders_Reference!D:D)</f>
        <v>FNB</v>
      </c>
      <c r="O57" s="7" t="str">
        <f>_xlfn.XLOOKUP(B57,Cardholders_Reference!A:A,Cardholders_Reference!E:E)</f>
        <v>Mastercard</v>
      </c>
      <c r="P57" s="6">
        <f t="shared" si="5"/>
        <v>3.7609500000000004E-2</v>
      </c>
      <c r="Q57">
        <f t="shared" si="0"/>
        <v>0</v>
      </c>
      <c r="R57">
        <f t="shared" si="1"/>
        <v>0</v>
      </c>
      <c r="S57">
        <f>IF(COUNTIFS($B$1:$B$738,B56,$C$1:$C$738,#REF!)&gt;2,1,0)</f>
        <v>0</v>
      </c>
      <c r="T57">
        <f t="shared" si="2"/>
        <v>0</v>
      </c>
      <c r="U57">
        <f t="shared" si="3"/>
        <v>1</v>
      </c>
      <c r="V57">
        <f t="shared" si="4"/>
        <v>1</v>
      </c>
      <c r="W57">
        <f t="shared" si="6"/>
        <v>2</v>
      </c>
      <c r="X57" t="str" cm="1">
        <f t="array" ref="X57">_xlfn.IFS(W57&lt;=1,"Low",W57=2,"Medium",W57&gt;=3,"High")</f>
        <v>Medium</v>
      </c>
    </row>
    <row r="58" spans="1:24" x14ac:dyDescent="0.3">
      <c r="A58" t="s">
        <v>184</v>
      </c>
      <c r="B58" t="s">
        <v>175</v>
      </c>
      <c r="C58" s="3">
        <v>46147</v>
      </c>
      <c r="D58" s="8" t="s">
        <v>185</v>
      </c>
      <c r="E58" s="7" t="s">
        <v>70</v>
      </c>
      <c r="F58" s="7" t="s">
        <v>36</v>
      </c>
      <c r="G58" s="7" t="s">
        <v>177</v>
      </c>
      <c r="H58" s="4">
        <v>633.84</v>
      </c>
      <c r="I58" s="7" t="s">
        <v>95</v>
      </c>
      <c r="J58" s="7" t="s">
        <v>17</v>
      </c>
      <c r="L58" t="str">
        <f>PROPER(TRIM(SUBSTITUTE(_xlfn.XLOOKUP(B58,Cardholders_Reference!A:A,Cardholders_Reference!B:B),","," ")))</f>
        <v>Rachel Sithole</v>
      </c>
      <c r="M58" s="5">
        <f>_xlfn.XLOOKUP(B58,Cardholders_Reference!A:A,Cardholders_Reference!G:G)</f>
        <v>20000</v>
      </c>
      <c r="N58" s="7" t="str">
        <f>_xlfn.XLOOKUP(B58,Cardholders_Reference!A:A,Cardholders_Reference!D:D)</f>
        <v>FNB</v>
      </c>
      <c r="O58" s="7" t="str">
        <f>_xlfn.XLOOKUP(B58,Cardholders_Reference!A:A,Cardholders_Reference!E:E)</f>
        <v>Mastercard</v>
      </c>
      <c r="P58" s="6">
        <f t="shared" si="5"/>
        <v>3.1692000000000005E-2</v>
      </c>
      <c r="Q58">
        <f t="shared" si="0"/>
        <v>0</v>
      </c>
      <c r="R58">
        <f t="shared" si="1"/>
        <v>0</v>
      </c>
      <c r="S58">
        <f>IF(COUNTIFS($B$1:$B$738,B57,$C$1:$C$738,#REF!)&gt;2,1,0)</f>
        <v>0</v>
      </c>
      <c r="T58">
        <f t="shared" si="2"/>
        <v>0</v>
      </c>
      <c r="U58">
        <f t="shared" si="3"/>
        <v>0</v>
      </c>
      <c r="V58">
        <f t="shared" si="4"/>
        <v>1</v>
      </c>
      <c r="W58">
        <f t="shared" si="6"/>
        <v>1</v>
      </c>
      <c r="X58" t="str" cm="1">
        <f t="array" ref="X58">_xlfn.IFS(W58&lt;=1,"Low",W58=2,"Medium",W58&gt;=3,"High")</f>
        <v>Low</v>
      </c>
    </row>
    <row r="59" spans="1:24" x14ac:dyDescent="0.3">
      <c r="A59" t="s">
        <v>186</v>
      </c>
      <c r="B59" t="s">
        <v>175</v>
      </c>
      <c r="C59" s="3">
        <v>45872</v>
      </c>
      <c r="D59" s="8" t="s">
        <v>187</v>
      </c>
      <c r="E59" s="7" t="s">
        <v>14</v>
      </c>
      <c r="F59" s="7" t="s">
        <v>15</v>
      </c>
      <c r="G59" s="7" t="s">
        <v>177</v>
      </c>
      <c r="H59" s="4">
        <v>2716.48</v>
      </c>
      <c r="I59" s="7" t="s">
        <v>16</v>
      </c>
      <c r="J59" s="7" t="s">
        <v>17</v>
      </c>
      <c r="L59" t="str">
        <f>PROPER(TRIM(SUBSTITUTE(_xlfn.XLOOKUP(B59,Cardholders_Reference!A:A,Cardholders_Reference!B:B),","," ")))</f>
        <v>Rachel Sithole</v>
      </c>
      <c r="M59" s="5">
        <f>_xlfn.XLOOKUP(B59,Cardholders_Reference!A:A,Cardholders_Reference!G:G)</f>
        <v>20000</v>
      </c>
      <c r="N59" s="7" t="str">
        <f>_xlfn.XLOOKUP(B59,Cardholders_Reference!A:A,Cardholders_Reference!D:D)</f>
        <v>FNB</v>
      </c>
      <c r="O59" s="7" t="str">
        <f>_xlfn.XLOOKUP(B59,Cardholders_Reference!A:A,Cardholders_Reference!E:E)</f>
        <v>Mastercard</v>
      </c>
      <c r="P59" s="6">
        <f t="shared" si="5"/>
        <v>0.135824</v>
      </c>
      <c r="Q59">
        <f t="shared" si="0"/>
        <v>0</v>
      </c>
      <c r="R59">
        <f t="shared" si="1"/>
        <v>0</v>
      </c>
      <c r="S59">
        <f>IF(COUNTIFS($B$1:$B$738,B58,$C$1:$C$738,#REF!)&gt;2,1,0)</f>
        <v>0</v>
      </c>
      <c r="T59">
        <f t="shared" si="2"/>
        <v>0</v>
      </c>
      <c r="U59">
        <f t="shared" si="3"/>
        <v>0</v>
      </c>
      <c r="V59">
        <f t="shared" si="4"/>
        <v>0</v>
      </c>
      <c r="W59">
        <f t="shared" si="6"/>
        <v>0</v>
      </c>
      <c r="X59" t="str" cm="1">
        <f t="array" ref="X59">_xlfn.IFS(W59&lt;=1,"Low",W59=2,"Medium",W59&gt;=3,"High")</f>
        <v>Low</v>
      </c>
    </row>
    <row r="60" spans="1:24" x14ac:dyDescent="0.3">
      <c r="A60" t="s">
        <v>188</v>
      </c>
      <c r="B60" t="s">
        <v>175</v>
      </c>
      <c r="C60" s="3">
        <v>46035</v>
      </c>
      <c r="D60" s="8" t="s">
        <v>189</v>
      </c>
      <c r="E60" s="7" t="s">
        <v>80</v>
      </c>
      <c r="F60" s="7" t="s">
        <v>81</v>
      </c>
      <c r="G60" s="7" t="s">
        <v>177</v>
      </c>
      <c r="H60" s="4">
        <v>8903.2900000000009</v>
      </c>
      <c r="I60" s="7" t="s">
        <v>32</v>
      </c>
      <c r="J60" s="7" t="s">
        <v>17</v>
      </c>
      <c r="L60" t="str">
        <f>PROPER(TRIM(SUBSTITUTE(_xlfn.XLOOKUP(B60,Cardholders_Reference!A:A,Cardholders_Reference!B:B),","," ")))</f>
        <v>Rachel Sithole</v>
      </c>
      <c r="M60" s="5">
        <f>_xlfn.XLOOKUP(B60,Cardholders_Reference!A:A,Cardholders_Reference!G:G)</f>
        <v>20000</v>
      </c>
      <c r="N60" s="7" t="str">
        <f>_xlfn.XLOOKUP(B60,Cardholders_Reference!A:A,Cardholders_Reference!D:D)</f>
        <v>FNB</v>
      </c>
      <c r="O60" s="7" t="str">
        <f>_xlfn.XLOOKUP(B60,Cardholders_Reference!A:A,Cardholders_Reference!E:E)</f>
        <v>Mastercard</v>
      </c>
      <c r="P60" s="6">
        <f t="shared" si="5"/>
        <v>0.44516450000000002</v>
      </c>
      <c r="Q60">
        <f t="shared" si="0"/>
        <v>0</v>
      </c>
      <c r="R60">
        <f t="shared" si="1"/>
        <v>0</v>
      </c>
      <c r="S60">
        <f>IF(COUNTIFS($B$1:$B$738,B59,$C$1:$C$738,#REF!)&gt;2,1,0)</f>
        <v>0</v>
      </c>
      <c r="T60">
        <f t="shared" si="2"/>
        <v>0</v>
      </c>
      <c r="U60">
        <f t="shared" si="3"/>
        <v>0</v>
      </c>
      <c r="V60">
        <f t="shared" si="4"/>
        <v>0</v>
      </c>
      <c r="W60">
        <f t="shared" si="6"/>
        <v>0</v>
      </c>
      <c r="X60" t="str" cm="1">
        <f t="array" ref="X60">_xlfn.IFS(W60&lt;=1,"Low",W60=2,"Medium",W60&gt;=3,"High")</f>
        <v>Low</v>
      </c>
    </row>
    <row r="61" spans="1:24" x14ac:dyDescent="0.3">
      <c r="A61" t="s">
        <v>190</v>
      </c>
      <c r="B61" t="s">
        <v>175</v>
      </c>
      <c r="C61" s="3">
        <v>45836</v>
      </c>
      <c r="D61" s="8" t="s">
        <v>191</v>
      </c>
      <c r="E61" s="7" t="s">
        <v>70</v>
      </c>
      <c r="F61" s="7" t="s">
        <v>36</v>
      </c>
      <c r="G61" s="7" t="s">
        <v>192</v>
      </c>
      <c r="H61" s="4">
        <v>286.81</v>
      </c>
      <c r="I61" s="7" t="s">
        <v>26</v>
      </c>
      <c r="J61" s="7" t="s">
        <v>41</v>
      </c>
      <c r="L61" t="str">
        <f>PROPER(TRIM(SUBSTITUTE(_xlfn.XLOOKUP(B61,Cardholders_Reference!A:A,Cardholders_Reference!B:B),","," ")))</f>
        <v>Rachel Sithole</v>
      </c>
      <c r="M61" s="5">
        <f>_xlfn.XLOOKUP(B61,Cardholders_Reference!A:A,Cardholders_Reference!G:G)</f>
        <v>20000</v>
      </c>
      <c r="N61" s="7" t="str">
        <f>_xlfn.XLOOKUP(B61,Cardholders_Reference!A:A,Cardholders_Reference!D:D)</f>
        <v>FNB</v>
      </c>
      <c r="O61" s="7" t="str">
        <f>_xlfn.XLOOKUP(B61,Cardholders_Reference!A:A,Cardholders_Reference!E:E)</f>
        <v>Mastercard</v>
      </c>
      <c r="P61" s="6">
        <f t="shared" si="5"/>
        <v>1.4340500000000001E-2</v>
      </c>
      <c r="Q61">
        <f t="shared" si="0"/>
        <v>0</v>
      </c>
      <c r="R61">
        <f t="shared" si="1"/>
        <v>0</v>
      </c>
      <c r="S61">
        <f>IF(COUNTIFS($B$1:$B$738,B60,$C$1:$C$738,#REF!)&gt;2,1,0)</f>
        <v>0</v>
      </c>
      <c r="T61">
        <f t="shared" si="2"/>
        <v>1</v>
      </c>
      <c r="U61">
        <f t="shared" si="3"/>
        <v>0</v>
      </c>
      <c r="V61">
        <f t="shared" si="4"/>
        <v>1</v>
      </c>
      <c r="W61">
        <f t="shared" si="6"/>
        <v>2</v>
      </c>
      <c r="X61" t="str" cm="1">
        <f t="array" ref="X61">_xlfn.IFS(W61&lt;=1,"Low",W61=2,"Medium",W61&gt;=3,"High")</f>
        <v>Medium</v>
      </c>
    </row>
    <row r="62" spans="1:24" x14ac:dyDescent="0.3">
      <c r="A62" t="s">
        <v>193</v>
      </c>
      <c r="B62" t="s">
        <v>175</v>
      </c>
      <c r="C62" s="3">
        <v>45847</v>
      </c>
      <c r="D62" s="8" t="s">
        <v>194</v>
      </c>
      <c r="E62" s="7" t="s">
        <v>97</v>
      </c>
      <c r="F62" s="7" t="s">
        <v>53</v>
      </c>
      <c r="G62" s="7" t="s">
        <v>177</v>
      </c>
      <c r="H62" s="4">
        <v>1343.7</v>
      </c>
      <c r="I62" s="7" t="s">
        <v>16</v>
      </c>
      <c r="J62" s="7" t="s">
        <v>17</v>
      </c>
      <c r="L62" t="str">
        <f>PROPER(TRIM(SUBSTITUTE(_xlfn.XLOOKUP(B62,Cardholders_Reference!A:A,Cardholders_Reference!B:B),","," ")))</f>
        <v>Rachel Sithole</v>
      </c>
      <c r="M62" s="5">
        <f>_xlfn.XLOOKUP(B62,Cardholders_Reference!A:A,Cardholders_Reference!G:G)</f>
        <v>20000</v>
      </c>
      <c r="N62" s="7" t="str">
        <f>_xlfn.XLOOKUP(B62,Cardholders_Reference!A:A,Cardholders_Reference!D:D)</f>
        <v>FNB</v>
      </c>
      <c r="O62" s="7" t="str">
        <f>_xlfn.XLOOKUP(B62,Cardholders_Reference!A:A,Cardholders_Reference!E:E)</f>
        <v>Mastercard</v>
      </c>
      <c r="P62" s="6">
        <f t="shared" si="5"/>
        <v>6.7185000000000009E-2</v>
      </c>
      <c r="Q62">
        <f t="shared" si="0"/>
        <v>1</v>
      </c>
      <c r="R62">
        <f t="shared" si="1"/>
        <v>0</v>
      </c>
      <c r="S62">
        <f>IF(COUNTIFS($B$1:$B$738,B61,$C$1:$C$738,#REF!)&gt;2,1,0)</f>
        <v>0</v>
      </c>
      <c r="T62">
        <f t="shared" si="2"/>
        <v>0</v>
      </c>
      <c r="U62">
        <f t="shared" si="3"/>
        <v>0</v>
      </c>
      <c r="V62">
        <f t="shared" si="4"/>
        <v>0</v>
      </c>
      <c r="W62">
        <f t="shared" si="6"/>
        <v>1</v>
      </c>
      <c r="X62" t="str" cm="1">
        <f t="array" ref="X62">_xlfn.IFS(W62&lt;=1,"Low",W62=2,"Medium",W62&gt;=3,"High")</f>
        <v>Low</v>
      </c>
    </row>
    <row r="63" spans="1:24" x14ac:dyDescent="0.3">
      <c r="A63" t="s">
        <v>195</v>
      </c>
      <c r="B63" t="s">
        <v>196</v>
      </c>
      <c r="C63" s="3">
        <v>45911</v>
      </c>
      <c r="D63" s="8" t="s">
        <v>197</v>
      </c>
      <c r="E63" s="7" t="s">
        <v>80</v>
      </c>
      <c r="F63" s="7" t="s">
        <v>81</v>
      </c>
      <c r="G63" s="7" t="s">
        <v>49</v>
      </c>
      <c r="H63" s="4">
        <v>3140.21</v>
      </c>
      <c r="I63" s="7" t="s">
        <v>95</v>
      </c>
      <c r="J63" s="7" t="s">
        <v>17</v>
      </c>
      <c r="L63" t="str">
        <f>PROPER(TRIM(SUBSTITUTE(_xlfn.XLOOKUP(B63,Cardholders_Reference!A:A,Cardholders_Reference!B:B),","," ")))</f>
        <v>Sanele Fourie</v>
      </c>
      <c r="M63" s="5">
        <f>_xlfn.XLOOKUP(B63,Cardholders_Reference!A:A,Cardholders_Reference!G:G)</f>
        <v>20000</v>
      </c>
      <c r="N63" s="7" t="str">
        <f>_xlfn.XLOOKUP(B63,Cardholders_Reference!A:A,Cardholders_Reference!D:D)</f>
        <v>Nedbank</v>
      </c>
      <c r="O63" s="7" t="str">
        <f>_xlfn.XLOOKUP(B63,Cardholders_Reference!A:A,Cardholders_Reference!E:E)</f>
        <v>Mastercard</v>
      </c>
      <c r="P63" s="6">
        <f t="shared" si="5"/>
        <v>0.1570105</v>
      </c>
      <c r="Q63">
        <f t="shared" si="0"/>
        <v>0</v>
      </c>
      <c r="R63">
        <f t="shared" si="1"/>
        <v>0</v>
      </c>
      <c r="S63">
        <f>IF(COUNTIFS($B$1:$B$738,B62,$C$1:$C$738,#REF!)&gt;2,1,0)</f>
        <v>0</v>
      </c>
      <c r="T63">
        <f t="shared" si="2"/>
        <v>0</v>
      </c>
      <c r="U63">
        <f t="shared" si="3"/>
        <v>0</v>
      </c>
      <c r="V63">
        <f t="shared" si="4"/>
        <v>1</v>
      </c>
      <c r="W63">
        <f t="shared" si="6"/>
        <v>1</v>
      </c>
      <c r="X63" t="str" cm="1">
        <f t="array" ref="X63">_xlfn.IFS(W63&lt;=1,"Low",W63=2,"Medium",W63&gt;=3,"High")</f>
        <v>Low</v>
      </c>
    </row>
    <row r="64" spans="1:24" x14ac:dyDescent="0.3">
      <c r="A64" t="s">
        <v>198</v>
      </c>
      <c r="B64" t="s">
        <v>196</v>
      </c>
      <c r="C64" s="3">
        <v>46147</v>
      </c>
      <c r="D64" s="8" t="s">
        <v>199</v>
      </c>
      <c r="E64" s="7" t="s">
        <v>87</v>
      </c>
      <c r="F64" s="7" t="s">
        <v>48</v>
      </c>
      <c r="G64" s="7" t="s">
        <v>49</v>
      </c>
      <c r="H64" s="4">
        <v>1860.93</v>
      </c>
      <c r="I64" s="7" t="s">
        <v>32</v>
      </c>
      <c r="J64" s="7" t="s">
        <v>17</v>
      </c>
      <c r="L64" t="str">
        <f>PROPER(TRIM(SUBSTITUTE(_xlfn.XLOOKUP(B64,Cardholders_Reference!A:A,Cardholders_Reference!B:B),","," ")))</f>
        <v>Sanele Fourie</v>
      </c>
      <c r="M64" s="5">
        <f>_xlfn.XLOOKUP(B64,Cardholders_Reference!A:A,Cardholders_Reference!G:G)</f>
        <v>20000</v>
      </c>
      <c r="N64" s="7" t="str">
        <f>_xlfn.XLOOKUP(B64,Cardholders_Reference!A:A,Cardholders_Reference!D:D)</f>
        <v>Nedbank</v>
      </c>
      <c r="O64" s="7" t="str">
        <f>_xlfn.XLOOKUP(B64,Cardholders_Reference!A:A,Cardholders_Reference!E:E)</f>
        <v>Mastercard</v>
      </c>
      <c r="P64" s="6">
        <f t="shared" si="5"/>
        <v>9.3046500000000004E-2</v>
      </c>
      <c r="Q64">
        <f t="shared" si="0"/>
        <v>0</v>
      </c>
      <c r="R64">
        <f t="shared" si="1"/>
        <v>0</v>
      </c>
      <c r="S64">
        <f>IF(COUNTIFS($B$1:$B$738,B63,$C$1:$C$738,#REF!)&gt;2,1,0)</f>
        <v>0</v>
      </c>
      <c r="T64">
        <f t="shared" si="2"/>
        <v>0</v>
      </c>
      <c r="U64">
        <f t="shared" si="3"/>
        <v>0</v>
      </c>
      <c r="V64">
        <f t="shared" si="4"/>
        <v>0</v>
      </c>
      <c r="W64">
        <f t="shared" si="6"/>
        <v>0</v>
      </c>
      <c r="X64" t="str" cm="1">
        <f t="array" ref="X64">_xlfn.IFS(W64&lt;=1,"Low",W64=2,"Medium",W64&gt;=3,"High")</f>
        <v>Low</v>
      </c>
    </row>
    <row r="65" spans="1:24" x14ac:dyDescent="0.3">
      <c r="A65" t="s">
        <v>200</v>
      </c>
      <c r="B65" t="s">
        <v>196</v>
      </c>
      <c r="C65" s="3">
        <v>46001</v>
      </c>
      <c r="D65" s="8" t="s">
        <v>201</v>
      </c>
      <c r="E65" s="7" t="s">
        <v>44</v>
      </c>
      <c r="F65" s="7" t="s">
        <v>25</v>
      </c>
      <c r="G65" s="7" t="s">
        <v>49</v>
      </c>
      <c r="H65" s="4">
        <v>809.34</v>
      </c>
      <c r="I65" s="7" t="s">
        <v>26</v>
      </c>
      <c r="J65" s="7" t="s">
        <v>17</v>
      </c>
      <c r="L65" t="str">
        <f>PROPER(TRIM(SUBSTITUTE(_xlfn.XLOOKUP(B65,Cardholders_Reference!A:A,Cardholders_Reference!B:B),","," ")))</f>
        <v>Sanele Fourie</v>
      </c>
      <c r="M65" s="5">
        <f>_xlfn.XLOOKUP(B65,Cardholders_Reference!A:A,Cardholders_Reference!G:G)</f>
        <v>20000</v>
      </c>
      <c r="N65" s="7" t="str">
        <f>_xlfn.XLOOKUP(B65,Cardholders_Reference!A:A,Cardholders_Reference!D:D)</f>
        <v>Nedbank</v>
      </c>
      <c r="O65" s="7" t="str">
        <f>_xlfn.XLOOKUP(B65,Cardholders_Reference!A:A,Cardholders_Reference!E:E)</f>
        <v>Mastercard</v>
      </c>
      <c r="P65" s="6">
        <f t="shared" si="5"/>
        <v>4.0467000000000003E-2</v>
      </c>
      <c r="Q65">
        <f t="shared" si="0"/>
        <v>0</v>
      </c>
      <c r="R65">
        <f t="shared" si="1"/>
        <v>0</v>
      </c>
      <c r="S65">
        <f>IF(COUNTIFS($B$1:$B$738,B64,$C$1:$C$738,#REF!)&gt;2,1,0)</f>
        <v>0</v>
      </c>
      <c r="T65">
        <f t="shared" si="2"/>
        <v>0</v>
      </c>
      <c r="U65">
        <f t="shared" si="3"/>
        <v>0</v>
      </c>
      <c r="V65">
        <f t="shared" si="4"/>
        <v>1</v>
      </c>
      <c r="W65">
        <f t="shared" si="6"/>
        <v>1</v>
      </c>
      <c r="X65" t="str" cm="1">
        <f t="array" ref="X65">_xlfn.IFS(W65&lt;=1,"Low",W65=2,"Medium",W65&gt;=3,"High")</f>
        <v>Low</v>
      </c>
    </row>
    <row r="66" spans="1:24" x14ac:dyDescent="0.3">
      <c r="A66" t="s">
        <v>202</v>
      </c>
      <c r="B66" t="s">
        <v>196</v>
      </c>
      <c r="C66" s="3">
        <v>45999</v>
      </c>
      <c r="D66" s="8" t="s">
        <v>203</v>
      </c>
      <c r="E66" s="7" t="s">
        <v>90</v>
      </c>
      <c r="F66" s="7" t="s">
        <v>91</v>
      </c>
      <c r="G66" s="7" t="s">
        <v>49</v>
      </c>
      <c r="H66" s="4">
        <v>1842.21</v>
      </c>
      <c r="I66" s="7" t="s">
        <v>26</v>
      </c>
      <c r="J66" s="7" t="s">
        <v>17</v>
      </c>
      <c r="L66" t="str">
        <f>PROPER(TRIM(SUBSTITUTE(_xlfn.XLOOKUP(B66,Cardholders_Reference!A:A,Cardholders_Reference!B:B),","," ")))</f>
        <v>Sanele Fourie</v>
      </c>
      <c r="M66" s="5">
        <f>_xlfn.XLOOKUP(B66,Cardholders_Reference!A:A,Cardholders_Reference!G:G)</f>
        <v>20000</v>
      </c>
      <c r="N66" s="7" t="str">
        <f>_xlfn.XLOOKUP(B66,Cardholders_Reference!A:A,Cardholders_Reference!D:D)</f>
        <v>Nedbank</v>
      </c>
      <c r="O66" s="7" t="str">
        <f>_xlfn.XLOOKUP(B66,Cardholders_Reference!A:A,Cardholders_Reference!E:E)</f>
        <v>Mastercard</v>
      </c>
      <c r="P66" s="6">
        <f t="shared" si="5"/>
        <v>9.2110499999999998E-2</v>
      </c>
      <c r="Q66">
        <f t="shared" ref="Q66:Q129" si="7">IF(COUNTIFS($B$1:$B$738,B65,$G$1:$G$738,G65)/COUNTIF($B$1:$B$738,B65)&lt;0.5,1,0)</f>
        <v>0</v>
      </c>
      <c r="R66">
        <f t="shared" ref="R66:R129" si="8">IF(D66="Unknown",1,IF(OR(TIMEVALUE(D66)&lt;TIME(5,0,0),TIMEVALUE(D66)&gt;=TIME(23,0,0)),1,0))</f>
        <v>0</v>
      </c>
      <c r="S66">
        <f>IF(COUNTIFS($B$1:$B$738,B65,$C$1:$C$738,#REF!)&gt;2,1,0)</f>
        <v>0</v>
      </c>
      <c r="T66">
        <f t="shared" ref="T66:T129" si="9">IF(P65&gt;0.4,1,0)</f>
        <v>0</v>
      </c>
      <c r="U66">
        <f t="shared" ref="U66:U129" si="10">IF(OR(F65="Gambling",F65="ATM Withdrawal"),1,0)</f>
        <v>0</v>
      </c>
      <c r="V66">
        <f t="shared" ref="V66:V129" si="11">IF(OR(I66="Card Not Present (Phone)",I66="Online"),1,0)</f>
        <v>1</v>
      </c>
      <c r="W66">
        <f t="shared" si="6"/>
        <v>1</v>
      </c>
      <c r="X66" t="str" cm="1">
        <f t="array" ref="X66">_xlfn.IFS(W66&lt;=1,"Low",W66=2,"Medium",W66&gt;=3,"High")</f>
        <v>Low</v>
      </c>
    </row>
    <row r="67" spans="1:24" x14ac:dyDescent="0.3">
      <c r="A67" t="s">
        <v>204</v>
      </c>
      <c r="B67" t="s">
        <v>196</v>
      </c>
      <c r="C67" s="3">
        <v>45854</v>
      </c>
      <c r="D67" s="8" t="s">
        <v>205</v>
      </c>
      <c r="E67" s="7" t="s">
        <v>206</v>
      </c>
      <c r="F67" s="7" t="s">
        <v>61</v>
      </c>
      <c r="G67" s="7" t="s">
        <v>145</v>
      </c>
      <c r="H67" s="4">
        <v>10964.15</v>
      </c>
      <c r="I67" s="7" t="s">
        <v>95</v>
      </c>
      <c r="J67" s="7" t="s">
        <v>17</v>
      </c>
      <c r="L67" t="str">
        <f>PROPER(TRIM(SUBSTITUTE(_xlfn.XLOOKUP(B67,Cardholders_Reference!A:A,Cardholders_Reference!B:B),","," ")))</f>
        <v>Sanele Fourie</v>
      </c>
      <c r="M67" s="5">
        <f>_xlfn.XLOOKUP(B67,Cardholders_Reference!A:A,Cardholders_Reference!G:G)</f>
        <v>20000</v>
      </c>
      <c r="N67" s="7" t="str">
        <f>_xlfn.XLOOKUP(B67,Cardholders_Reference!A:A,Cardholders_Reference!D:D)</f>
        <v>Nedbank</v>
      </c>
      <c r="O67" s="7" t="str">
        <f>_xlfn.XLOOKUP(B67,Cardholders_Reference!A:A,Cardholders_Reference!E:E)</f>
        <v>Mastercard</v>
      </c>
      <c r="P67" s="6">
        <f t="shared" ref="P67:P130" si="12">H67/M67</f>
        <v>0.54820749999999996</v>
      </c>
      <c r="Q67">
        <f t="shared" si="7"/>
        <v>0</v>
      </c>
      <c r="R67">
        <f t="shared" si="8"/>
        <v>0</v>
      </c>
      <c r="S67">
        <f>IF(COUNTIFS($B$1:$B$738,B66,$C$1:$C$738,#REF!)&gt;2,1,0)</f>
        <v>0</v>
      </c>
      <c r="T67">
        <f t="shared" si="9"/>
        <v>0</v>
      </c>
      <c r="U67">
        <f t="shared" si="10"/>
        <v>0</v>
      </c>
      <c r="V67">
        <f t="shared" si="11"/>
        <v>1</v>
      </c>
      <c r="W67">
        <f t="shared" ref="W67:W130" si="13">SUM(Q67:V67)</f>
        <v>1</v>
      </c>
      <c r="X67" t="str" cm="1">
        <f t="array" ref="X67">_xlfn.IFS(W67&lt;=1,"Low",W67=2,"Medium",W67&gt;=3,"High")</f>
        <v>Low</v>
      </c>
    </row>
    <row r="68" spans="1:24" x14ac:dyDescent="0.3">
      <c r="A68" t="s">
        <v>207</v>
      </c>
      <c r="B68" t="s">
        <v>196</v>
      </c>
      <c r="C68" s="3">
        <v>45670</v>
      </c>
      <c r="D68" s="8" t="s">
        <v>194</v>
      </c>
      <c r="E68" s="7" t="s">
        <v>39</v>
      </c>
      <c r="F68" s="7" t="s">
        <v>40</v>
      </c>
      <c r="G68" s="7" t="s">
        <v>49</v>
      </c>
      <c r="H68" s="4">
        <v>277.39999999999998</v>
      </c>
      <c r="I68" s="7" t="s">
        <v>26</v>
      </c>
      <c r="J68" s="7" t="s">
        <v>17</v>
      </c>
      <c r="K68" t="s">
        <v>183</v>
      </c>
      <c r="L68" t="str">
        <f>PROPER(TRIM(SUBSTITUTE(_xlfn.XLOOKUP(B68,Cardholders_Reference!A:A,Cardholders_Reference!B:B),","," ")))</f>
        <v>Sanele Fourie</v>
      </c>
      <c r="M68" s="5">
        <f>_xlfn.XLOOKUP(B68,Cardholders_Reference!A:A,Cardholders_Reference!G:G)</f>
        <v>20000</v>
      </c>
      <c r="N68" s="7" t="str">
        <f>_xlfn.XLOOKUP(B68,Cardholders_Reference!A:A,Cardholders_Reference!D:D)</f>
        <v>Nedbank</v>
      </c>
      <c r="O68" s="7" t="str">
        <f>_xlfn.XLOOKUP(B68,Cardholders_Reference!A:A,Cardholders_Reference!E:E)</f>
        <v>Mastercard</v>
      </c>
      <c r="P68" s="6">
        <f t="shared" si="12"/>
        <v>1.3869999999999999E-2</v>
      </c>
      <c r="Q68">
        <f t="shared" si="7"/>
        <v>1</v>
      </c>
      <c r="R68">
        <f t="shared" si="8"/>
        <v>0</v>
      </c>
      <c r="S68">
        <f>IF(COUNTIFS($B$1:$B$738,B67,$C$1:$C$738,#REF!)&gt;2,1,0)</f>
        <v>0</v>
      </c>
      <c r="T68">
        <f t="shared" si="9"/>
        <v>1</v>
      </c>
      <c r="U68">
        <f t="shared" si="10"/>
        <v>0</v>
      </c>
      <c r="V68">
        <f t="shared" si="11"/>
        <v>1</v>
      </c>
      <c r="W68">
        <f t="shared" si="13"/>
        <v>3</v>
      </c>
      <c r="X68" t="str" cm="1">
        <f t="array" ref="X68">_xlfn.IFS(W68&lt;=1,"Low",W68=2,"Medium",W68&gt;=3,"High")</f>
        <v>High</v>
      </c>
    </row>
    <row r="69" spans="1:24" x14ac:dyDescent="0.3">
      <c r="A69" t="s">
        <v>208</v>
      </c>
      <c r="B69" t="s">
        <v>196</v>
      </c>
      <c r="C69" s="3">
        <v>46215</v>
      </c>
      <c r="D69" s="8" t="s">
        <v>209</v>
      </c>
      <c r="E69" s="7" t="s">
        <v>170</v>
      </c>
      <c r="F69" s="7" t="s">
        <v>91</v>
      </c>
      <c r="G69" s="7" t="s">
        <v>49</v>
      </c>
      <c r="H69" s="4">
        <v>2249.59</v>
      </c>
      <c r="I69" s="7" t="s">
        <v>26</v>
      </c>
      <c r="J69" s="7" t="s">
        <v>17</v>
      </c>
      <c r="L69" t="str">
        <f>PROPER(TRIM(SUBSTITUTE(_xlfn.XLOOKUP(B69,Cardholders_Reference!A:A,Cardholders_Reference!B:B),","," ")))</f>
        <v>Sanele Fourie</v>
      </c>
      <c r="M69" s="5">
        <f>_xlfn.XLOOKUP(B69,Cardholders_Reference!A:A,Cardholders_Reference!G:G)</f>
        <v>20000</v>
      </c>
      <c r="N69" s="7" t="str">
        <f>_xlfn.XLOOKUP(B69,Cardholders_Reference!A:A,Cardholders_Reference!D:D)</f>
        <v>Nedbank</v>
      </c>
      <c r="O69" s="7" t="str">
        <f>_xlfn.XLOOKUP(B69,Cardholders_Reference!A:A,Cardholders_Reference!E:E)</f>
        <v>Mastercard</v>
      </c>
      <c r="P69" s="6">
        <f t="shared" si="12"/>
        <v>0.11247950000000001</v>
      </c>
      <c r="Q69">
        <f t="shared" si="7"/>
        <v>0</v>
      </c>
      <c r="R69">
        <f t="shared" si="8"/>
        <v>0</v>
      </c>
      <c r="S69">
        <f>IF(COUNTIFS($B$1:$B$738,B68,$C$1:$C$738,#REF!)&gt;2,1,0)</f>
        <v>0</v>
      </c>
      <c r="T69">
        <f t="shared" si="9"/>
        <v>0</v>
      </c>
      <c r="U69">
        <f t="shared" si="10"/>
        <v>0</v>
      </c>
      <c r="V69">
        <f t="shared" si="11"/>
        <v>1</v>
      </c>
      <c r="W69">
        <f t="shared" si="13"/>
        <v>1</v>
      </c>
      <c r="X69" t="str" cm="1">
        <f t="array" ref="X69">_xlfn.IFS(W69&lt;=1,"Low",W69=2,"Medium",W69&gt;=3,"High")</f>
        <v>Low</v>
      </c>
    </row>
    <row r="70" spans="1:24" x14ac:dyDescent="0.3">
      <c r="A70" t="s">
        <v>210</v>
      </c>
      <c r="B70" t="s">
        <v>196</v>
      </c>
      <c r="C70" s="3">
        <v>46073</v>
      </c>
      <c r="D70" s="8" t="s">
        <v>211</v>
      </c>
      <c r="E70" s="7" t="s">
        <v>77</v>
      </c>
      <c r="F70" s="7" t="s">
        <v>15</v>
      </c>
      <c r="G70" s="7" t="s">
        <v>108</v>
      </c>
      <c r="H70" s="4">
        <v>363.98</v>
      </c>
      <c r="I70" s="7" t="s">
        <v>95</v>
      </c>
      <c r="J70" s="7" t="s">
        <v>41</v>
      </c>
      <c r="L70" t="str">
        <f>PROPER(TRIM(SUBSTITUTE(_xlfn.XLOOKUP(B70,Cardholders_Reference!A:A,Cardholders_Reference!B:B),","," ")))</f>
        <v>Sanele Fourie</v>
      </c>
      <c r="M70" s="5">
        <f>_xlfn.XLOOKUP(B70,Cardholders_Reference!A:A,Cardholders_Reference!G:G)</f>
        <v>20000</v>
      </c>
      <c r="N70" s="7" t="str">
        <f>_xlfn.XLOOKUP(B70,Cardholders_Reference!A:A,Cardholders_Reference!D:D)</f>
        <v>Nedbank</v>
      </c>
      <c r="O70" s="7" t="str">
        <f>_xlfn.XLOOKUP(B70,Cardholders_Reference!A:A,Cardholders_Reference!E:E)</f>
        <v>Mastercard</v>
      </c>
      <c r="P70" s="6">
        <f t="shared" si="12"/>
        <v>1.8199E-2</v>
      </c>
      <c r="Q70">
        <f t="shared" si="7"/>
        <v>0</v>
      </c>
      <c r="R70">
        <f t="shared" si="8"/>
        <v>0</v>
      </c>
      <c r="S70">
        <f>IF(COUNTIFS($B$1:$B$738,B69,$C$1:$C$738,#REF!)&gt;2,1,0)</f>
        <v>0</v>
      </c>
      <c r="T70">
        <f t="shared" si="9"/>
        <v>0</v>
      </c>
      <c r="U70">
        <f t="shared" si="10"/>
        <v>0</v>
      </c>
      <c r="V70">
        <f t="shared" si="11"/>
        <v>1</v>
      </c>
      <c r="W70">
        <f t="shared" si="13"/>
        <v>1</v>
      </c>
      <c r="X70" t="str" cm="1">
        <f t="array" ref="X70">_xlfn.IFS(W70&lt;=1,"Low",W70=2,"Medium",W70&gt;=3,"High")</f>
        <v>Low</v>
      </c>
    </row>
    <row r="71" spans="1:24" x14ac:dyDescent="0.3">
      <c r="A71" t="s">
        <v>212</v>
      </c>
      <c r="B71" t="s">
        <v>196</v>
      </c>
      <c r="C71" s="3">
        <v>46239</v>
      </c>
      <c r="D71" s="8" t="s">
        <v>162</v>
      </c>
      <c r="E71" s="7" t="s">
        <v>24</v>
      </c>
      <c r="F71" s="7" t="s">
        <v>25</v>
      </c>
      <c r="G71" s="7" t="s">
        <v>49</v>
      </c>
      <c r="H71" s="4">
        <v>1133.83</v>
      </c>
      <c r="I71" s="7" t="s">
        <v>32</v>
      </c>
      <c r="J71" s="7" t="s">
        <v>17</v>
      </c>
      <c r="L71" t="str">
        <f>PROPER(TRIM(SUBSTITUTE(_xlfn.XLOOKUP(B71,Cardholders_Reference!A:A,Cardholders_Reference!B:B),","," ")))</f>
        <v>Sanele Fourie</v>
      </c>
      <c r="M71" s="5">
        <f>_xlfn.XLOOKUP(B71,Cardholders_Reference!A:A,Cardholders_Reference!G:G)</f>
        <v>20000</v>
      </c>
      <c r="N71" s="7" t="str">
        <f>_xlfn.XLOOKUP(B71,Cardholders_Reference!A:A,Cardholders_Reference!D:D)</f>
        <v>Nedbank</v>
      </c>
      <c r="O71" s="7" t="str">
        <f>_xlfn.XLOOKUP(B71,Cardholders_Reference!A:A,Cardholders_Reference!E:E)</f>
        <v>Mastercard</v>
      </c>
      <c r="P71" s="6">
        <f t="shared" si="12"/>
        <v>5.6691499999999999E-2</v>
      </c>
      <c r="Q71">
        <f t="shared" si="7"/>
        <v>1</v>
      </c>
      <c r="R71">
        <f t="shared" si="8"/>
        <v>0</v>
      </c>
      <c r="S71">
        <f>IF(COUNTIFS($B$1:$B$738,B70,$C$1:$C$738,#REF!)&gt;2,1,0)</f>
        <v>0</v>
      </c>
      <c r="T71">
        <f t="shared" si="9"/>
        <v>0</v>
      </c>
      <c r="U71">
        <f t="shared" si="10"/>
        <v>0</v>
      </c>
      <c r="V71">
        <f t="shared" si="11"/>
        <v>0</v>
      </c>
      <c r="W71">
        <f t="shared" si="13"/>
        <v>1</v>
      </c>
      <c r="X71" t="str" cm="1">
        <f t="array" ref="X71">_xlfn.IFS(W71&lt;=1,"Low",W71=2,"Medium",W71&gt;=3,"High")</f>
        <v>Low</v>
      </c>
    </row>
    <row r="72" spans="1:24" x14ac:dyDescent="0.3">
      <c r="A72" t="s">
        <v>213</v>
      </c>
      <c r="B72" t="s">
        <v>196</v>
      </c>
      <c r="C72" s="3">
        <v>46237</v>
      </c>
      <c r="D72" s="8" t="s">
        <v>214</v>
      </c>
      <c r="E72" s="7" t="s">
        <v>215</v>
      </c>
      <c r="F72" s="7" t="s">
        <v>15</v>
      </c>
      <c r="G72" s="7" t="s">
        <v>49</v>
      </c>
      <c r="H72" s="4">
        <v>3190.16</v>
      </c>
      <c r="I72" s="7" t="s">
        <v>95</v>
      </c>
      <c r="J72" s="7" t="s">
        <v>17</v>
      </c>
      <c r="L72" t="str">
        <f>PROPER(TRIM(SUBSTITUTE(_xlfn.XLOOKUP(B72,Cardholders_Reference!A:A,Cardholders_Reference!B:B),","," ")))</f>
        <v>Sanele Fourie</v>
      </c>
      <c r="M72" s="5">
        <f>_xlfn.XLOOKUP(B72,Cardholders_Reference!A:A,Cardholders_Reference!G:G)</f>
        <v>20000</v>
      </c>
      <c r="N72" s="7" t="str">
        <f>_xlfn.XLOOKUP(B72,Cardholders_Reference!A:A,Cardholders_Reference!D:D)</f>
        <v>Nedbank</v>
      </c>
      <c r="O72" s="7" t="str">
        <f>_xlfn.XLOOKUP(B72,Cardholders_Reference!A:A,Cardholders_Reference!E:E)</f>
        <v>Mastercard</v>
      </c>
      <c r="P72" s="6">
        <f t="shared" si="12"/>
        <v>0.15950799999999998</v>
      </c>
      <c r="Q72">
        <f t="shared" si="7"/>
        <v>0</v>
      </c>
      <c r="R72">
        <f t="shared" si="8"/>
        <v>0</v>
      </c>
      <c r="S72">
        <f>IF(COUNTIFS($B$1:$B$738,B71,$C$1:$C$738,#REF!)&gt;2,1,0)</f>
        <v>0</v>
      </c>
      <c r="T72">
        <f t="shared" si="9"/>
        <v>0</v>
      </c>
      <c r="U72">
        <f t="shared" si="10"/>
        <v>0</v>
      </c>
      <c r="V72">
        <f t="shared" si="11"/>
        <v>1</v>
      </c>
      <c r="W72">
        <f t="shared" si="13"/>
        <v>1</v>
      </c>
      <c r="X72" t="str" cm="1">
        <f t="array" ref="X72">_xlfn.IFS(W72&lt;=1,"Low",W72=2,"Medium",W72&gt;=3,"High")</f>
        <v>Low</v>
      </c>
    </row>
    <row r="73" spans="1:24" x14ac:dyDescent="0.3">
      <c r="A73" t="s">
        <v>216</v>
      </c>
      <c r="B73" t="s">
        <v>196</v>
      </c>
      <c r="C73" s="3">
        <v>46001</v>
      </c>
      <c r="D73" s="8" t="s">
        <v>217</v>
      </c>
      <c r="E73" s="7" t="s">
        <v>77</v>
      </c>
      <c r="F73" s="7" t="s">
        <v>15</v>
      </c>
      <c r="G73" s="7" t="s">
        <v>49</v>
      </c>
      <c r="H73" s="4">
        <v>1757.55</v>
      </c>
      <c r="I73" s="7" t="s">
        <v>95</v>
      </c>
      <c r="J73" s="7" t="s">
        <v>41</v>
      </c>
      <c r="L73" t="str">
        <f>PROPER(TRIM(SUBSTITUTE(_xlfn.XLOOKUP(B73,Cardholders_Reference!A:A,Cardholders_Reference!B:B),","," ")))</f>
        <v>Sanele Fourie</v>
      </c>
      <c r="M73" s="5">
        <f>_xlfn.XLOOKUP(B73,Cardholders_Reference!A:A,Cardholders_Reference!G:G)</f>
        <v>20000</v>
      </c>
      <c r="N73" s="7" t="str">
        <f>_xlfn.XLOOKUP(B73,Cardholders_Reference!A:A,Cardholders_Reference!D:D)</f>
        <v>Nedbank</v>
      </c>
      <c r="O73" s="7" t="str">
        <f>_xlfn.XLOOKUP(B73,Cardholders_Reference!A:A,Cardholders_Reference!E:E)</f>
        <v>Mastercard</v>
      </c>
      <c r="P73" s="6">
        <f t="shared" si="12"/>
        <v>8.7877499999999997E-2</v>
      </c>
      <c r="Q73">
        <f t="shared" si="7"/>
        <v>0</v>
      </c>
      <c r="R73">
        <f t="shared" si="8"/>
        <v>0</v>
      </c>
      <c r="S73">
        <f>IF(COUNTIFS($B$1:$B$738,B72,$C$1:$C$738,#REF!)&gt;2,1,0)</f>
        <v>0</v>
      </c>
      <c r="T73">
        <f t="shared" si="9"/>
        <v>0</v>
      </c>
      <c r="U73">
        <f t="shared" si="10"/>
        <v>0</v>
      </c>
      <c r="V73">
        <f t="shared" si="11"/>
        <v>1</v>
      </c>
      <c r="W73">
        <f t="shared" si="13"/>
        <v>1</v>
      </c>
      <c r="X73" t="str" cm="1">
        <f t="array" ref="X73">_xlfn.IFS(W73&lt;=1,"Low",W73=2,"Medium",W73&gt;=3,"High")</f>
        <v>Low</v>
      </c>
    </row>
    <row r="74" spans="1:24" x14ac:dyDescent="0.3">
      <c r="A74" t="s">
        <v>218</v>
      </c>
      <c r="B74" t="s">
        <v>196</v>
      </c>
      <c r="C74" s="3">
        <v>45934</v>
      </c>
      <c r="D74" s="8" t="s">
        <v>219</v>
      </c>
      <c r="E74" s="7" t="s">
        <v>220</v>
      </c>
      <c r="F74" s="7" t="s">
        <v>91</v>
      </c>
      <c r="G74" s="7" t="s">
        <v>49</v>
      </c>
      <c r="H74" s="4">
        <v>3076.94</v>
      </c>
      <c r="I74" s="7" t="s">
        <v>16</v>
      </c>
      <c r="J74" s="7" t="s">
        <v>17</v>
      </c>
      <c r="L74" t="str">
        <f>PROPER(TRIM(SUBSTITUTE(_xlfn.XLOOKUP(B74,Cardholders_Reference!A:A,Cardholders_Reference!B:B),","," ")))</f>
        <v>Sanele Fourie</v>
      </c>
      <c r="M74" s="5">
        <f>_xlfn.XLOOKUP(B74,Cardholders_Reference!A:A,Cardholders_Reference!G:G)</f>
        <v>20000</v>
      </c>
      <c r="N74" s="7" t="str">
        <f>_xlfn.XLOOKUP(B74,Cardholders_Reference!A:A,Cardholders_Reference!D:D)</f>
        <v>Nedbank</v>
      </c>
      <c r="O74" s="7" t="str">
        <f>_xlfn.XLOOKUP(B74,Cardholders_Reference!A:A,Cardholders_Reference!E:E)</f>
        <v>Mastercard</v>
      </c>
      <c r="P74" s="6">
        <f t="shared" si="12"/>
        <v>0.15384700000000001</v>
      </c>
      <c r="Q74">
        <f t="shared" si="7"/>
        <v>0</v>
      </c>
      <c r="R74">
        <f t="shared" si="8"/>
        <v>0</v>
      </c>
      <c r="S74">
        <f>IF(COUNTIFS($B$1:$B$738,B73,$C$1:$C$738,#REF!)&gt;2,1,0)</f>
        <v>0</v>
      </c>
      <c r="T74">
        <f t="shared" si="9"/>
        <v>0</v>
      </c>
      <c r="U74">
        <f t="shared" si="10"/>
        <v>0</v>
      </c>
      <c r="V74">
        <f t="shared" si="11"/>
        <v>0</v>
      </c>
      <c r="W74">
        <f t="shared" si="13"/>
        <v>0</v>
      </c>
      <c r="X74" t="str" cm="1">
        <f t="array" ref="X74">_xlfn.IFS(W74&lt;=1,"Low",W74=2,"Medium",W74&gt;=3,"High")</f>
        <v>Low</v>
      </c>
    </row>
    <row r="75" spans="1:24" x14ac:dyDescent="0.3">
      <c r="A75" t="s">
        <v>221</v>
      </c>
      <c r="B75" t="s">
        <v>196</v>
      </c>
      <c r="C75" s="3">
        <v>45923</v>
      </c>
      <c r="D75" s="8" t="s">
        <v>222</v>
      </c>
      <c r="E75" s="7" t="s">
        <v>47</v>
      </c>
      <c r="F75" s="7" t="s">
        <v>48</v>
      </c>
      <c r="G75" s="7" t="s">
        <v>49</v>
      </c>
      <c r="H75" s="4">
        <v>1877.56</v>
      </c>
      <c r="I75" s="7" t="s">
        <v>95</v>
      </c>
      <c r="J75" s="7" t="s">
        <v>41</v>
      </c>
      <c r="L75" t="str">
        <f>PROPER(TRIM(SUBSTITUTE(_xlfn.XLOOKUP(B75,Cardholders_Reference!A:A,Cardholders_Reference!B:B),","," ")))</f>
        <v>Sanele Fourie</v>
      </c>
      <c r="M75" s="5">
        <f>_xlfn.XLOOKUP(B75,Cardholders_Reference!A:A,Cardholders_Reference!G:G)</f>
        <v>20000</v>
      </c>
      <c r="N75" s="7" t="str">
        <f>_xlfn.XLOOKUP(B75,Cardholders_Reference!A:A,Cardholders_Reference!D:D)</f>
        <v>Nedbank</v>
      </c>
      <c r="O75" s="7" t="str">
        <f>_xlfn.XLOOKUP(B75,Cardholders_Reference!A:A,Cardholders_Reference!E:E)</f>
        <v>Mastercard</v>
      </c>
      <c r="P75" s="6">
        <f t="shared" si="12"/>
        <v>9.3878000000000003E-2</v>
      </c>
      <c r="Q75">
        <f t="shared" si="7"/>
        <v>0</v>
      </c>
      <c r="R75">
        <f t="shared" si="8"/>
        <v>0</v>
      </c>
      <c r="S75">
        <f>IF(COUNTIFS($B$1:$B$738,B74,$C$1:$C$738,#REF!)&gt;2,1,0)</f>
        <v>0</v>
      </c>
      <c r="T75">
        <f t="shared" si="9"/>
        <v>0</v>
      </c>
      <c r="U75">
        <f t="shared" si="10"/>
        <v>0</v>
      </c>
      <c r="V75">
        <f t="shared" si="11"/>
        <v>1</v>
      </c>
      <c r="W75">
        <f t="shared" si="13"/>
        <v>1</v>
      </c>
      <c r="X75" t="str" cm="1">
        <f t="array" ref="X75">_xlfn.IFS(W75&lt;=1,"Low",W75=2,"Medium",W75&gt;=3,"High")</f>
        <v>Low</v>
      </c>
    </row>
    <row r="76" spans="1:24" x14ac:dyDescent="0.3">
      <c r="A76" t="s">
        <v>223</v>
      </c>
      <c r="B76" t="s">
        <v>196</v>
      </c>
      <c r="C76" s="3">
        <v>46427</v>
      </c>
      <c r="D76" s="8" t="s">
        <v>224</v>
      </c>
      <c r="E76" s="7" t="s">
        <v>132</v>
      </c>
      <c r="F76" s="7" t="s">
        <v>25</v>
      </c>
      <c r="G76" s="7" t="s">
        <v>49</v>
      </c>
      <c r="H76" s="4">
        <v>886.8</v>
      </c>
      <c r="I76" s="7" t="s">
        <v>16</v>
      </c>
      <c r="J76" s="7" t="s">
        <v>17</v>
      </c>
      <c r="L76" t="str">
        <f>PROPER(TRIM(SUBSTITUTE(_xlfn.XLOOKUP(B76,Cardholders_Reference!A:A,Cardholders_Reference!B:B),","," ")))</f>
        <v>Sanele Fourie</v>
      </c>
      <c r="M76" s="5">
        <f>_xlfn.XLOOKUP(B76,Cardholders_Reference!A:A,Cardholders_Reference!G:G)</f>
        <v>20000</v>
      </c>
      <c r="N76" s="7" t="str">
        <f>_xlfn.XLOOKUP(B76,Cardholders_Reference!A:A,Cardholders_Reference!D:D)</f>
        <v>Nedbank</v>
      </c>
      <c r="O76" s="7" t="str">
        <f>_xlfn.XLOOKUP(B76,Cardholders_Reference!A:A,Cardholders_Reference!E:E)</f>
        <v>Mastercard</v>
      </c>
      <c r="P76" s="6">
        <f t="shared" si="12"/>
        <v>4.4339999999999997E-2</v>
      </c>
      <c r="Q76">
        <f t="shared" si="7"/>
        <v>0</v>
      </c>
      <c r="R76">
        <f t="shared" si="8"/>
        <v>0</v>
      </c>
      <c r="S76">
        <f>IF(COUNTIFS($B$1:$B$738,B75,$C$1:$C$738,#REF!)&gt;2,1,0)</f>
        <v>0</v>
      </c>
      <c r="T76">
        <f t="shared" si="9"/>
        <v>0</v>
      </c>
      <c r="U76">
        <f t="shared" si="10"/>
        <v>0</v>
      </c>
      <c r="V76">
        <f t="shared" si="11"/>
        <v>0</v>
      </c>
      <c r="W76">
        <f t="shared" si="13"/>
        <v>0</v>
      </c>
      <c r="X76" t="str" cm="1">
        <f t="array" ref="X76">_xlfn.IFS(W76&lt;=1,"Low",W76=2,"Medium",W76&gt;=3,"High")</f>
        <v>Low</v>
      </c>
    </row>
    <row r="77" spans="1:24" x14ac:dyDescent="0.3">
      <c r="A77" t="s">
        <v>225</v>
      </c>
      <c r="B77" t="s">
        <v>226</v>
      </c>
      <c r="C77" s="3">
        <v>46044</v>
      </c>
      <c r="D77" s="8" t="s">
        <v>227</v>
      </c>
      <c r="E77" s="7" t="s">
        <v>44</v>
      </c>
      <c r="F77" s="7" t="s">
        <v>25</v>
      </c>
      <c r="G77" s="7" t="s">
        <v>145</v>
      </c>
      <c r="H77" s="4">
        <v>620.82000000000005</v>
      </c>
      <c r="I77" s="7" t="s">
        <v>16</v>
      </c>
      <c r="J77" s="7" t="s">
        <v>17</v>
      </c>
      <c r="L77" t="str">
        <f>PROPER(TRIM(SUBSTITUTE(_xlfn.XLOOKUP(B77,Cardholders_Reference!A:A,Cardholders_Reference!B:B),","," ")))</f>
        <v>Rachel Pretorius</v>
      </c>
      <c r="M77" s="5">
        <f>_xlfn.XLOOKUP(B77,Cardholders_Reference!A:A,Cardholders_Reference!G:G)</f>
        <v>80000</v>
      </c>
      <c r="N77" s="7" t="str">
        <f>_xlfn.XLOOKUP(B77,Cardholders_Reference!A:A,Cardholders_Reference!D:D)</f>
        <v>FNB</v>
      </c>
      <c r="O77" s="7" t="str">
        <f>_xlfn.XLOOKUP(B77,Cardholders_Reference!A:A,Cardholders_Reference!E:E)</f>
        <v>Visa</v>
      </c>
      <c r="P77" s="6">
        <f t="shared" si="12"/>
        <v>7.7602500000000007E-3</v>
      </c>
      <c r="Q77">
        <f t="shared" si="7"/>
        <v>0</v>
      </c>
      <c r="R77">
        <f t="shared" si="8"/>
        <v>0</v>
      </c>
      <c r="S77">
        <f>IF(COUNTIFS($B$1:$B$738,B76,$C$1:$C$738,#REF!)&gt;2,1,0)</f>
        <v>0</v>
      </c>
      <c r="T77">
        <f t="shared" si="9"/>
        <v>0</v>
      </c>
      <c r="U77">
        <f t="shared" si="10"/>
        <v>0</v>
      </c>
      <c r="V77">
        <f t="shared" si="11"/>
        <v>0</v>
      </c>
      <c r="W77">
        <f t="shared" si="13"/>
        <v>0</v>
      </c>
      <c r="X77" t="str" cm="1">
        <f t="array" ref="X77">_xlfn.IFS(W77&lt;=1,"Low",W77=2,"Medium",W77&gt;=3,"High")</f>
        <v>Low</v>
      </c>
    </row>
    <row r="78" spans="1:24" x14ac:dyDescent="0.3">
      <c r="A78" t="s">
        <v>228</v>
      </c>
      <c r="B78" t="s">
        <v>226</v>
      </c>
      <c r="C78" s="3">
        <v>45820</v>
      </c>
      <c r="D78" s="8" t="s">
        <v>229</v>
      </c>
      <c r="E78" s="7" t="s">
        <v>230</v>
      </c>
      <c r="F78" s="7" t="s">
        <v>81</v>
      </c>
      <c r="G78" s="7" t="s">
        <v>177</v>
      </c>
      <c r="H78" s="4">
        <v>13132.78</v>
      </c>
      <c r="I78" s="7" t="s">
        <v>32</v>
      </c>
      <c r="J78" s="7" t="s">
        <v>17</v>
      </c>
      <c r="L78" t="str">
        <f>PROPER(TRIM(SUBSTITUTE(_xlfn.XLOOKUP(B78,Cardholders_Reference!A:A,Cardholders_Reference!B:B),","," ")))</f>
        <v>Rachel Pretorius</v>
      </c>
      <c r="M78" s="5">
        <f>_xlfn.XLOOKUP(B78,Cardholders_Reference!A:A,Cardholders_Reference!G:G)</f>
        <v>80000</v>
      </c>
      <c r="N78" s="7" t="str">
        <f>_xlfn.XLOOKUP(B78,Cardholders_Reference!A:A,Cardholders_Reference!D:D)</f>
        <v>FNB</v>
      </c>
      <c r="O78" s="7" t="str">
        <f>_xlfn.XLOOKUP(B78,Cardholders_Reference!A:A,Cardholders_Reference!E:E)</f>
        <v>Visa</v>
      </c>
      <c r="P78" s="6">
        <f t="shared" si="12"/>
        <v>0.16415975000000002</v>
      </c>
      <c r="Q78">
        <f t="shared" si="7"/>
        <v>1</v>
      </c>
      <c r="R78">
        <f t="shared" si="8"/>
        <v>0</v>
      </c>
      <c r="S78">
        <f>IF(COUNTIFS($B$1:$B$738,B77,$C$1:$C$738,#REF!)&gt;2,1,0)</f>
        <v>0</v>
      </c>
      <c r="T78">
        <f t="shared" si="9"/>
        <v>0</v>
      </c>
      <c r="U78">
        <f t="shared" si="10"/>
        <v>0</v>
      </c>
      <c r="V78">
        <f t="shared" si="11"/>
        <v>0</v>
      </c>
      <c r="W78">
        <f t="shared" si="13"/>
        <v>1</v>
      </c>
      <c r="X78" t="str" cm="1">
        <f t="array" ref="X78">_xlfn.IFS(W78&lt;=1,"Low",W78=2,"Medium",W78&gt;=3,"High")</f>
        <v>Low</v>
      </c>
    </row>
    <row r="79" spans="1:24" x14ac:dyDescent="0.3">
      <c r="A79" t="s">
        <v>231</v>
      </c>
      <c r="B79" t="s">
        <v>226</v>
      </c>
      <c r="C79" s="3">
        <v>46086</v>
      </c>
      <c r="D79" s="8" t="s">
        <v>232</v>
      </c>
      <c r="E79" s="7" t="s">
        <v>97</v>
      </c>
      <c r="F79" s="7" t="s">
        <v>53</v>
      </c>
      <c r="G79" s="7" t="s">
        <v>108</v>
      </c>
      <c r="H79" s="4">
        <v>400.57</v>
      </c>
      <c r="I79" s="7" t="s">
        <v>16</v>
      </c>
      <c r="J79" s="7" t="s">
        <v>17</v>
      </c>
      <c r="L79" t="str">
        <f>PROPER(TRIM(SUBSTITUTE(_xlfn.XLOOKUP(B79,Cardholders_Reference!A:A,Cardholders_Reference!B:B),","," ")))</f>
        <v>Rachel Pretorius</v>
      </c>
      <c r="M79" s="5">
        <f>_xlfn.XLOOKUP(B79,Cardholders_Reference!A:A,Cardholders_Reference!G:G)</f>
        <v>80000</v>
      </c>
      <c r="N79" s="7" t="str">
        <f>_xlfn.XLOOKUP(B79,Cardholders_Reference!A:A,Cardholders_Reference!D:D)</f>
        <v>FNB</v>
      </c>
      <c r="O79" s="7" t="str">
        <f>_xlfn.XLOOKUP(B79,Cardholders_Reference!A:A,Cardholders_Reference!E:E)</f>
        <v>Visa</v>
      </c>
      <c r="P79" s="6">
        <f t="shared" si="12"/>
        <v>5.0071250000000003E-3</v>
      </c>
      <c r="Q79">
        <f t="shared" si="7"/>
        <v>0</v>
      </c>
      <c r="R79">
        <f t="shared" si="8"/>
        <v>0</v>
      </c>
      <c r="S79">
        <f>IF(COUNTIFS($B$1:$B$738,B78,$C$1:$C$738,#REF!)&gt;2,1,0)</f>
        <v>0</v>
      </c>
      <c r="T79">
        <f t="shared" si="9"/>
        <v>0</v>
      </c>
      <c r="U79">
        <f t="shared" si="10"/>
        <v>0</v>
      </c>
      <c r="V79">
        <f t="shared" si="11"/>
        <v>0</v>
      </c>
      <c r="W79">
        <f t="shared" si="13"/>
        <v>0</v>
      </c>
      <c r="X79" t="str" cm="1">
        <f t="array" ref="X79">_xlfn.IFS(W79&lt;=1,"Low",W79=2,"Medium",W79&gt;=3,"High")</f>
        <v>Low</v>
      </c>
    </row>
    <row r="80" spans="1:24" x14ac:dyDescent="0.3">
      <c r="A80" t="s">
        <v>233</v>
      </c>
      <c r="B80" t="s">
        <v>226</v>
      </c>
      <c r="C80" s="3">
        <v>45732</v>
      </c>
      <c r="D80" s="8" t="s">
        <v>234</v>
      </c>
      <c r="E80" s="7" t="s">
        <v>57</v>
      </c>
      <c r="F80" s="7" t="s">
        <v>36</v>
      </c>
      <c r="G80" s="7" t="s">
        <v>177</v>
      </c>
      <c r="H80" s="4">
        <v>84.06</v>
      </c>
      <c r="I80" s="7" t="s">
        <v>26</v>
      </c>
      <c r="J80" s="7" t="s">
        <v>17</v>
      </c>
      <c r="L80" t="str">
        <f>PROPER(TRIM(SUBSTITUTE(_xlfn.XLOOKUP(B80,Cardholders_Reference!A:A,Cardholders_Reference!B:B),","," ")))</f>
        <v>Rachel Pretorius</v>
      </c>
      <c r="M80" s="5">
        <f>_xlfn.XLOOKUP(B80,Cardholders_Reference!A:A,Cardholders_Reference!G:G)</f>
        <v>80000</v>
      </c>
      <c r="N80" s="7" t="str">
        <f>_xlfn.XLOOKUP(B80,Cardholders_Reference!A:A,Cardholders_Reference!D:D)</f>
        <v>FNB</v>
      </c>
      <c r="O80" s="7" t="str">
        <f>_xlfn.XLOOKUP(B80,Cardholders_Reference!A:A,Cardholders_Reference!E:E)</f>
        <v>Visa</v>
      </c>
      <c r="P80" s="6">
        <f t="shared" si="12"/>
        <v>1.05075E-3</v>
      </c>
      <c r="Q80">
        <f t="shared" si="7"/>
        <v>1</v>
      </c>
      <c r="R80">
        <f t="shared" si="8"/>
        <v>0</v>
      </c>
      <c r="S80">
        <f>IF(COUNTIFS($B$1:$B$738,B79,$C$1:$C$738,#REF!)&gt;2,1,0)</f>
        <v>0</v>
      </c>
      <c r="T80">
        <f t="shared" si="9"/>
        <v>0</v>
      </c>
      <c r="U80">
        <f t="shared" si="10"/>
        <v>0</v>
      </c>
      <c r="V80">
        <f t="shared" si="11"/>
        <v>1</v>
      </c>
      <c r="W80">
        <f t="shared" si="13"/>
        <v>2</v>
      </c>
      <c r="X80" t="str" cm="1">
        <f t="array" ref="X80">_xlfn.IFS(W80&lt;=1,"Low",W80=2,"Medium",W80&gt;=3,"High")</f>
        <v>Medium</v>
      </c>
    </row>
    <row r="81" spans="1:24" x14ac:dyDescent="0.3">
      <c r="A81" t="s">
        <v>235</v>
      </c>
      <c r="B81" t="s">
        <v>226</v>
      </c>
      <c r="C81" s="3">
        <v>45866</v>
      </c>
      <c r="D81" s="8" t="s">
        <v>236</v>
      </c>
      <c r="E81" s="7" t="s">
        <v>97</v>
      </c>
      <c r="F81" s="7" t="s">
        <v>53</v>
      </c>
      <c r="G81" s="7" t="s">
        <v>177</v>
      </c>
      <c r="H81" s="4">
        <v>1069.6600000000001</v>
      </c>
      <c r="I81" s="7" t="s">
        <v>95</v>
      </c>
      <c r="J81" s="7" t="s">
        <v>41</v>
      </c>
      <c r="L81" t="str">
        <f>PROPER(TRIM(SUBSTITUTE(_xlfn.XLOOKUP(B81,Cardholders_Reference!A:A,Cardholders_Reference!B:B),","," ")))</f>
        <v>Rachel Pretorius</v>
      </c>
      <c r="M81" s="5">
        <f>_xlfn.XLOOKUP(B81,Cardholders_Reference!A:A,Cardholders_Reference!G:G)</f>
        <v>80000</v>
      </c>
      <c r="N81" s="7" t="str">
        <f>_xlfn.XLOOKUP(B81,Cardholders_Reference!A:A,Cardholders_Reference!D:D)</f>
        <v>FNB</v>
      </c>
      <c r="O81" s="7" t="str">
        <f>_xlfn.XLOOKUP(B81,Cardholders_Reference!A:A,Cardholders_Reference!E:E)</f>
        <v>Visa</v>
      </c>
      <c r="P81" s="6">
        <f t="shared" si="12"/>
        <v>1.3370750000000001E-2</v>
      </c>
      <c r="Q81">
        <f t="shared" si="7"/>
        <v>0</v>
      </c>
      <c r="R81">
        <f t="shared" si="8"/>
        <v>0</v>
      </c>
      <c r="S81">
        <f>IF(COUNTIFS($B$1:$B$738,B80,$C$1:$C$738,#REF!)&gt;2,1,0)</f>
        <v>0</v>
      </c>
      <c r="T81">
        <f t="shared" si="9"/>
        <v>0</v>
      </c>
      <c r="U81">
        <f t="shared" si="10"/>
        <v>0</v>
      </c>
      <c r="V81">
        <f t="shared" si="11"/>
        <v>1</v>
      </c>
      <c r="W81">
        <f t="shared" si="13"/>
        <v>1</v>
      </c>
      <c r="X81" t="str" cm="1">
        <f t="array" ref="X81">_xlfn.IFS(W81&lt;=1,"Low",W81=2,"Medium",W81&gt;=3,"High")</f>
        <v>Low</v>
      </c>
    </row>
    <row r="82" spans="1:24" x14ac:dyDescent="0.3">
      <c r="A82" t="s">
        <v>237</v>
      </c>
      <c r="B82" t="s">
        <v>226</v>
      </c>
      <c r="C82" s="3">
        <v>46100</v>
      </c>
      <c r="D82" s="8" t="s">
        <v>238</v>
      </c>
      <c r="E82" s="7" t="s">
        <v>73</v>
      </c>
      <c r="F82" s="7" t="s">
        <v>74</v>
      </c>
      <c r="G82" s="7" t="s">
        <v>177</v>
      </c>
      <c r="H82" s="4">
        <v>280.37</v>
      </c>
      <c r="I82" s="7" t="s">
        <v>16</v>
      </c>
      <c r="J82" s="7" t="s">
        <v>41</v>
      </c>
      <c r="L82" t="str">
        <f>PROPER(TRIM(SUBSTITUTE(_xlfn.XLOOKUP(B82,Cardholders_Reference!A:A,Cardholders_Reference!B:B),","," ")))</f>
        <v>Rachel Pretorius</v>
      </c>
      <c r="M82" s="5">
        <f>_xlfn.XLOOKUP(B82,Cardholders_Reference!A:A,Cardholders_Reference!G:G)</f>
        <v>80000</v>
      </c>
      <c r="N82" s="7" t="str">
        <f>_xlfn.XLOOKUP(B82,Cardholders_Reference!A:A,Cardholders_Reference!D:D)</f>
        <v>FNB</v>
      </c>
      <c r="O82" s="7" t="str">
        <f>_xlfn.XLOOKUP(B82,Cardholders_Reference!A:A,Cardholders_Reference!E:E)</f>
        <v>Visa</v>
      </c>
      <c r="P82" s="6">
        <f t="shared" si="12"/>
        <v>3.5046249999999999E-3</v>
      </c>
      <c r="Q82">
        <f t="shared" si="7"/>
        <v>0</v>
      </c>
      <c r="R82">
        <f t="shared" si="8"/>
        <v>0</v>
      </c>
      <c r="S82">
        <f>IF(COUNTIFS($B$1:$B$738,B81,$C$1:$C$738,#REF!)&gt;2,1,0)</f>
        <v>0</v>
      </c>
      <c r="T82">
        <f t="shared" si="9"/>
        <v>0</v>
      </c>
      <c r="U82">
        <f t="shared" si="10"/>
        <v>0</v>
      </c>
      <c r="V82">
        <f t="shared" si="11"/>
        <v>0</v>
      </c>
      <c r="W82">
        <f t="shared" si="13"/>
        <v>0</v>
      </c>
      <c r="X82" t="str" cm="1">
        <f t="array" ref="X82">_xlfn.IFS(W82&lt;=1,"Low",W82=2,"Medium",W82&gt;=3,"High")</f>
        <v>Low</v>
      </c>
    </row>
    <row r="83" spans="1:24" x14ac:dyDescent="0.3">
      <c r="A83" t="s">
        <v>239</v>
      </c>
      <c r="B83" t="s">
        <v>226</v>
      </c>
      <c r="C83" s="3">
        <v>45728</v>
      </c>
      <c r="D83" s="8" t="s">
        <v>43</v>
      </c>
      <c r="E83" s="7" t="s">
        <v>156</v>
      </c>
      <c r="F83" s="7" t="s">
        <v>36</v>
      </c>
      <c r="G83" s="7" t="s">
        <v>177</v>
      </c>
      <c r="H83" s="4">
        <v>307.58</v>
      </c>
      <c r="I83" s="7" t="s">
        <v>16</v>
      </c>
      <c r="J83" s="7" t="s">
        <v>17</v>
      </c>
      <c r="L83" t="str">
        <f>PROPER(TRIM(SUBSTITUTE(_xlfn.XLOOKUP(B83,Cardholders_Reference!A:A,Cardholders_Reference!B:B),","," ")))</f>
        <v>Rachel Pretorius</v>
      </c>
      <c r="M83" s="5">
        <f>_xlfn.XLOOKUP(B83,Cardholders_Reference!A:A,Cardholders_Reference!G:G)</f>
        <v>80000</v>
      </c>
      <c r="N83" s="7" t="str">
        <f>_xlfn.XLOOKUP(B83,Cardholders_Reference!A:A,Cardholders_Reference!D:D)</f>
        <v>FNB</v>
      </c>
      <c r="O83" s="7" t="str">
        <f>_xlfn.XLOOKUP(B83,Cardholders_Reference!A:A,Cardholders_Reference!E:E)</f>
        <v>Visa</v>
      </c>
      <c r="P83" s="6">
        <f t="shared" si="12"/>
        <v>3.8447499999999996E-3</v>
      </c>
      <c r="Q83">
        <f t="shared" si="7"/>
        <v>0</v>
      </c>
      <c r="R83">
        <f t="shared" si="8"/>
        <v>0</v>
      </c>
      <c r="S83">
        <f>IF(COUNTIFS($B$1:$B$738,B82,$C$1:$C$738,#REF!)&gt;2,1,0)</f>
        <v>0</v>
      </c>
      <c r="T83">
        <f t="shared" si="9"/>
        <v>0</v>
      </c>
      <c r="U83">
        <f t="shared" si="10"/>
        <v>0</v>
      </c>
      <c r="V83">
        <f t="shared" si="11"/>
        <v>0</v>
      </c>
      <c r="W83">
        <f t="shared" si="13"/>
        <v>0</v>
      </c>
      <c r="X83" t="str" cm="1">
        <f t="array" ref="X83">_xlfn.IFS(W83&lt;=1,"Low",W83=2,"Medium",W83&gt;=3,"High")</f>
        <v>Low</v>
      </c>
    </row>
    <row r="84" spans="1:24" x14ac:dyDescent="0.3">
      <c r="A84" t="s">
        <v>240</v>
      </c>
      <c r="B84" t="s">
        <v>226</v>
      </c>
      <c r="C84" s="3">
        <v>45658</v>
      </c>
      <c r="D84" s="8" t="s">
        <v>241</v>
      </c>
      <c r="E84" s="7" t="s">
        <v>242</v>
      </c>
      <c r="F84" s="7" t="s">
        <v>15</v>
      </c>
      <c r="G84" s="7" t="s">
        <v>192</v>
      </c>
      <c r="H84" s="4">
        <v>3686.26</v>
      </c>
      <c r="I84" s="7" t="s">
        <v>26</v>
      </c>
      <c r="J84" s="7" t="s">
        <v>17</v>
      </c>
      <c r="L84" t="str">
        <f>PROPER(TRIM(SUBSTITUTE(_xlfn.XLOOKUP(B84,Cardholders_Reference!A:A,Cardholders_Reference!B:B),","," ")))</f>
        <v>Rachel Pretorius</v>
      </c>
      <c r="M84" s="5">
        <f>_xlfn.XLOOKUP(B84,Cardholders_Reference!A:A,Cardholders_Reference!G:G)</f>
        <v>80000</v>
      </c>
      <c r="N84" s="7" t="str">
        <f>_xlfn.XLOOKUP(B84,Cardholders_Reference!A:A,Cardholders_Reference!D:D)</f>
        <v>FNB</v>
      </c>
      <c r="O84" s="7" t="str">
        <f>_xlfn.XLOOKUP(B84,Cardholders_Reference!A:A,Cardholders_Reference!E:E)</f>
        <v>Visa</v>
      </c>
      <c r="P84" s="6">
        <f t="shared" si="12"/>
        <v>4.6078250000000001E-2</v>
      </c>
      <c r="Q84">
        <f t="shared" si="7"/>
        <v>0</v>
      </c>
      <c r="R84">
        <f t="shared" si="8"/>
        <v>0</v>
      </c>
      <c r="S84">
        <f>IF(COUNTIFS($B$1:$B$738,B83,$C$1:$C$738,#REF!)&gt;2,1,0)</f>
        <v>0</v>
      </c>
      <c r="T84">
        <f t="shared" si="9"/>
        <v>0</v>
      </c>
      <c r="U84">
        <f t="shared" si="10"/>
        <v>0</v>
      </c>
      <c r="V84">
        <f t="shared" si="11"/>
        <v>1</v>
      </c>
      <c r="W84">
        <f t="shared" si="13"/>
        <v>1</v>
      </c>
      <c r="X84" t="str" cm="1">
        <f t="array" ref="X84">_xlfn.IFS(W84&lt;=1,"Low",W84=2,"Medium",W84&gt;=3,"High")</f>
        <v>Low</v>
      </c>
    </row>
    <row r="85" spans="1:24" x14ac:dyDescent="0.3">
      <c r="A85" t="s">
        <v>243</v>
      </c>
      <c r="B85" t="s">
        <v>226</v>
      </c>
      <c r="C85" s="3">
        <v>45756</v>
      </c>
      <c r="D85" s="8" t="s">
        <v>244</v>
      </c>
      <c r="E85" s="7" t="s">
        <v>245</v>
      </c>
      <c r="F85" s="7" t="s">
        <v>48</v>
      </c>
      <c r="G85" s="7" t="s">
        <v>177</v>
      </c>
      <c r="H85" s="4">
        <v>1269.79</v>
      </c>
      <c r="I85" s="7" t="s">
        <v>95</v>
      </c>
      <c r="J85" s="7" t="s">
        <v>17</v>
      </c>
      <c r="L85" t="str">
        <f>PROPER(TRIM(SUBSTITUTE(_xlfn.XLOOKUP(B85,Cardholders_Reference!A:A,Cardholders_Reference!B:B),","," ")))</f>
        <v>Rachel Pretorius</v>
      </c>
      <c r="M85" s="5">
        <f>_xlfn.XLOOKUP(B85,Cardholders_Reference!A:A,Cardholders_Reference!G:G)</f>
        <v>80000</v>
      </c>
      <c r="N85" s="7" t="str">
        <f>_xlfn.XLOOKUP(B85,Cardholders_Reference!A:A,Cardholders_Reference!D:D)</f>
        <v>FNB</v>
      </c>
      <c r="O85" s="7" t="str">
        <f>_xlfn.XLOOKUP(B85,Cardholders_Reference!A:A,Cardholders_Reference!E:E)</f>
        <v>Visa</v>
      </c>
      <c r="P85" s="6">
        <f t="shared" si="12"/>
        <v>1.5872375000000001E-2</v>
      </c>
      <c r="Q85">
        <f t="shared" si="7"/>
        <v>1</v>
      </c>
      <c r="R85">
        <f t="shared" si="8"/>
        <v>0</v>
      </c>
      <c r="S85">
        <f>IF(COUNTIFS($B$1:$B$738,B84,$C$1:$C$738,#REF!)&gt;2,1,0)</f>
        <v>0</v>
      </c>
      <c r="T85">
        <f t="shared" si="9"/>
        <v>0</v>
      </c>
      <c r="U85">
        <f t="shared" si="10"/>
        <v>0</v>
      </c>
      <c r="V85">
        <f t="shared" si="11"/>
        <v>1</v>
      </c>
      <c r="W85">
        <f t="shared" si="13"/>
        <v>2</v>
      </c>
      <c r="X85" t="str" cm="1">
        <f t="array" ref="X85">_xlfn.IFS(W85&lt;=1,"Low",W85=2,"Medium",W85&gt;=3,"High")</f>
        <v>Medium</v>
      </c>
    </row>
    <row r="86" spans="1:24" x14ac:dyDescent="0.3">
      <c r="A86" t="s">
        <v>246</v>
      </c>
      <c r="B86" t="s">
        <v>226</v>
      </c>
      <c r="C86" s="3">
        <v>46054</v>
      </c>
      <c r="D86" s="8" t="s">
        <v>247</v>
      </c>
      <c r="E86" s="7" t="s">
        <v>70</v>
      </c>
      <c r="F86" s="7" t="s">
        <v>36</v>
      </c>
      <c r="G86" s="7" t="s">
        <v>177</v>
      </c>
      <c r="H86" s="4">
        <v>91.86</v>
      </c>
      <c r="I86" s="7" t="s">
        <v>95</v>
      </c>
      <c r="J86" s="7" t="s">
        <v>17</v>
      </c>
      <c r="L86" t="str">
        <f>PROPER(TRIM(SUBSTITUTE(_xlfn.XLOOKUP(B86,Cardholders_Reference!A:A,Cardholders_Reference!B:B),","," ")))</f>
        <v>Rachel Pretorius</v>
      </c>
      <c r="M86" s="5">
        <f>_xlfn.XLOOKUP(B86,Cardholders_Reference!A:A,Cardholders_Reference!G:G)</f>
        <v>80000</v>
      </c>
      <c r="N86" s="7" t="str">
        <f>_xlfn.XLOOKUP(B86,Cardholders_Reference!A:A,Cardholders_Reference!D:D)</f>
        <v>FNB</v>
      </c>
      <c r="O86" s="7" t="str">
        <f>_xlfn.XLOOKUP(B86,Cardholders_Reference!A:A,Cardholders_Reference!E:E)</f>
        <v>Visa</v>
      </c>
      <c r="P86" s="6">
        <f t="shared" si="12"/>
        <v>1.14825E-3</v>
      </c>
      <c r="Q86">
        <f t="shared" si="7"/>
        <v>0</v>
      </c>
      <c r="R86">
        <f t="shared" si="8"/>
        <v>0</v>
      </c>
      <c r="S86">
        <f>IF(COUNTIFS($B$1:$B$738,B85,$C$1:$C$738,#REF!)&gt;2,1,0)</f>
        <v>0</v>
      </c>
      <c r="T86">
        <f t="shared" si="9"/>
        <v>0</v>
      </c>
      <c r="U86">
        <f t="shared" si="10"/>
        <v>0</v>
      </c>
      <c r="V86">
        <f t="shared" si="11"/>
        <v>1</v>
      </c>
      <c r="W86">
        <f t="shared" si="13"/>
        <v>1</v>
      </c>
      <c r="X86" t="str" cm="1">
        <f t="array" ref="X86">_xlfn.IFS(W86&lt;=1,"Low",W86=2,"Medium",W86&gt;=3,"High")</f>
        <v>Low</v>
      </c>
    </row>
    <row r="87" spans="1:24" x14ac:dyDescent="0.3">
      <c r="A87" t="s">
        <v>248</v>
      </c>
      <c r="B87" t="s">
        <v>226</v>
      </c>
      <c r="C87" s="3">
        <v>46069</v>
      </c>
      <c r="D87" s="8" t="s">
        <v>249</v>
      </c>
      <c r="E87" s="7" t="s">
        <v>230</v>
      </c>
      <c r="F87" s="7" t="s">
        <v>81</v>
      </c>
      <c r="G87" s="7" t="s">
        <v>250</v>
      </c>
      <c r="H87" s="4">
        <v>12351.27</v>
      </c>
      <c r="I87" s="7" t="s">
        <v>26</v>
      </c>
      <c r="J87" s="7" t="s">
        <v>17</v>
      </c>
      <c r="L87" t="str">
        <f>PROPER(TRIM(SUBSTITUTE(_xlfn.XLOOKUP(B87,Cardholders_Reference!A:A,Cardholders_Reference!B:B),","," ")))</f>
        <v>Rachel Pretorius</v>
      </c>
      <c r="M87" s="5">
        <f>_xlfn.XLOOKUP(B87,Cardholders_Reference!A:A,Cardholders_Reference!G:G)</f>
        <v>80000</v>
      </c>
      <c r="N87" s="7" t="str">
        <f>_xlfn.XLOOKUP(B87,Cardholders_Reference!A:A,Cardholders_Reference!D:D)</f>
        <v>FNB</v>
      </c>
      <c r="O87" s="7" t="str">
        <f>_xlfn.XLOOKUP(B87,Cardholders_Reference!A:A,Cardholders_Reference!E:E)</f>
        <v>Visa</v>
      </c>
      <c r="P87" s="6">
        <f t="shared" si="12"/>
        <v>0.15439087500000001</v>
      </c>
      <c r="Q87">
        <f t="shared" si="7"/>
        <v>0</v>
      </c>
      <c r="R87">
        <f t="shared" si="8"/>
        <v>0</v>
      </c>
      <c r="S87">
        <f>IF(COUNTIFS($B$1:$B$738,B86,$C$1:$C$738,#REF!)&gt;2,1,0)</f>
        <v>0</v>
      </c>
      <c r="T87">
        <f t="shared" si="9"/>
        <v>0</v>
      </c>
      <c r="U87">
        <f t="shared" si="10"/>
        <v>0</v>
      </c>
      <c r="V87">
        <f t="shared" si="11"/>
        <v>1</v>
      </c>
      <c r="W87">
        <f t="shared" si="13"/>
        <v>1</v>
      </c>
      <c r="X87" t="str" cm="1">
        <f t="array" ref="X87">_xlfn.IFS(W87&lt;=1,"Low",W87=2,"Medium",W87&gt;=3,"High")</f>
        <v>Low</v>
      </c>
    </row>
    <row r="88" spans="1:24" x14ac:dyDescent="0.3">
      <c r="A88" t="s">
        <v>251</v>
      </c>
      <c r="B88" t="s">
        <v>226</v>
      </c>
      <c r="C88" s="3">
        <v>46043</v>
      </c>
      <c r="D88" s="8" t="s">
        <v>189</v>
      </c>
      <c r="E88" s="7" t="s">
        <v>20</v>
      </c>
      <c r="F88" s="7" t="s">
        <v>21</v>
      </c>
      <c r="G88" s="7" t="s">
        <v>264</v>
      </c>
      <c r="H88" s="4">
        <v>1387.18</v>
      </c>
      <c r="I88" s="7" t="s">
        <v>16</v>
      </c>
      <c r="J88" s="7" t="s">
        <v>17</v>
      </c>
      <c r="L88" t="str">
        <f>PROPER(TRIM(SUBSTITUTE(_xlfn.XLOOKUP(B88,Cardholders_Reference!A:A,Cardholders_Reference!B:B),","," ")))</f>
        <v>Rachel Pretorius</v>
      </c>
      <c r="M88" s="5">
        <f>_xlfn.XLOOKUP(B88,Cardholders_Reference!A:A,Cardholders_Reference!G:G)</f>
        <v>80000</v>
      </c>
      <c r="N88" s="7" t="str">
        <f>_xlfn.XLOOKUP(B88,Cardholders_Reference!A:A,Cardholders_Reference!D:D)</f>
        <v>FNB</v>
      </c>
      <c r="O88" s="7" t="str">
        <f>_xlfn.XLOOKUP(B88,Cardholders_Reference!A:A,Cardholders_Reference!E:E)</f>
        <v>Visa</v>
      </c>
      <c r="P88" s="6">
        <f t="shared" si="12"/>
        <v>1.7339750000000001E-2</v>
      </c>
      <c r="Q88">
        <f t="shared" si="7"/>
        <v>1</v>
      </c>
      <c r="R88">
        <f t="shared" si="8"/>
        <v>0</v>
      </c>
      <c r="S88">
        <f>IF(COUNTIFS($B$1:$B$738,B87,$C$1:$C$738,#REF!)&gt;2,1,0)</f>
        <v>0</v>
      </c>
      <c r="T88">
        <f t="shared" si="9"/>
        <v>0</v>
      </c>
      <c r="U88">
        <f t="shared" si="10"/>
        <v>0</v>
      </c>
      <c r="V88">
        <f t="shared" si="11"/>
        <v>0</v>
      </c>
      <c r="W88">
        <f t="shared" si="13"/>
        <v>1</v>
      </c>
      <c r="X88" t="str" cm="1">
        <f t="array" ref="X88">_xlfn.IFS(W88&lt;=1,"Low",W88=2,"Medium",W88&gt;=3,"High")</f>
        <v>Low</v>
      </c>
    </row>
    <row r="89" spans="1:24" x14ac:dyDescent="0.3">
      <c r="A89" t="s">
        <v>252</v>
      </c>
      <c r="B89" t="s">
        <v>226</v>
      </c>
      <c r="C89" s="3">
        <v>46150</v>
      </c>
      <c r="D89" s="8" t="s">
        <v>253</v>
      </c>
      <c r="E89" s="7" t="s">
        <v>35</v>
      </c>
      <c r="F89" s="7" t="s">
        <v>36</v>
      </c>
      <c r="G89" s="7" t="s">
        <v>177</v>
      </c>
      <c r="H89" s="4">
        <v>381.08</v>
      </c>
      <c r="I89" s="7" t="s">
        <v>32</v>
      </c>
      <c r="J89" s="7" t="s">
        <v>17</v>
      </c>
      <c r="L89" t="str">
        <f>PROPER(TRIM(SUBSTITUTE(_xlfn.XLOOKUP(B89,Cardholders_Reference!A:A,Cardholders_Reference!B:B),","," ")))</f>
        <v>Rachel Pretorius</v>
      </c>
      <c r="M89" s="5">
        <f>_xlfn.XLOOKUP(B89,Cardholders_Reference!A:A,Cardholders_Reference!G:G)</f>
        <v>80000</v>
      </c>
      <c r="N89" s="7" t="str">
        <f>_xlfn.XLOOKUP(B89,Cardholders_Reference!A:A,Cardholders_Reference!D:D)</f>
        <v>FNB</v>
      </c>
      <c r="O89" s="7" t="str">
        <f>_xlfn.XLOOKUP(B89,Cardholders_Reference!A:A,Cardholders_Reference!E:E)</f>
        <v>Visa</v>
      </c>
      <c r="P89" s="6">
        <f t="shared" si="12"/>
        <v>4.7634999999999995E-3</v>
      </c>
      <c r="Q89">
        <f t="shared" si="7"/>
        <v>1</v>
      </c>
      <c r="R89">
        <f t="shared" si="8"/>
        <v>0</v>
      </c>
      <c r="S89">
        <f>IF(COUNTIFS($B$1:$B$738,B88,$C$1:$C$738,#REF!)&gt;2,1,0)</f>
        <v>0</v>
      </c>
      <c r="T89">
        <f t="shared" si="9"/>
        <v>0</v>
      </c>
      <c r="U89">
        <f t="shared" si="10"/>
        <v>1</v>
      </c>
      <c r="V89">
        <f t="shared" si="11"/>
        <v>0</v>
      </c>
      <c r="W89">
        <f t="shared" si="13"/>
        <v>2</v>
      </c>
      <c r="X89" t="str" cm="1">
        <f t="array" ref="X89">_xlfn.IFS(W89&lt;=1,"Low",W89=2,"Medium",W89&gt;=3,"High")</f>
        <v>Medium</v>
      </c>
    </row>
    <row r="90" spans="1:24" x14ac:dyDescent="0.3">
      <c r="A90" t="s">
        <v>254</v>
      </c>
      <c r="B90" t="s">
        <v>226</v>
      </c>
      <c r="C90" s="3">
        <v>46178</v>
      </c>
      <c r="D90" s="8" t="s">
        <v>255</v>
      </c>
      <c r="E90" s="7" t="s">
        <v>104</v>
      </c>
      <c r="F90" s="7" t="s">
        <v>65</v>
      </c>
      <c r="G90" s="7" t="s">
        <v>177</v>
      </c>
      <c r="H90" s="4">
        <v>3710.08</v>
      </c>
      <c r="I90" s="7" t="s">
        <v>32</v>
      </c>
      <c r="J90" s="7" t="s">
        <v>17</v>
      </c>
      <c r="L90" t="str">
        <f>PROPER(TRIM(SUBSTITUTE(_xlfn.XLOOKUP(B90,Cardholders_Reference!A:A,Cardholders_Reference!B:B),","," ")))</f>
        <v>Rachel Pretorius</v>
      </c>
      <c r="M90" s="5">
        <f>_xlfn.XLOOKUP(B90,Cardholders_Reference!A:A,Cardholders_Reference!G:G)</f>
        <v>80000</v>
      </c>
      <c r="N90" s="7" t="str">
        <f>_xlfn.XLOOKUP(B90,Cardholders_Reference!A:A,Cardholders_Reference!D:D)</f>
        <v>FNB</v>
      </c>
      <c r="O90" s="7" t="str">
        <f>_xlfn.XLOOKUP(B90,Cardholders_Reference!A:A,Cardholders_Reference!E:E)</f>
        <v>Visa</v>
      </c>
      <c r="P90" s="6">
        <f t="shared" si="12"/>
        <v>4.6376000000000001E-2</v>
      </c>
      <c r="Q90">
        <f t="shared" si="7"/>
        <v>0</v>
      </c>
      <c r="R90">
        <f t="shared" si="8"/>
        <v>0</v>
      </c>
      <c r="S90">
        <f>IF(COUNTIFS($B$1:$B$738,B89,$C$1:$C$738,#REF!)&gt;2,1,0)</f>
        <v>0</v>
      </c>
      <c r="T90">
        <f t="shared" si="9"/>
        <v>0</v>
      </c>
      <c r="U90">
        <f t="shared" si="10"/>
        <v>0</v>
      </c>
      <c r="V90">
        <f t="shared" si="11"/>
        <v>0</v>
      </c>
      <c r="W90">
        <f t="shared" si="13"/>
        <v>0</v>
      </c>
      <c r="X90" t="str" cm="1">
        <f t="array" ref="X90">_xlfn.IFS(W90&lt;=1,"Low",W90=2,"Medium",W90&gt;=3,"High")</f>
        <v>Low</v>
      </c>
    </row>
    <row r="91" spans="1:24" x14ac:dyDescent="0.3">
      <c r="A91" t="s">
        <v>256</v>
      </c>
      <c r="B91" t="s">
        <v>257</v>
      </c>
      <c r="C91" s="3">
        <v>45804</v>
      </c>
      <c r="D91" s="8" t="s">
        <v>258</v>
      </c>
      <c r="E91" s="7" t="s">
        <v>97</v>
      </c>
      <c r="F91" s="7" t="s">
        <v>53</v>
      </c>
      <c r="G91" s="7" t="s">
        <v>177</v>
      </c>
      <c r="H91" s="4">
        <v>1585.66</v>
      </c>
      <c r="I91" s="7" t="s">
        <v>26</v>
      </c>
      <c r="J91" s="7" t="s">
        <v>17</v>
      </c>
      <c r="L91" t="str">
        <f>PROPER(TRIM(SUBSTITUTE(_xlfn.XLOOKUP(B91,Cardholders_Reference!A:A,Cardholders_Reference!B:B),","," ")))</f>
        <v>Bongani Pretorius</v>
      </c>
      <c r="M91" s="5">
        <f>_xlfn.XLOOKUP(B91,Cardholders_Reference!A:A,Cardholders_Reference!G:G)</f>
        <v>40000</v>
      </c>
      <c r="N91" s="7" t="str">
        <f>_xlfn.XLOOKUP(B91,Cardholders_Reference!A:A,Cardholders_Reference!D:D)</f>
        <v>Nedbank</v>
      </c>
      <c r="O91" s="7" t="str">
        <f>_xlfn.XLOOKUP(B91,Cardholders_Reference!A:A,Cardholders_Reference!E:E)</f>
        <v>Visa</v>
      </c>
      <c r="P91" s="6">
        <f t="shared" si="12"/>
        <v>3.9641500000000003E-2</v>
      </c>
      <c r="Q91">
        <f t="shared" si="7"/>
        <v>0</v>
      </c>
      <c r="R91">
        <f t="shared" si="8"/>
        <v>0</v>
      </c>
      <c r="S91">
        <f>IF(COUNTIFS($B$1:$B$738,B90,$C$1:$C$738,#REF!)&gt;2,1,0)</f>
        <v>0</v>
      </c>
      <c r="T91">
        <f t="shared" si="9"/>
        <v>0</v>
      </c>
      <c r="U91">
        <f t="shared" si="10"/>
        <v>1</v>
      </c>
      <c r="V91">
        <f t="shared" si="11"/>
        <v>1</v>
      </c>
      <c r="W91">
        <f t="shared" si="13"/>
        <v>2</v>
      </c>
      <c r="X91" t="str" cm="1">
        <f t="array" ref="X91">_xlfn.IFS(W91&lt;=1,"Low",W91=2,"Medium",W91&gt;=3,"High")</f>
        <v>Medium</v>
      </c>
    </row>
    <row r="92" spans="1:24" x14ac:dyDescent="0.3">
      <c r="A92" t="s">
        <v>259</v>
      </c>
      <c r="B92" t="s">
        <v>257</v>
      </c>
      <c r="C92" s="3">
        <v>45854</v>
      </c>
      <c r="D92" s="8" t="s">
        <v>260</v>
      </c>
      <c r="E92" s="7" t="s">
        <v>44</v>
      </c>
      <c r="F92" s="7" t="s">
        <v>25</v>
      </c>
      <c r="G92" s="7" t="s">
        <v>177</v>
      </c>
      <c r="H92" s="4">
        <v>1089.1099999999999</v>
      </c>
      <c r="I92" s="7" t="s">
        <v>16</v>
      </c>
      <c r="J92" s="7" t="s">
        <v>17</v>
      </c>
      <c r="L92" t="str">
        <f>PROPER(TRIM(SUBSTITUTE(_xlfn.XLOOKUP(B92,Cardholders_Reference!A:A,Cardholders_Reference!B:B),","," ")))</f>
        <v>Bongani Pretorius</v>
      </c>
      <c r="M92" s="5">
        <f>_xlfn.XLOOKUP(B92,Cardholders_Reference!A:A,Cardholders_Reference!G:G)</f>
        <v>40000</v>
      </c>
      <c r="N92" s="7" t="str">
        <f>_xlfn.XLOOKUP(B92,Cardholders_Reference!A:A,Cardholders_Reference!D:D)</f>
        <v>Nedbank</v>
      </c>
      <c r="O92" s="7" t="str">
        <f>_xlfn.XLOOKUP(B92,Cardholders_Reference!A:A,Cardholders_Reference!E:E)</f>
        <v>Visa</v>
      </c>
      <c r="P92" s="6">
        <f t="shared" si="12"/>
        <v>2.7227749999999998E-2</v>
      </c>
      <c r="Q92">
        <f t="shared" si="7"/>
        <v>0</v>
      </c>
      <c r="R92">
        <f t="shared" si="8"/>
        <v>0</v>
      </c>
      <c r="S92">
        <f>IF(COUNTIFS($B$1:$B$738,B91,$C$1:$C$738,#REF!)&gt;2,1,0)</f>
        <v>0</v>
      </c>
      <c r="T92">
        <f t="shared" si="9"/>
        <v>0</v>
      </c>
      <c r="U92">
        <f t="shared" si="10"/>
        <v>0</v>
      </c>
      <c r="V92">
        <f t="shared" si="11"/>
        <v>0</v>
      </c>
      <c r="W92">
        <f t="shared" si="13"/>
        <v>0</v>
      </c>
      <c r="X92" t="str" cm="1">
        <f t="array" ref="X92">_xlfn.IFS(W92&lt;=1,"Low",W92=2,"Medium",W92&gt;=3,"High")</f>
        <v>Low</v>
      </c>
    </row>
    <row r="93" spans="1:24" x14ac:dyDescent="0.3">
      <c r="A93" t="s">
        <v>261</v>
      </c>
      <c r="B93" t="s">
        <v>257</v>
      </c>
      <c r="C93" s="3">
        <v>45803</v>
      </c>
      <c r="D93" s="8" t="s">
        <v>1439</v>
      </c>
      <c r="E93" s="7" t="s">
        <v>94</v>
      </c>
      <c r="F93" s="7" t="s">
        <v>53</v>
      </c>
      <c r="G93" s="7" t="s">
        <v>145</v>
      </c>
      <c r="H93" s="4">
        <v>343.72</v>
      </c>
      <c r="I93" s="7" t="s">
        <v>95</v>
      </c>
      <c r="J93" s="7" t="s">
        <v>41</v>
      </c>
      <c r="L93" t="str">
        <f>PROPER(TRIM(SUBSTITUTE(_xlfn.XLOOKUP(B93,Cardholders_Reference!A:A,Cardholders_Reference!B:B),","," ")))</f>
        <v>Bongani Pretorius</v>
      </c>
      <c r="M93" s="5">
        <f>_xlfn.XLOOKUP(B93,Cardholders_Reference!A:A,Cardholders_Reference!G:G)</f>
        <v>40000</v>
      </c>
      <c r="N93" s="7" t="str">
        <f>_xlfn.XLOOKUP(B93,Cardholders_Reference!A:A,Cardholders_Reference!D:D)</f>
        <v>Nedbank</v>
      </c>
      <c r="O93" s="7" t="str">
        <f>_xlfn.XLOOKUP(B93,Cardholders_Reference!A:A,Cardholders_Reference!E:E)</f>
        <v>Visa</v>
      </c>
      <c r="P93" s="6">
        <f t="shared" si="12"/>
        <v>8.5929999999999999E-3</v>
      </c>
      <c r="Q93">
        <f t="shared" si="7"/>
        <v>0</v>
      </c>
      <c r="R93">
        <f t="shared" si="8"/>
        <v>1</v>
      </c>
      <c r="S93">
        <f>IF(COUNTIFS($B$1:$B$738,B92,$C$1:$C$738,#REF!)&gt;2,1,0)</f>
        <v>0</v>
      </c>
      <c r="T93">
        <f t="shared" si="9"/>
        <v>0</v>
      </c>
      <c r="U93">
        <f t="shared" si="10"/>
        <v>0</v>
      </c>
      <c r="V93">
        <f t="shared" si="11"/>
        <v>1</v>
      </c>
      <c r="W93">
        <f t="shared" si="13"/>
        <v>2</v>
      </c>
      <c r="X93" t="str" cm="1">
        <f t="array" ref="X93">_xlfn.IFS(W93&lt;=1,"Low",W93=2,"Medium",W93&gt;=3,"High")</f>
        <v>Medium</v>
      </c>
    </row>
    <row r="94" spans="1:24" x14ac:dyDescent="0.3">
      <c r="A94" t="s">
        <v>262</v>
      </c>
      <c r="B94" t="s">
        <v>257</v>
      </c>
      <c r="C94" s="3">
        <v>46115</v>
      </c>
      <c r="D94" s="8" t="s">
        <v>263</v>
      </c>
      <c r="E94" s="7" t="s">
        <v>129</v>
      </c>
      <c r="F94" s="7" t="s">
        <v>25</v>
      </c>
      <c r="G94" s="7" t="s">
        <v>264</v>
      </c>
      <c r="H94" s="4">
        <v>803.97</v>
      </c>
      <c r="I94" s="7" t="s">
        <v>32</v>
      </c>
      <c r="J94" s="7" t="s">
        <v>17</v>
      </c>
      <c r="L94" t="str">
        <f>PROPER(TRIM(SUBSTITUTE(_xlfn.XLOOKUP(B94,Cardholders_Reference!A:A,Cardholders_Reference!B:B),","," ")))</f>
        <v>Bongani Pretorius</v>
      </c>
      <c r="M94" s="5">
        <f>_xlfn.XLOOKUP(B94,Cardholders_Reference!A:A,Cardholders_Reference!G:G)</f>
        <v>40000</v>
      </c>
      <c r="N94" s="7" t="str">
        <f>_xlfn.XLOOKUP(B94,Cardholders_Reference!A:A,Cardholders_Reference!D:D)</f>
        <v>Nedbank</v>
      </c>
      <c r="O94" s="7" t="str">
        <f>_xlfn.XLOOKUP(B94,Cardholders_Reference!A:A,Cardholders_Reference!E:E)</f>
        <v>Visa</v>
      </c>
      <c r="P94" s="6">
        <f t="shared" si="12"/>
        <v>2.0099249999999999E-2</v>
      </c>
      <c r="Q94">
        <f t="shared" si="7"/>
        <v>1</v>
      </c>
      <c r="R94">
        <f t="shared" si="8"/>
        <v>0</v>
      </c>
      <c r="S94">
        <f>IF(COUNTIFS($B$1:$B$738,B93,$C$1:$C$738,#REF!)&gt;2,1,0)</f>
        <v>0</v>
      </c>
      <c r="T94">
        <f t="shared" si="9"/>
        <v>0</v>
      </c>
      <c r="U94">
        <f t="shared" si="10"/>
        <v>0</v>
      </c>
      <c r="V94">
        <f t="shared" si="11"/>
        <v>0</v>
      </c>
      <c r="W94">
        <f t="shared" si="13"/>
        <v>1</v>
      </c>
      <c r="X94" t="str" cm="1">
        <f t="array" ref="X94">_xlfn.IFS(W94&lt;=1,"Low",W94=2,"Medium",W94&gt;=3,"High")</f>
        <v>Low</v>
      </c>
    </row>
    <row r="95" spans="1:24" x14ac:dyDescent="0.3">
      <c r="A95" t="s">
        <v>265</v>
      </c>
      <c r="B95" t="s">
        <v>257</v>
      </c>
      <c r="C95" s="3">
        <v>45922</v>
      </c>
      <c r="D95" s="8" t="s">
        <v>266</v>
      </c>
      <c r="E95" s="7" t="s">
        <v>24</v>
      </c>
      <c r="F95" s="7" t="s">
        <v>25</v>
      </c>
      <c r="G95" s="7" t="s">
        <v>177</v>
      </c>
      <c r="H95" s="4">
        <v>337.22</v>
      </c>
      <c r="I95" s="7" t="s">
        <v>26</v>
      </c>
      <c r="J95" s="7" t="s">
        <v>17</v>
      </c>
      <c r="L95" t="str">
        <f>PROPER(TRIM(SUBSTITUTE(_xlfn.XLOOKUP(B95,Cardholders_Reference!A:A,Cardholders_Reference!B:B),","," ")))</f>
        <v>Bongani Pretorius</v>
      </c>
      <c r="M95" s="5">
        <f>_xlfn.XLOOKUP(B95,Cardholders_Reference!A:A,Cardholders_Reference!G:G)</f>
        <v>40000</v>
      </c>
      <c r="N95" s="7" t="str">
        <f>_xlfn.XLOOKUP(B95,Cardholders_Reference!A:A,Cardholders_Reference!D:D)</f>
        <v>Nedbank</v>
      </c>
      <c r="O95" s="7" t="str">
        <f>_xlfn.XLOOKUP(B95,Cardholders_Reference!A:A,Cardholders_Reference!E:E)</f>
        <v>Visa</v>
      </c>
      <c r="P95" s="6">
        <f t="shared" si="12"/>
        <v>8.4305000000000005E-3</v>
      </c>
      <c r="Q95">
        <f t="shared" si="7"/>
        <v>1</v>
      </c>
      <c r="R95">
        <f t="shared" si="8"/>
        <v>0</v>
      </c>
      <c r="S95">
        <f>IF(COUNTIFS($B$1:$B$738,B94,$C$1:$C$738,#REF!)&gt;2,1,0)</f>
        <v>0</v>
      </c>
      <c r="T95">
        <f t="shared" si="9"/>
        <v>0</v>
      </c>
      <c r="U95">
        <f t="shared" si="10"/>
        <v>0</v>
      </c>
      <c r="V95">
        <f t="shared" si="11"/>
        <v>1</v>
      </c>
      <c r="W95">
        <f t="shared" si="13"/>
        <v>2</v>
      </c>
      <c r="X95" t="str" cm="1">
        <f t="array" ref="X95">_xlfn.IFS(W95&lt;=1,"Low",W95=2,"Medium",W95&gt;=3,"High")</f>
        <v>Medium</v>
      </c>
    </row>
    <row r="96" spans="1:24" x14ac:dyDescent="0.3">
      <c r="A96" t="s">
        <v>267</v>
      </c>
      <c r="B96" t="s">
        <v>257</v>
      </c>
      <c r="C96" s="3">
        <v>45839</v>
      </c>
      <c r="D96" s="8" t="s">
        <v>268</v>
      </c>
      <c r="E96" s="7" t="s">
        <v>129</v>
      </c>
      <c r="F96" s="7" t="s">
        <v>25</v>
      </c>
      <c r="G96" s="7" t="s">
        <v>108</v>
      </c>
      <c r="H96" s="4">
        <v>431.64</v>
      </c>
      <c r="I96" s="7" t="s">
        <v>26</v>
      </c>
      <c r="J96" s="7" t="s">
        <v>17</v>
      </c>
      <c r="L96" t="str">
        <f>PROPER(TRIM(SUBSTITUTE(_xlfn.XLOOKUP(B96,Cardholders_Reference!A:A,Cardholders_Reference!B:B),","," ")))</f>
        <v>Bongani Pretorius</v>
      </c>
      <c r="M96" s="5">
        <f>_xlfn.XLOOKUP(B96,Cardholders_Reference!A:A,Cardholders_Reference!G:G)</f>
        <v>40000</v>
      </c>
      <c r="N96" s="7" t="str">
        <f>_xlfn.XLOOKUP(B96,Cardholders_Reference!A:A,Cardholders_Reference!D:D)</f>
        <v>Nedbank</v>
      </c>
      <c r="O96" s="7" t="str">
        <f>_xlfn.XLOOKUP(B96,Cardholders_Reference!A:A,Cardholders_Reference!E:E)</f>
        <v>Visa</v>
      </c>
      <c r="P96" s="6">
        <f t="shared" si="12"/>
        <v>1.0791E-2</v>
      </c>
      <c r="Q96">
        <f t="shared" si="7"/>
        <v>0</v>
      </c>
      <c r="R96">
        <f t="shared" si="8"/>
        <v>0</v>
      </c>
      <c r="S96">
        <f>IF(COUNTIFS($B$1:$B$738,B95,$C$1:$C$738,#REF!)&gt;2,1,0)</f>
        <v>0</v>
      </c>
      <c r="T96">
        <f t="shared" si="9"/>
        <v>0</v>
      </c>
      <c r="U96">
        <f t="shared" si="10"/>
        <v>0</v>
      </c>
      <c r="V96">
        <f t="shared" si="11"/>
        <v>1</v>
      </c>
      <c r="W96">
        <f t="shared" si="13"/>
        <v>1</v>
      </c>
      <c r="X96" t="str" cm="1">
        <f t="array" ref="X96">_xlfn.IFS(W96&lt;=1,"Low",W96=2,"Medium",W96&gt;=3,"High")</f>
        <v>Low</v>
      </c>
    </row>
    <row r="97" spans="1:24" x14ac:dyDescent="0.3">
      <c r="A97" t="s">
        <v>269</v>
      </c>
      <c r="B97" t="s">
        <v>257</v>
      </c>
      <c r="C97" s="3">
        <v>46146</v>
      </c>
      <c r="D97" s="8" t="s">
        <v>270</v>
      </c>
      <c r="E97" s="7" t="s">
        <v>70</v>
      </c>
      <c r="F97" s="7" t="s">
        <v>36</v>
      </c>
      <c r="G97" s="7" t="s">
        <v>177</v>
      </c>
      <c r="H97" s="4">
        <v>242.38</v>
      </c>
      <c r="I97" s="7" t="s">
        <v>26</v>
      </c>
      <c r="J97" s="7" t="s">
        <v>17</v>
      </c>
      <c r="L97" t="str">
        <f>PROPER(TRIM(SUBSTITUTE(_xlfn.XLOOKUP(B97,Cardholders_Reference!A:A,Cardholders_Reference!B:B),","," ")))</f>
        <v>Bongani Pretorius</v>
      </c>
      <c r="M97" s="5">
        <f>_xlfn.XLOOKUP(B97,Cardholders_Reference!A:A,Cardholders_Reference!G:G)</f>
        <v>40000</v>
      </c>
      <c r="N97" s="7" t="str">
        <f>_xlfn.XLOOKUP(B97,Cardholders_Reference!A:A,Cardholders_Reference!D:D)</f>
        <v>Nedbank</v>
      </c>
      <c r="O97" s="7" t="str">
        <f>_xlfn.XLOOKUP(B97,Cardholders_Reference!A:A,Cardholders_Reference!E:E)</f>
        <v>Visa</v>
      </c>
      <c r="P97" s="6">
        <f t="shared" si="12"/>
        <v>6.0594999999999998E-3</v>
      </c>
      <c r="Q97">
        <f t="shared" si="7"/>
        <v>1</v>
      </c>
      <c r="R97">
        <f t="shared" si="8"/>
        <v>0</v>
      </c>
      <c r="S97">
        <f>IF(COUNTIFS($B$1:$B$738,B96,$C$1:$C$738,#REF!)&gt;2,1,0)</f>
        <v>0</v>
      </c>
      <c r="T97">
        <f t="shared" si="9"/>
        <v>0</v>
      </c>
      <c r="U97">
        <f t="shared" si="10"/>
        <v>0</v>
      </c>
      <c r="V97">
        <f t="shared" si="11"/>
        <v>1</v>
      </c>
      <c r="W97">
        <f t="shared" si="13"/>
        <v>2</v>
      </c>
      <c r="X97" t="str" cm="1">
        <f t="array" ref="X97">_xlfn.IFS(W97&lt;=1,"Low",W97=2,"Medium",W97&gt;=3,"High")</f>
        <v>Medium</v>
      </c>
    </row>
    <row r="98" spans="1:24" x14ac:dyDescent="0.3">
      <c r="A98" t="s">
        <v>271</v>
      </c>
      <c r="B98" t="s">
        <v>257</v>
      </c>
      <c r="C98" s="3">
        <v>46073</v>
      </c>
      <c r="D98" s="8" t="s">
        <v>272</v>
      </c>
      <c r="E98" s="7" t="s">
        <v>20</v>
      </c>
      <c r="F98" s="7" t="s">
        <v>21</v>
      </c>
      <c r="G98" s="7" t="s">
        <v>192</v>
      </c>
      <c r="H98" s="4">
        <v>1836.02</v>
      </c>
      <c r="I98" s="7" t="s">
        <v>26</v>
      </c>
      <c r="J98" s="7" t="s">
        <v>17</v>
      </c>
      <c r="L98" t="str">
        <f>PROPER(TRIM(SUBSTITUTE(_xlfn.XLOOKUP(B98,Cardholders_Reference!A:A,Cardholders_Reference!B:B),","," ")))</f>
        <v>Bongani Pretorius</v>
      </c>
      <c r="M98" s="5">
        <f>_xlfn.XLOOKUP(B98,Cardholders_Reference!A:A,Cardholders_Reference!G:G)</f>
        <v>40000</v>
      </c>
      <c r="N98" s="7" t="str">
        <f>_xlfn.XLOOKUP(B98,Cardholders_Reference!A:A,Cardholders_Reference!D:D)</f>
        <v>Nedbank</v>
      </c>
      <c r="O98" s="7" t="str">
        <f>_xlfn.XLOOKUP(B98,Cardholders_Reference!A:A,Cardholders_Reference!E:E)</f>
        <v>Visa</v>
      </c>
      <c r="P98" s="6">
        <f t="shared" si="12"/>
        <v>4.5900499999999997E-2</v>
      </c>
      <c r="Q98">
        <f t="shared" si="7"/>
        <v>0</v>
      </c>
      <c r="R98">
        <f t="shared" si="8"/>
        <v>0</v>
      </c>
      <c r="S98">
        <f>IF(COUNTIFS($B$1:$B$738,B97,$C$1:$C$738,#REF!)&gt;2,1,0)</f>
        <v>0</v>
      </c>
      <c r="T98">
        <f t="shared" si="9"/>
        <v>0</v>
      </c>
      <c r="U98">
        <f t="shared" si="10"/>
        <v>0</v>
      </c>
      <c r="V98">
        <f t="shared" si="11"/>
        <v>1</v>
      </c>
      <c r="W98">
        <f t="shared" si="13"/>
        <v>1</v>
      </c>
      <c r="X98" t="str" cm="1">
        <f t="array" ref="X98">_xlfn.IFS(W98&lt;=1,"Low",W98=2,"Medium",W98&gt;=3,"High")</f>
        <v>Low</v>
      </c>
    </row>
    <row r="99" spans="1:24" x14ac:dyDescent="0.3">
      <c r="A99" t="s">
        <v>273</v>
      </c>
      <c r="B99" t="s">
        <v>257</v>
      </c>
      <c r="C99" s="3">
        <v>46208</v>
      </c>
      <c r="D99" s="8" t="s">
        <v>274</v>
      </c>
      <c r="E99" s="7" t="s">
        <v>114</v>
      </c>
      <c r="F99" s="7" t="s">
        <v>81</v>
      </c>
      <c r="G99" s="7" t="s">
        <v>177</v>
      </c>
      <c r="H99" s="4">
        <v>10053.709999999999</v>
      </c>
      <c r="I99" s="7" t="s">
        <v>16</v>
      </c>
      <c r="J99" s="7" t="s">
        <v>17</v>
      </c>
      <c r="L99" t="str">
        <f>PROPER(TRIM(SUBSTITUTE(_xlfn.XLOOKUP(B99,Cardholders_Reference!A:A,Cardholders_Reference!B:B),","," ")))</f>
        <v>Bongani Pretorius</v>
      </c>
      <c r="M99" s="5">
        <f>_xlfn.XLOOKUP(B99,Cardholders_Reference!A:A,Cardholders_Reference!G:G)</f>
        <v>40000</v>
      </c>
      <c r="N99" s="7" t="str">
        <f>_xlfn.XLOOKUP(B99,Cardholders_Reference!A:A,Cardholders_Reference!D:D)</f>
        <v>Nedbank</v>
      </c>
      <c r="O99" s="7" t="str">
        <f>_xlfn.XLOOKUP(B99,Cardholders_Reference!A:A,Cardholders_Reference!E:E)</f>
        <v>Visa</v>
      </c>
      <c r="P99" s="6">
        <f t="shared" si="12"/>
        <v>0.25134275</v>
      </c>
      <c r="Q99">
        <f t="shared" si="7"/>
        <v>1</v>
      </c>
      <c r="R99">
        <f t="shared" si="8"/>
        <v>0</v>
      </c>
      <c r="S99">
        <f>IF(COUNTIFS($B$1:$B$738,B98,$C$1:$C$738,#REF!)&gt;2,1,0)</f>
        <v>0</v>
      </c>
      <c r="T99">
        <f t="shared" si="9"/>
        <v>0</v>
      </c>
      <c r="U99">
        <f t="shared" si="10"/>
        <v>1</v>
      </c>
      <c r="V99">
        <f t="shared" si="11"/>
        <v>0</v>
      </c>
      <c r="W99">
        <f t="shared" si="13"/>
        <v>2</v>
      </c>
      <c r="X99" t="str" cm="1">
        <f t="array" ref="X99">_xlfn.IFS(W99&lt;=1,"Low",W99=2,"Medium",W99&gt;=3,"High")</f>
        <v>Medium</v>
      </c>
    </row>
    <row r="100" spans="1:24" x14ac:dyDescent="0.3">
      <c r="A100" t="s">
        <v>275</v>
      </c>
      <c r="B100" t="s">
        <v>257</v>
      </c>
      <c r="C100" s="3">
        <v>46018</v>
      </c>
      <c r="D100" s="8" t="s">
        <v>276</v>
      </c>
      <c r="E100" s="7" t="s">
        <v>173</v>
      </c>
      <c r="F100" s="7" t="s">
        <v>21</v>
      </c>
      <c r="G100" s="7" t="s">
        <v>177</v>
      </c>
      <c r="H100" s="4">
        <v>1501.56</v>
      </c>
      <c r="I100" s="7" t="s">
        <v>26</v>
      </c>
      <c r="J100" s="7" t="s">
        <v>17</v>
      </c>
      <c r="L100" t="str">
        <f>PROPER(TRIM(SUBSTITUTE(_xlfn.XLOOKUP(B100,Cardholders_Reference!A:A,Cardholders_Reference!B:B),","," ")))</f>
        <v>Bongani Pretorius</v>
      </c>
      <c r="M100" s="5">
        <f>_xlfn.XLOOKUP(B100,Cardholders_Reference!A:A,Cardholders_Reference!G:G)</f>
        <v>40000</v>
      </c>
      <c r="N100" s="7" t="str">
        <f>_xlfn.XLOOKUP(B100,Cardholders_Reference!A:A,Cardholders_Reference!D:D)</f>
        <v>Nedbank</v>
      </c>
      <c r="O100" s="7" t="str">
        <f>_xlfn.XLOOKUP(B100,Cardholders_Reference!A:A,Cardholders_Reference!E:E)</f>
        <v>Visa</v>
      </c>
      <c r="P100" s="6">
        <f t="shared" si="12"/>
        <v>3.7538999999999996E-2</v>
      </c>
      <c r="Q100">
        <f t="shared" si="7"/>
        <v>0</v>
      </c>
      <c r="R100">
        <f t="shared" si="8"/>
        <v>0</v>
      </c>
      <c r="S100">
        <f>IF(COUNTIFS($B$1:$B$738,B99,$C$1:$C$738,#REF!)&gt;2,1,0)</f>
        <v>0</v>
      </c>
      <c r="T100">
        <f t="shared" si="9"/>
        <v>0</v>
      </c>
      <c r="U100">
        <f t="shared" si="10"/>
        <v>0</v>
      </c>
      <c r="V100">
        <f t="shared" si="11"/>
        <v>1</v>
      </c>
      <c r="W100">
        <f t="shared" si="13"/>
        <v>1</v>
      </c>
      <c r="X100" t="str" cm="1">
        <f t="array" ref="X100">_xlfn.IFS(W100&lt;=1,"Low",W100=2,"Medium",W100&gt;=3,"High")</f>
        <v>Low</v>
      </c>
    </row>
    <row r="101" spans="1:24" x14ac:dyDescent="0.3">
      <c r="A101" t="s">
        <v>277</v>
      </c>
      <c r="B101" t="s">
        <v>278</v>
      </c>
      <c r="C101" s="3">
        <v>46814</v>
      </c>
      <c r="D101" s="8" t="s">
        <v>279</v>
      </c>
      <c r="E101" s="7" t="s">
        <v>35</v>
      </c>
      <c r="F101" s="7" t="s">
        <v>36</v>
      </c>
      <c r="G101" s="7" t="s">
        <v>177</v>
      </c>
      <c r="H101" s="4">
        <v>454.03</v>
      </c>
      <c r="I101" s="7" t="s">
        <v>95</v>
      </c>
      <c r="J101" s="7" t="s">
        <v>41</v>
      </c>
      <c r="L101" t="str">
        <f>PROPER(TRIM(SUBSTITUTE(_xlfn.XLOOKUP(B101,Cardholders_Reference!A:A,Cardholders_Reference!B:B),","," ")))</f>
        <v>Fourie Lindiwe</v>
      </c>
      <c r="M101" s="5">
        <f>_xlfn.XLOOKUP(B101,Cardholders_Reference!A:A,Cardholders_Reference!G:G)</f>
        <v>80000</v>
      </c>
      <c r="N101" s="7" t="str">
        <f>_xlfn.XLOOKUP(B101,Cardholders_Reference!A:A,Cardholders_Reference!D:D)</f>
        <v>Standard Bank</v>
      </c>
      <c r="O101" s="7" t="str">
        <f>_xlfn.XLOOKUP(B101,Cardholders_Reference!A:A,Cardholders_Reference!E:E)</f>
        <v>Visa</v>
      </c>
      <c r="P101" s="6">
        <f t="shared" si="12"/>
        <v>5.6753749999999999E-3</v>
      </c>
      <c r="Q101">
        <f t="shared" si="7"/>
        <v>0</v>
      </c>
      <c r="R101">
        <f t="shared" si="8"/>
        <v>0</v>
      </c>
      <c r="S101">
        <f>IF(COUNTIFS($B$1:$B$738,B100,$C$1:$C$738,#REF!)&gt;2,1,0)</f>
        <v>0</v>
      </c>
      <c r="T101">
        <f t="shared" si="9"/>
        <v>0</v>
      </c>
      <c r="U101">
        <f t="shared" si="10"/>
        <v>1</v>
      </c>
      <c r="V101">
        <f t="shared" si="11"/>
        <v>1</v>
      </c>
      <c r="W101">
        <f t="shared" si="13"/>
        <v>2</v>
      </c>
      <c r="X101" t="str" cm="1">
        <f t="array" ref="X101">_xlfn.IFS(W101&lt;=1,"Low",W101=2,"Medium",W101&gt;=3,"High")</f>
        <v>Medium</v>
      </c>
    </row>
    <row r="102" spans="1:24" x14ac:dyDescent="0.3">
      <c r="A102" t="s">
        <v>280</v>
      </c>
      <c r="B102" t="s">
        <v>278</v>
      </c>
      <c r="C102" s="3">
        <v>45771</v>
      </c>
      <c r="D102" s="8" t="s">
        <v>281</v>
      </c>
      <c r="E102" s="7" t="s">
        <v>132</v>
      </c>
      <c r="F102" s="7" t="s">
        <v>25</v>
      </c>
      <c r="G102" s="7" t="s">
        <v>192</v>
      </c>
      <c r="H102" s="4">
        <v>897.02</v>
      </c>
      <c r="I102" s="7" t="s">
        <v>32</v>
      </c>
      <c r="J102" s="7" t="s">
        <v>17</v>
      </c>
      <c r="L102" t="str">
        <f>PROPER(TRIM(SUBSTITUTE(_xlfn.XLOOKUP(B102,Cardholders_Reference!A:A,Cardholders_Reference!B:B),","," ")))</f>
        <v>Fourie Lindiwe</v>
      </c>
      <c r="M102" s="5">
        <f>_xlfn.XLOOKUP(B102,Cardholders_Reference!A:A,Cardholders_Reference!G:G)</f>
        <v>80000</v>
      </c>
      <c r="N102" s="7" t="str">
        <f>_xlfn.XLOOKUP(B102,Cardholders_Reference!A:A,Cardholders_Reference!D:D)</f>
        <v>Standard Bank</v>
      </c>
      <c r="O102" s="7" t="str">
        <f>_xlfn.XLOOKUP(B102,Cardholders_Reference!A:A,Cardholders_Reference!E:E)</f>
        <v>Visa</v>
      </c>
      <c r="P102" s="6">
        <f t="shared" si="12"/>
        <v>1.121275E-2</v>
      </c>
      <c r="Q102">
        <f t="shared" si="7"/>
        <v>0</v>
      </c>
      <c r="R102">
        <f t="shared" si="8"/>
        <v>0</v>
      </c>
      <c r="S102">
        <f>IF(COUNTIFS($B$1:$B$738,B101,$C$1:$C$738,#REF!)&gt;2,1,0)</f>
        <v>0</v>
      </c>
      <c r="T102">
        <f t="shared" si="9"/>
        <v>0</v>
      </c>
      <c r="U102">
        <f t="shared" si="10"/>
        <v>0</v>
      </c>
      <c r="V102">
        <f t="shared" si="11"/>
        <v>0</v>
      </c>
      <c r="W102">
        <f t="shared" si="13"/>
        <v>0</v>
      </c>
      <c r="X102" t="str" cm="1">
        <f t="array" ref="X102">_xlfn.IFS(W102&lt;=1,"Low",W102=2,"Medium",W102&gt;=3,"High")</f>
        <v>Low</v>
      </c>
    </row>
    <row r="103" spans="1:24" x14ac:dyDescent="0.3">
      <c r="A103" t="s">
        <v>282</v>
      </c>
      <c r="B103" t="s">
        <v>278</v>
      </c>
      <c r="C103" s="3">
        <v>45748</v>
      </c>
      <c r="D103" s="8" t="s">
        <v>283</v>
      </c>
      <c r="E103" s="7" t="s">
        <v>57</v>
      </c>
      <c r="F103" s="7" t="s">
        <v>36</v>
      </c>
      <c r="G103" s="7" t="s">
        <v>192</v>
      </c>
      <c r="H103" s="4">
        <v>649.38</v>
      </c>
      <c r="I103" s="7" t="s">
        <v>16</v>
      </c>
      <c r="J103" s="7" t="s">
        <v>17</v>
      </c>
      <c r="L103" t="str">
        <f>PROPER(TRIM(SUBSTITUTE(_xlfn.XLOOKUP(B103,Cardholders_Reference!A:A,Cardholders_Reference!B:B),","," ")))</f>
        <v>Fourie Lindiwe</v>
      </c>
      <c r="M103" s="5">
        <f>_xlfn.XLOOKUP(B103,Cardholders_Reference!A:A,Cardholders_Reference!G:G)</f>
        <v>80000</v>
      </c>
      <c r="N103" s="7" t="str">
        <f>_xlfn.XLOOKUP(B103,Cardholders_Reference!A:A,Cardholders_Reference!D:D)</f>
        <v>Standard Bank</v>
      </c>
      <c r="O103" s="7" t="str">
        <f>_xlfn.XLOOKUP(B103,Cardholders_Reference!A:A,Cardholders_Reference!E:E)</f>
        <v>Visa</v>
      </c>
      <c r="P103" s="6">
        <f t="shared" si="12"/>
        <v>8.1172499999999995E-3</v>
      </c>
      <c r="Q103">
        <f t="shared" si="7"/>
        <v>1</v>
      </c>
      <c r="R103">
        <f t="shared" si="8"/>
        <v>0</v>
      </c>
      <c r="S103">
        <f>IF(COUNTIFS($B$1:$B$738,B102,$C$1:$C$738,#REF!)&gt;2,1,0)</f>
        <v>0</v>
      </c>
      <c r="T103">
        <f t="shared" si="9"/>
        <v>0</v>
      </c>
      <c r="U103">
        <f t="shared" si="10"/>
        <v>0</v>
      </c>
      <c r="V103">
        <f t="shared" si="11"/>
        <v>0</v>
      </c>
      <c r="W103">
        <f t="shared" si="13"/>
        <v>1</v>
      </c>
      <c r="X103" t="str" cm="1">
        <f t="array" ref="X103">_xlfn.IFS(W103&lt;=1,"Low",W103=2,"Medium",W103&gt;=3,"High")</f>
        <v>Low</v>
      </c>
    </row>
    <row r="104" spans="1:24" x14ac:dyDescent="0.3">
      <c r="A104" t="s">
        <v>284</v>
      </c>
      <c r="B104" t="s">
        <v>278</v>
      </c>
      <c r="C104" s="3">
        <v>45942</v>
      </c>
      <c r="D104" s="8" t="s">
        <v>285</v>
      </c>
      <c r="E104" s="7" t="s">
        <v>173</v>
      </c>
      <c r="F104" s="7" t="s">
        <v>21</v>
      </c>
      <c r="G104" s="7" t="s">
        <v>177</v>
      </c>
      <c r="H104" s="4">
        <v>1848.84</v>
      </c>
      <c r="I104" s="7" t="s">
        <v>95</v>
      </c>
      <c r="J104" s="7" t="s">
        <v>41</v>
      </c>
      <c r="L104" t="str">
        <f>PROPER(TRIM(SUBSTITUTE(_xlfn.XLOOKUP(B104,Cardholders_Reference!A:A,Cardholders_Reference!B:B),","," ")))</f>
        <v>Fourie Lindiwe</v>
      </c>
      <c r="M104" s="5">
        <f>_xlfn.XLOOKUP(B104,Cardholders_Reference!A:A,Cardholders_Reference!G:G)</f>
        <v>80000</v>
      </c>
      <c r="N104" s="7" t="str">
        <f>_xlfn.XLOOKUP(B104,Cardholders_Reference!A:A,Cardholders_Reference!D:D)</f>
        <v>Standard Bank</v>
      </c>
      <c r="O104" s="7" t="str">
        <f>_xlfn.XLOOKUP(B104,Cardholders_Reference!A:A,Cardholders_Reference!E:E)</f>
        <v>Visa</v>
      </c>
      <c r="P104" s="6">
        <f t="shared" si="12"/>
        <v>2.3110499999999999E-2</v>
      </c>
      <c r="Q104">
        <f t="shared" si="7"/>
        <v>1</v>
      </c>
      <c r="R104">
        <f t="shared" si="8"/>
        <v>0</v>
      </c>
      <c r="S104">
        <f>IF(COUNTIFS($B$1:$B$738,B103,$C$1:$C$738,#REF!)&gt;2,1,0)</f>
        <v>0</v>
      </c>
      <c r="T104">
        <f t="shared" si="9"/>
        <v>0</v>
      </c>
      <c r="U104">
        <f t="shared" si="10"/>
        <v>0</v>
      </c>
      <c r="V104">
        <f t="shared" si="11"/>
        <v>1</v>
      </c>
      <c r="W104">
        <f t="shared" si="13"/>
        <v>2</v>
      </c>
      <c r="X104" t="str" cm="1">
        <f t="array" ref="X104">_xlfn.IFS(W104&lt;=1,"Low",W104=2,"Medium",W104&gt;=3,"High")</f>
        <v>Medium</v>
      </c>
    </row>
    <row r="105" spans="1:24" x14ac:dyDescent="0.3">
      <c r="A105" t="s">
        <v>286</v>
      </c>
      <c r="B105" t="s">
        <v>278</v>
      </c>
      <c r="C105" s="3">
        <v>46147</v>
      </c>
      <c r="D105" s="8" t="s">
        <v>287</v>
      </c>
      <c r="E105" s="7" t="s">
        <v>70</v>
      </c>
      <c r="F105" s="7" t="s">
        <v>36</v>
      </c>
      <c r="G105" s="7" t="s">
        <v>177</v>
      </c>
      <c r="H105" s="4">
        <v>315.63</v>
      </c>
      <c r="I105" s="7" t="s">
        <v>16</v>
      </c>
      <c r="J105" s="7" t="s">
        <v>17</v>
      </c>
      <c r="L105" t="str">
        <f>PROPER(TRIM(SUBSTITUTE(_xlfn.XLOOKUP(B105,Cardholders_Reference!A:A,Cardholders_Reference!B:B),","," ")))</f>
        <v>Fourie Lindiwe</v>
      </c>
      <c r="M105" s="5">
        <f>_xlfn.XLOOKUP(B105,Cardholders_Reference!A:A,Cardholders_Reference!G:G)</f>
        <v>80000</v>
      </c>
      <c r="N105" s="7" t="str">
        <f>_xlfn.XLOOKUP(B105,Cardholders_Reference!A:A,Cardholders_Reference!D:D)</f>
        <v>Standard Bank</v>
      </c>
      <c r="O105" s="7" t="str">
        <f>_xlfn.XLOOKUP(B105,Cardholders_Reference!A:A,Cardholders_Reference!E:E)</f>
        <v>Visa</v>
      </c>
      <c r="P105" s="6">
        <f t="shared" si="12"/>
        <v>3.9453750000000001E-3</v>
      </c>
      <c r="Q105">
        <f t="shared" si="7"/>
        <v>0</v>
      </c>
      <c r="R105">
        <f t="shared" si="8"/>
        <v>0</v>
      </c>
      <c r="S105">
        <f>IF(COUNTIFS($B$1:$B$738,B104,$C$1:$C$738,#REF!)&gt;2,1,0)</f>
        <v>0</v>
      </c>
      <c r="T105">
        <f t="shared" si="9"/>
        <v>0</v>
      </c>
      <c r="U105">
        <f t="shared" si="10"/>
        <v>1</v>
      </c>
      <c r="V105">
        <f t="shared" si="11"/>
        <v>0</v>
      </c>
      <c r="W105">
        <f t="shared" si="13"/>
        <v>1</v>
      </c>
      <c r="X105" t="str" cm="1">
        <f t="array" ref="X105">_xlfn.IFS(W105&lt;=1,"Low",W105=2,"Medium",W105&gt;=3,"High")</f>
        <v>Low</v>
      </c>
    </row>
    <row r="106" spans="1:24" x14ac:dyDescent="0.3">
      <c r="A106" t="s">
        <v>288</v>
      </c>
      <c r="B106" t="s">
        <v>278</v>
      </c>
      <c r="C106" s="3">
        <v>46028</v>
      </c>
      <c r="D106" s="8" t="s">
        <v>289</v>
      </c>
      <c r="E106" s="7" t="s">
        <v>173</v>
      </c>
      <c r="F106" s="7" t="s">
        <v>21</v>
      </c>
      <c r="G106" s="7" t="s">
        <v>192</v>
      </c>
      <c r="H106" s="4">
        <v>2753.85</v>
      </c>
      <c r="I106" s="7" t="s">
        <v>16</v>
      </c>
      <c r="J106" s="7" t="s">
        <v>17</v>
      </c>
      <c r="L106" t="str">
        <f>PROPER(TRIM(SUBSTITUTE(_xlfn.XLOOKUP(B106,Cardholders_Reference!A:A,Cardholders_Reference!B:B),","," ")))</f>
        <v>Fourie Lindiwe</v>
      </c>
      <c r="M106" s="5">
        <f>_xlfn.XLOOKUP(B106,Cardholders_Reference!A:A,Cardholders_Reference!G:G)</f>
        <v>80000</v>
      </c>
      <c r="N106" s="7" t="str">
        <f>_xlfn.XLOOKUP(B106,Cardholders_Reference!A:A,Cardholders_Reference!D:D)</f>
        <v>Standard Bank</v>
      </c>
      <c r="O106" s="7" t="str">
        <f>_xlfn.XLOOKUP(B106,Cardholders_Reference!A:A,Cardholders_Reference!E:E)</f>
        <v>Visa</v>
      </c>
      <c r="P106" s="6">
        <f t="shared" si="12"/>
        <v>3.4423124999999999E-2</v>
      </c>
      <c r="Q106">
        <f t="shared" si="7"/>
        <v>0</v>
      </c>
      <c r="R106">
        <f t="shared" si="8"/>
        <v>0</v>
      </c>
      <c r="S106">
        <f>IF(COUNTIFS($B$1:$B$738,B105,$C$1:$C$738,#REF!)&gt;2,1,0)</f>
        <v>0</v>
      </c>
      <c r="T106">
        <f t="shared" si="9"/>
        <v>0</v>
      </c>
      <c r="U106">
        <f t="shared" si="10"/>
        <v>0</v>
      </c>
      <c r="V106">
        <f t="shared" si="11"/>
        <v>0</v>
      </c>
      <c r="W106">
        <f t="shared" si="13"/>
        <v>0</v>
      </c>
      <c r="X106" t="str" cm="1">
        <f t="array" ref="X106">_xlfn.IFS(W106&lt;=1,"Low",W106=2,"Medium",W106&gt;=3,"High")</f>
        <v>Low</v>
      </c>
    </row>
    <row r="107" spans="1:24" x14ac:dyDescent="0.3">
      <c r="A107" t="s">
        <v>290</v>
      </c>
      <c r="B107" t="s">
        <v>278</v>
      </c>
      <c r="C107" s="3">
        <v>46064</v>
      </c>
      <c r="D107" s="8" t="s">
        <v>191</v>
      </c>
      <c r="E107" s="7" t="s">
        <v>206</v>
      </c>
      <c r="F107" s="7" t="s">
        <v>61</v>
      </c>
      <c r="G107" s="7" t="s">
        <v>177</v>
      </c>
      <c r="H107" s="4">
        <v>5217.8100000000004</v>
      </c>
      <c r="I107" s="7" t="s">
        <v>26</v>
      </c>
      <c r="J107" s="7" t="s">
        <v>17</v>
      </c>
      <c r="L107" t="str">
        <f>PROPER(TRIM(SUBSTITUTE(_xlfn.XLOOKUP(B107,Cardholders_Reference!A:A,Cardholders_Reference!B:B),","," ")))</f>
        <v>Fourie Lindiwe</v>
      </c>
      <c r="M107" s="5">
        <f>_xlfn.XLOOKUP(B107,Cardholders_Reference!A:A,Cardholders_Reference!G:G)</f>
        <v>80000</v>
      </c>
      <c r="N107" s="7" t="str">
        <f>_xlfn.XLOOKUP(B107,Cardholders_Reference!A:A,Cardholders_Reference!D:D)</f>
        <v>Standard Bank</v>
      </c>
      <c r="O107" s="7" t="str">
        <f>_xlfn.XLOOKUP(B107,Cardholders_Reference!A:A,Cardholders_Reference!E:E)</f>
        <v>Visa</v>
      </c>
      <c r="P107" s="6">
        <f t="shared" si="12"/>
        <v>6.5222625000000006E-2</v>
      </c>
      <c r="Q107">
        <f t="shared" si="7"/>
        <v>1</v>
      </c>
      <c r="R107">
        <f t="shared" si="8"/>
        <v>0</v>
      </c>
      <c r="S107">
        <f>IF(COUNTIFS($B$1:$B$738,B106,$C$1:$C$738,#REF!)&gt;2,1,0)</f>
        <v>0</v>
      </c>
      <c r="T107">
        <f t="shared" si="9"/>
        <v>0</v>
      </c>
      <c r="U107">
        <f t="shared" si="10"/>
        <v>1</v>
      </c>
      <c r="V107">
        <f t="shared" si="11"/>
        <v>1</v>
      </c>
      <c r="W107">
        <f t="shared" si="13"/>
        <v>3</v>
      </c>
      <c r="X107" t="str" cm="1">
        <f t="array" ref="X107">_xlfn.IFS(W107&lt;=1,"Low",W107=2,"Medium",W107&gt;=3,"High")</f>
        <v>High</v>
      </c>
    </row>
    <row r="108" spans="1:24" x14ac:dyDescent="0.3">
      <c r="A108" t="s">
        <v>291</v>
      </c>
      <c r="B108" t="s">
        <v>278</v>
      </c>
      <c r="C108" s="3">
        <v>46034</v>
      </c>
      <c r="D108" s="8" t="s">
        <v>292</v>
      </c>
      <c r="E108" s="7" t="s">
        <v>35</v>
      </c>
      <c r="F108" s="7" t="s">
        <v>36</v>
      </c>
      <c r="G108" s="7" t="s">
        <v>177</v>
      </c>
      <c r="H108" s="4">
        <v>173.06</v>
      </c>
      <c r="I108" s="7" t="s">
        <v>32</v>
      </c>
      <c r="J108" s="7" t="s">
        <v>41</v>
      </c>
      <c r="L108" t="str">
        <f>PROPER(TRIM(SUBSTITUTE(_xlfn.XLOOKUP(B108,Cardholders_Reference!A:A,Cardholders_Reference!B:B),","," ")))</f>
        <v>Fourie Lindiwe</v>
      </c>
      <c r="M108" s="5">
        <f>_xlfn.XLOOKUP(B108,Cardholders_Reference!A:A,Cardholders_Reference!G:G)</f>
        <v>80000</v>
      </c>
      <c r="N108" s="7" t="str">
        <f>_xlfn.XLOOKUP(B108,Cardholders_Reference!A:A,Cardholders_Reference!D:D)</f>
        <v>Standard Bank</v>
      </c>
      <c r="O108" s="7" t="str">
        <f>_xlfn.XLOOKUP(B108,Cardholders_Reference!A:A,Cardholders_Reference!E:E)</f>
        <v>Visa</v>
      </c>
      <c r="P108" s="6">
        <f t="shared" si="12"/>
        <v>2.1632500000000002E-3</v>
      </c>
      <c r="Q108">
        <f t="shared" si="7"/>
        <v>0</v>
      </c>
      <c r="R108">
        <f t="shared" si="8"/>
        <v>0</v>
      </c>
      <c r="S108">
        <f>IF(COUNTIFS($B$1:$B$738,B107,$C$1:$C$738,#REF!)&gt;2,1,0)</f>
        <v>0</v>
      </c>
      <c r="T108">
        <f t="shared" si="9"/>
        <v>0</v>
      </c>
      <c r="U108">
        <f t="shared" si="10"/>
        <v>0</v>
      </c>
      <c r="V108">
        <f t="shared" si="11"/>
        <v>0</v>
      </c>
      <c r="W108">
        <f t="shared" si="13"/>
        <v>0</v>
      </c>
      <c r="X108" t="str" cm="1">
        <f t="array" ref="X108">_xlfn.IFS(W108&lt;=1,"Low",W108=2,"Medium",W108&gt;=3,"High")</f>
        <v>Low</v>
      </c>
    </row>
    <row r="109" spans="1:24" x14ac:dyDescent="0.3">
      <c r="A109" t="s">
        <v>293</v>
      </c>
      <c r="B109" t="s">
        <v>278</v>
      </c>
      <c r="C109" s="3">
        <v>45993</v>
      </c>
      <c r="D109" s="8" t="s">
        <v>1439</v>
      </c>
      <c r="E109" s="7" t="s">
        <v>156</v>
      </c>
      <c r="F109" s="7" t="s">
        <v>36</v>
      </c>
      <c r="G109" s="7" t="s">
        <v>177</v>
      </c>
      <c r="H109" s="4">
        <v>497.89</v>
      </c>
      <c r="I109" s="7" t="s">
        <v>26</v>
      </c>
      <c r="J109" s="7" t="s">
        <v>17</v>
      </c>
      <c r="L109" t="str">
        <f>PROPER(TRIM(SUBSTITUTE(_xlfn.XLOOKUP(B109,Cardholders_Reference!A:A,Cardholders_Reference!B:B),","," ")))</f>
        <v>Fourie Lindiwe</v>
      </c>
      <c r="M109" s="5">
        <f>_xlfn.XLOOKUP(B109,Cardholders_Reference!A:A,Cardholders_Reference!G:G)</f>
        <v>80000</v>
      </c>
      <c r="N109" s="7" t="str">
        <f>_xlfn.XLOOKUP(B109,Cardholders_Reference!A:A,Cardholders_Reference!D:D)</f>
        <v>Standard Bank</v>
      </c>
      <c r="O109" s="7" t="str">
        <f>_xlfn.XLOOKUP(B109,Cardholders_Reference!A:A,Cardholders_Reference!E:E)</f>
        <v>Visa</v>
      </c>
      <c r="P109" s="6">
        <f t="shared" si="12"/>
        <v>6.223625E-3</v>
      </c>
      <c r="Q109">
        <f t="shared" si="7"/>
        <v>0</v>
      </c>
      <c r="R109">
        <f t="shared" si="8"/>
        <v>1</v>
      </c>
      <c r="S109">
        <f>IF(COUNTIFS($B$1:$B$738,B108,$C$1:$C$738,#REF!)&gt;2,1,0)</f>
        <v>0</v>
      </c>
      <c r="T109">
        <f t="shared" si="9"/>
        <v>0</v>
      </c>
      <c r="U109">
        <f t="shared" si="10"/>
        <v>0</v>
      </c>
      <c r="V109">
        <f t="shared" si="11"/>
        <v>1</v>
      </c>
      <c r="W109">
        <f t="shared" si="13"/>
        <v>2</v>
      </c>
      <c r="X109" t="str" cm="1">
        <f t="array" ref="X109">_xlfn.IFS(W109&lt;=1,"Low",W109=2,"Medium",W109&gt;=3,"High")</f>
        <v>Medium</v>
      </c>
    </row>
    <row r="110" spans="1:24" x14ac:dyDescent="0.3">
      <c r="A110" t="s">
        <v>294</v>
      </c>
      <c r="B110" t="s">
        <v>278</v>
      </c>
      <c r="C110" s="3">
        <v>46011</v>
      </c>
      <c r="D110" s="8" t="s">
        <v>295</v>
      </c>
      <c r="E110" s="7" t="s">
        <v>215</v>
      </c>
      <c r="F110" s="7" t="s">
        <v>15</v>
      </c>
      <c r="G110" s="7" t="s">
        <v>177</v>
      </c>
      <c r="H110" s="4">
        <v>706.99</v>
      </c>
      <c r="I110" s="7" t="s">
        <v>26</v>
      </c>
      <c r="J110" s="7" t="s">
        <v>17</v>
      </c>
      <c r="L110" t="str">
        <f>PROPER(TRIM(SUBSTITUTE(_xlfn.XLOOKUP(B110,Cardholders_Reference!A:A,Cardholders_Reference!B:B),","," ")))</f>
        <v>Fourie Lindiwe</v>
      </c>
      <c r="M110" s="5">
        <f>_xlfn.XLOOKUP(B110,Cardholders_Reference!A:A,Cardholders_Reference!G:G)</f>
        <v>80000</v>
      </c>
      <c r="N110" s="7" t="str">
        <f>_xlfn.XLOOKUP(B110,Cardholders_Reference!A:A,Cardholders_Reference!D:D)</f>
        <v>Standard Bank</v>
      </c>
      <c r="O110" s="7" t="str">
        <f>_xlfn.XLOOKUP(B110,Cardholders_Reference!A:A,Cardholders_Reference!E:E)</f>
        <v>Visa</v>
      </c>
      <c r="P110" s="6">
        <f t="shared" si="12"/>
        <v>8.8373749999999997E-3</v>
      </c>
      <c r="Q110">
        <f t="shared" si="7"/>
        <v>0</v>
      </c>
      <c r="R110">
        <f t="shared" si="8"/>
        <v>0</v>
      </c>
      <c r="S110">
        <f>IF(COUNTIFS($B$1:$B$738,B109,$C$1:$C$738,#REF!)&gt;2,1,0)</f>
        <v>0</v>
      </c>
      <c r="T110">
        <f t="shared" si="9"/>
        <v>0</v>
      </c>
      <c r="U110">
        <f t="shared" si="10"/>
        <v>0</v>
      </c>
      <c r="V110">
        <f t="shared" si="11"/>
        <v>1</v>
      </c>
      <c r="W110">
        <f t="shared" si="13"/>
        <v>1</v>
      </c>
      <c r="X110" t="str" cm="1">
        <f t="array" ref="X110">_xlfn.IFS(W110&lt;=1,"Low",W110=2,"Medium",W110&gt;=3,"High")</f>
        <v>Low</v>
      </c>
    </row>
    <row r="111" spans="1:24" x14ac:dyDescent="0.3">
      <c r="A111" t="s">
        <v>296</v>
      </c>
      <c r="B111" t="s">
        <v>278</v>
      </c>
      <c r="C111" s="3">
        <v>46074</v>
      </c>
      <c r="D111" s="8" t="s">
        <v>1439</v>
      </c>
      <c r="E111" s="7" t="s">
        <v>52</v>
      </c>
      <c r="F111" s="7" t="s">
        <v>53</v>
      </c>
      <c r="G111" s="7" t="s">
        <v>177</v>
      </c>
      <c r="H111" s="4">
        <v>804.53</v>
      </c>
      <c r="I111" s="7" t="s">
        <v>95</v>
      </c>
      <c r="J111" s="7" t="s">
        <v>17</v>
      </c>
      <c r="L111" t="str">
        <f>PROPER(TRIM(SUBSTITUTE(_xlfn.XLOOKUP(B111,Cardholders_Reference!A:A,Cardholders_Reference!B:B),","," ")))</f>
        <v>Fourie Lindiwe</v>
      </c>
      <c r="M111" s="5">
        <f>_xlfn.XLOOKUP(B111,Cardholders_Reference!A:A,Cardholders_Reference!G:G)</f>
        <v>80000</v>
      </c>
      <c r="N111" s="7" t="str">
        <f>_xlfn.XLOOKUP(B111,Cardholders_Reference!A:A,Cardholders_Reference!D:D)</f>
        <v>Standard Bank</v>
      </c>
      <c r="O111" s="7" t="str">
        <f>_xlfn.XLOOKUP(B111,Cardholders_Reference!A:A,Cardholders_Reference!E:E)</f>
        <v>Visa</v>
      </c>
      <c r="P111" s="6">
        <f t="shared" si="12"/>
        <v>1.0056625E-2</v>
      </c>
      <c r="Q111">
        <f t="shared" si="7"/>
        <v>0</v>
      </c>
      <c r="R111">
        <f t="shared" si="8"/>
        <v>1</v>
      </c>
      <c r="S111">
        <f>IF(COUNTIFS($B$1:$B$738,B110,$C$1:$C$738,#REF!)&gt;2,1,0)</f>
        <v>0</v>
      </c>
      <c r="T111">
        <f t="shared" si="9"/>
        <v>0</v>
      </c>
      <c r="U111">
        <f t="shared" si="10"/>
        <v>0</v>
      </c>
      <c r="V111">
        <f t="shared" si="11"/>
        <v>1</v>
      </c>
      <c r="W111">
        <f t="shared" si="13"/>
        <v>2</v>
      </c>
      <c r="X111" t="str" cm="1">
        <f t="array" ref="X111">_xlfn.IFS(W111&lt;=1,"Low",W111=2,"Medium",W111&gt;=3,"High")</f>
        <v>Medium</v>
      </c>
    </row>
    <row r="112" spans="1:24" x14ac:dyDescent="0.3">
      <c r="A112" t="s">
        <v>297</v>
      </c>
      <c r="B112" t="s">
        <v>278</v>
      </c>
      <c r="C112" s="3">
        <v>46275</v>
      </c>
      <c r="D112" s="8" t="s">
        <v>298</v>
      </c>
      <c r="E112" s="7" t="s">
        <v>64</v>
      </c>
      <c r="F112" s="7" t="s">
        <v>65</v>
      </c>
      <c r="G112" s="7" t="s">
        <v>177</v>
      </c>
      <c r="H112" s="4">
        <v>2805.24</v>
      </c>
      <c r="I112" s="7" t="s">
        <v>26</v>
      </c>
      <c r="J112" s="7" t="s">
        <v>17</v>
      </c>
      <c r="L112" t="str">
        <f>PROPER(TRIM(SUBSTITUTE(_xlfn.XLOOKUP(B112,Cardholders_Reference!A:A,Cardholders_Reference!B:B),","," ")))</f>
        <v>Fourie Lindiwe</v>
      </c>
      <c r="M112" s="5">
        <f>_xlfn.XLOOKUP(B112,Cardholders_Reference!A:A,Cardholders_Reference!G:G)</f>
        <v>80000</v>
      </c>
      <c r="N112" s="7" t="str">
        <f>_xlfn.XLOOKUP(B112,Cardholders_Reference!A:A,Cardholders_Reference!D:D)</f>
        <v>Standard Bank</v>
      </c>
      <c r="O112" s="7" t="str">
        <f>_xlfn.XLOOKUP(B112,Cardholders_Reference!A:A,Cardholders_Reference!E:E)</f>
        <v>Visa</v>
      </c>
      <c r="P112" s="6">
        <f t="shared" si="12"/>
        <v>3.5065499999999999E-2</v>
      </c>
      <c r="Q112">
        <f t="shared" si="7"/>
        <v>0</v>
      </c>
      <c r="R112">
        <f t="shared" si="8"/>
        <v>0</v>
      </c>
      <c r="S112">
        <f>IF(COUNTIFS($B$1:$B$738,B111,$C$1:$C$738,#REF!)&gt;2,1,0)</f>
        <v>0</v>
      </c>
      <c r="T112">
        <f t="shared" si="9"/>
        <v>0</v>
      </c>
      <c r="U112">
        <f t="shared" si="10"/>
        <v>0</v>
      </c>
      <c r="V112">
        <f t="shared" si="11"/>
        <v>1</v>
      </c>
      <c r="W112">
        <f t="shared" si="13"/>
        <v>1</v>
      </c>
      <c r="X112" t="str" cm="1">
        <f t="array" ref="X112">_xlfn.IFS(W112&lt;=1,"Low",W112=2,"Medium",W112&gt;=3,"High")</f>
        <v>Low</v>
      </c>
    </row>
    <row r="113" spans="1:24" x14ac:dyDescent="0.3">
      <c r="A113" t="s">
        <v>299</v>
      </c>
      <c r="B113" t="s">
        <v>278</v>
      </c>
      <c r="C113" s="3">
        <v>46064</v>
      </c>
      <c r="D113" s="8" t="s">
        <v>300</v>
      </c>
      <c r="E113" s="7" t="s">
        <v>220</v>
      </c>
      <c r="F113" s="7" t="s">
        <v>91</v>
      </c>
      <c r="G113" s="7" t="s">
        <v>177</v>
      </c>
      <c r="H113" s="4">
        <v>1477.97</v>
      </c>
      <c r="I113" s="7" t="s">
        <v>32</v>
      </c>
      <c r="J113" s="7" t="s">
        <v>17</v>
      </c>
      <c r="L113" t="str">
        <f>PROPER(TRIM(SUBSTITUTE(_xlfn.XLOOKUP(B113,Cardholders_Reference!A:A,Cardholders_Reference!B:B),","," ")))</f>
        <v>Fourie Lindiwe</v>
      </c>
      <c r="M113" s="5">
        <f>_xlfn.XLOOKUP(B113,Cardholders_Reference!A:A,Cardholders_Reference!G:G)</f>
        <v>80000</v>
      </c>
      <c r="N113" s="7" t="str">
        <f>_xlfn.XLOOKUP(B113,Cardholders_Reference!A:A,Cardholders_Reference!D:D)</f>
        <v>Standard Bank</v>
      </c>
      <c r="O113" s="7" t="str">
        <f>_xlfn.XLOOKUP(B113,Cardholders_Reference!A:A,Cardholders_Reference!E:E)</f>
        <v>Visa</v>
      </c>
      <c r="P113" s="6">
        <f t="shared" si="12"/>
        <v>1.8474625000000001E-2</v>
      </c>
      <c r="Q113">
        <f t="shared" si="7"/>
        <v>0</v>
      </c>
      <c r="R113">
        <f t="shared" si="8"/>
        <v>0</v>
      </c>
      <c r="S113">
        <f>IF(COUNTIFS($B$1:$B$738,B112,$C$1:$C$738,#REF!)&gt;2,1,0)</f>
        <v>0</v>
      </c>
      <c r="T113">
        <f t="shared" si="9"/>
        <v>0</v>
      </c>
      <c r="U113">
        <f t="shared" si="10"/>
        <v>1</v>
      </c>
      <c r="V113">
        <f t="shared" si="11"/>
        <v>0</v>
      </c>
      <c r="W113">
        <f t="shared" si="13"/>
        <v>1</v>
      </c>
      <c r="X113" t="str" cm="1">
        <f t="array" ref="X113">_xlfn.IFS(W113&lt;=1,"Low",W113=2,"Medium",W113&gt;=3,"High")</f>
        <v>Low</v>
      </c>
    </row>
    <row r="114" spans="1:24" x14ac:dyDescent="0.3">
      <c r="A114" t="s">
        <v>301</v>
      </c>
      <c r="B114" t="s">
        <v>278</v>
      </c>
      <c r="C114" s="3">
        <v>45774</v>
      </c>
      <c r="D114" s="8" t="s">
        <v>302</v>
      </c>
      <c r="E114" s="7" t="s">
        <v>73</v>
      </c>
      <c r="F114" s="7" t="s">
        <v>74</v>
      </c>
      <c r="G114" s="7" t="s">
        <v>177</v>
      </c>
      <c r="H114" s="4">
        <v>313.55</v>
      </c>
      <c r="I114" s="7" t="s">
        <v>16</v>
      </c>
      <c r="J114" s="7" t="s">
        <v>17</v>
      </c>
      <c r="L114" t="str">
        <f>PROPER(TRIM(SUBSTITUTE(_xlfn.XLOOKUP(B114,Cardholders_Reference!A:A,Cardholders_Reference!B:B),","," ")))</f>
        <v>Fourie Lindiwe</v>
      </c>
      <c r="M114" s="5">
        <f>_xlfn.XLOOKUP(B114,Cardholders_Reference!A:A,Cardholders_Reference!G:G)</f>
        <v>80000</v>
      </c>
      <c r="N114" s="7" t="str">
        <f>_xlfn.XLOOKUP(B114,Cardholders_Reference!A:A,Cardholders_Reference!D:D)</f>
        <v>Standard Bank</v>
      </c>
      <c r="O114" s="7" t="str">
        <f>_xlfn.XLOOKUP(B114,Cardholders_Reference!A:A,Cardholders_Reference!E:E)</f>
        <v>Visa</v>
      </c>
      <c r="P114" s="6">
        <f t="shared" si="12"/>
        <v>3.9193750000000001E-3</v>
      </c>
      <c r="Q114">
        <f t="shared" si="7"/>
        <v>0</v>
      </c>
      <c r="R114">
        <f t="shared" si="8"/>
        <v>0</v>
      </c>
      <c r="S114">
        <f>IF(COUNTIFS($B$1:$B$738,B113,$C$1:$C$738,#REF!)&gt;2,1,0)</f>
        <v>0</v>
      </c>
      <c r="T114">
        <f t="shared" si="9"/>
        <v>0</v>
      </c>
      <c r="U114">
        <f t="shared" si="10"/>
        <v>0</v>
      </c>
      <c r="V114">
        <f t="shared" si="11"/>
        <v>0</v>
      </c>
      <c r="W114">
        <f t="shared" si="13"/>
        <v>0</v>
      </c>
      <c r="X114" t="str" cm="1">
        <f t="array" ref="X114">_xlfn.IFS(W114&lt;=1,"Low",W114=2,"Medium",W114&gt;=3,"High")</f>
        <v>Low</v>
      </c>
    </row>
    <row r="115" spans="1:24" x14ac:dyDescent="0.3">
      <c r="A115" t="s">
        <v>303</v>
      </c>
      <c r="B115" t="s">
        <v>304</v>
      </c>
      <c r="C115" s="3">
        <v>45805</v>
      </c>
      <c r="D115" s="8" t="s">
        <v>305</v>
      </c>
      <c r="E115" s="7" t="s">
        <v>114</v>
      </c>
      <c r="F115" s="7" t="s">
        <v>81</v>
      </c>
      <c r="G115" s="7" t="s">
        <v>49</v>
      </c>
      <c r="H115" s="4">
        <v>9138.4</v>
      </c>
      <c r="I115" s="7" t="s">
        <v>32</v>
      </c>
      <c r="J115" s="7" t="s">
        <v>41</v>
      </c>
      <c r="L115" t="str">
        <f>PROPER(TRIM(SUBSTITUTE(_xlfn.XLOOKUP(B115,Cardholders_Reference!A:A,Cardholders_Reference!B:B),","," ")))</f>
        <v>Aisha Adams</v>
      </c>
      <c r="M115" s="5">
        <f>_xlfn.XLOOKUP(B115,Cardholders_Reference!A:A,Cardholders_Reference!G:G)</f>
        <v>25000</v>
      </c>
      <c r="N115" s="7" t="str">
        <f>_xlfn.XLOOKUP(B115,Cardholders_Reference!A:A,Cardholders_Reference!D:D)</f>
        <v>Standard Bank</v>
      </c>
      <c r="O115" s="7" t="str">
        <f>_xlfn.XLOOKUP(B115,Cardholders_Reference!A:A,Cardholders_Reference!E:E)</f>
        <v>Mastercard</v>
      </c>
      <c r="P115" s="6">
        <f t="shared" si="12"/>
        <v>0.36553599999999997</v>
      </c>
      <c r="Q115">
        <f t="shared" si="7"/>
        <v>0</v>
      </c>
      <c r="R115">
        <f t="shared" si="8"/>
        <v>0</v>
      </c>
      <c r="S115">
        <f>IF(COUNTIFS($B$1:$B$738,B114,$C$1:$C$738,#REF!)&gt;2,1,0)</f>
        <v>0</v>
      </c>
      <c r="T115">
        <f t="shared" si="9"/>
        <v>0</v>
      </c>
      <c r="U115">
        <f t="shared" si="10"/>
        <v>0</v>
      </c>
      <c r="V115">
        <f t="shared" si="11"/>
        <v>0</v>
      </c>
      <c r="W115">
        <f t="shared" si="13"/>
        <v>0</v>
      </c>
      <c r="X115" t="str" cm="1">
        <f t="array" ref="X115">_xlfn.IFS(W115&lt;=1,"Low",W115=2,"Medium",W115&gt;=3,"High")</f>
        <v>Low</v>
      </c>
    </row>
    <row r="116" spans="1:24" x14ac:dyDescent="0.3">
      <c r="A116" t="s">
        <v>306</v>
      </c>
      <c r="B116" t="s">
        <v>304</v>
      </c>
      <c r="C116" s="3">
        <v>45968</v>
      </c>
      <c r="D116" s="8" t="s">
        <v>307</v>
      </c>
      <c r="E116" s="7" t="s">
        <v>308</v>
      </c>
      <c r="F116" s="7" t="s">
        <v>91</v>
      </c>
      <c r="G116" s="7" t="s">
        <v>22</v>
      </c>
      <c r="H116" s="4">
        <v>2472.16</v>
      </c>
      <c r="I116" s="7" t="s">
        <v>32</v>
      </c>
      <c r="J116" s="7" t="s">
        <v>41</v>
      </c>
      <c r="L116" t="str">
        <f>PROPER(TRIM(SUBSTITUTE(_xlfn.XLOOKUP(B116,Cardholders_Reference!A:A,Cardholders_Reference!B:B),","," ")))</f>
        <v>Aisha Adams</v>
      </c>
      <c r="M116" s="5">
        <f>_xlfn.XLOOKUP(B116,Cardholders_Reference!A:A,Cardholders_Reference!G:G)</f>
        <v>25000</v>
      </c>
      <c r="N116" s="7" t="str">
        <f>_xlfn.XLOOKUP(B116,Cardholders_Reference!A:A,Cardholders_Reference!D:D)</f>
        <v>Standard Bank</v>
      </c>
      <c r="O116" s="7" t="str">
        <f>_xlfn.XLOOKUP(B116,Cardholders_Reference!A:A,Cardholders_Reference!E:E)</f>
        <v>Mastercard</v>
      </c>
      <c r="P116" s="6">
        <f t="shared" si="12"/>
        <v>9.8886399999999999E-2</v>
      </c>
      <c r="Q116">
        <f t="shared" si="7"/>
        <v>1</v>
      </c>
      <c r="R116">
        <f t="shared" si="8"/>
        <v>0</v>
      </c>
      <c r="S116">
        <f>IF(COUNTIFS($B$1:$B$738,B115,$C$1:$C$738,#REF!)&gt;2,1,0)</f>
        <v>0</v>
      </c>
      <c r="T116">
        <f t="shared" si="9"/>
        <v>0</v>
      </c>
      <c r="U116">
        <f t="shared" si="10"/>
        <v>0</v>
      </c>
      <c r="V116">
        <f t="shared" si="11"/>
        <v>0</v>
      </c>
      <c r="W116">
        <f t="shared" si="13"/>
        <v>1</v>
      </c>
      <c r="X116" t="str" cm="1">
        <f t="array" ref="X116">_xlfn.IFS(W116&lt;=1,"Low",W116=2,"Medium",W116&gt;=3,"High")</f>
        <v>Low</v>
      </c>
    </row>
    <row r="117" spans="1:24" x14ac:dyDescent="0.3">
      <c r="A117" t="s">
        <v>309</v>
      </c>
      <c r="B117" t="s">
        <v>304</v>
      </c>
      <c r="C117" s="3">
        <v>46033</v>
      </c>
      <c r="D117" s="8" t="s">
        <v>268</v>
      </c>
      <c r="E117" s="7" t="s">
        <v>121</v>
      </c>
      <c r="F117" s="7" t="s">
        <v>36</v>
      </c>
      <c r="G117" s="7" t="s">
        <v>22</v>
      </c>
      <c r="H117" s="4">
        <v>407.74</v>
      </c>
      <c r="I117" s="7" t="s">
        <v>26</v>
      </c>
      <c r="J117" s="7" t="s">
        <v>17</v>
      </c>
      <c r="L117" t="str">
        <f>PROPER(TRIM(SUBSTITUTE(_xlfn.XLOOKUP(B117,Cardholders_Reference!A:A,Cardholders_Reference!B:B),","," ")))</f>
        <v>Aisha Adams</v>
      </c>
      <c r="M117" s="5">
        <f>_xlfn.XLOOKUP(B117,Cardholders_Reference!A:A,Cardholders_Reference!G:G)</f>
        <v>25000</v>
      </c>
      <c r="N117" s="7" t="str">
        <f>_xlfn.XLOOKUP(B117,Cardholders_Reference!A:A,Cardholders_Reference!D:D)</f>
        <v>Standard Bank</v>
      </c>
      <c r="O117" s="7" t="str">
        <f>_xlfn.XLOOKUP(B117,Cardholders_Reference!A:A,Cardholders_Reference!E:E)</f>
        <v>Mastercard</v>
      </c>
      <c r="P117" s="6">
        <f t="shared" si="12"/>
        <v>1.63096E-2</v>
      </c>
      <c r="Q117">
        <f t="shared" si="7"/>
        <v>0</v>
      </c>
      <c r="R117">
        <f t="shared" si="8"/>
        <v>0</v>
      </c>
      <c r="S117">
        <f>IF(COUNTIFS($B$1:$B$738,B116,$C$1:$C$738,#REF!)&gt;2,1,0)</f>
        <v>0</v>
      </c>
      <c r="T117">
        <f t="shared" si="9"/>
        <v>0</v>
      </c>
      <c r="U117">
        <f t="shared" si="10"/>
        <v>0</v>
      </c>
      <c r="V117">
        <f t="shared" si="11"/>
        <v>1</v>
      </c>
      <c r="W117">
        <f t="shared" si="13"/>
        <v>1</v>
      </c>
      <c r="X117" t="str" cm="1">
        <f t="array" ref="X117">_xlfn.IFS(W117&lt;=1,"Low",W117=2,"Medium",W117&gt;=3,"High")</f>
        <v>Low</v>
      </c>
    </row>
    <row r="118" spans="1:24" x14ac:dyDescent="0.3">
      <c r="A118" t="s">
        <v>310</v>
      </c>
      <c r="B118" t="s">
        <v>304</v>
      </c>
      <c r="C118" s="3">
        <v>46176</v>
      </c>
      <c r="D118" s="8" t="s">
        <v>1439</v>
      </c>
      <c r="E118" s="7" t="s">
        <v>39</v>
      </c>
      <c r="F118" s="7" t="s">
        <v>40</v>
      </c>
      <c r="G118" s="7" t="s">
        <v>22</v>
      </c>
      <c r="H118" s="4">
        <v>182.28</v>
      </c>
      <c r="I118" s="7" t="s">
        <v>16</v>
      </c>
      <c r="J118" s="7" t="s">
        <v>17</v>
      </c>
      <c r="L118" t="str">
        <f>PROPER(TRIM(SUBSTITUTE(_xlfn.XLOOKUP(B118,Cardholders_Reference!A:A,Cardholders_Reference!B:B),","," ")))</f>
        <v>Aisha Adams</v>
      </c>
      <c r="M118" s="5">
        <f>_xlfn.XLOOKUP(B118,Cardholders_Reference!A:A,Cardholders_Reference!G:G)</f>
        <v>25000</v>
      </c>
      <c r="N118" s="7" t="str">
        <f>_xlfn.XLOOKUP(B118,Cardholders_Reference!A:A,Cardholders_Reference!D:D)</f>
        <v>Standard Bank</v>
      </c>
      <c r="O118" s="7" t="str">
        <f>_xlfn.XLOOKUP(B118,Cardholders_Reference!A:A,Cardholders_Reference!E:E)</f>
        <v>Mastercard</v>
      </c>
      <c r="P118" s="6">
        <f t="shared" si="12"/>
        <v>7.2912000000000003E-3</v>
      </c>
      <c r="Q118">
        <f t="shared" si="7"/>
        <v>0</v>
      </c>
      <c r="R118">
        <f t="shared" si="8"/>
        <v>1</v>
      </c>
      <c r="S118">
        <f>IF(COUNTIFS($B$1:$B$738,B117,$C$1:$C$738,#REF!)&gt;2,1,0)</f>
        <v>0</v>
      </c>
      <c r="T118">
        <f t="shared" si="9"/>
        <v>0</v>
      </c>
      <c r="U118">
        <f t="shared" si="10"/>
        <v>0</v>
      </c>
      <c r="V118">
        <f t="shared" si="11"/>
        <v>0</v>
      </c>
      <c r="W118">
        <f t="shared" si="13"/>
        <v>1</v>
      </c>
      <c r="X118" t="str" cm="1">
        <f t="array" ref="X118">_xlfn.IFS(W118&lt;=1,"Low",W118=2,"Medium",W118&gt;=3,"High")</f>
        <v>Low</v>
      </c>
    </row>
    <row r="119" spans="1:24" x14ac:dyDescent="0.3">
      <c r="A119" t="s">
        <v>311</v>
      </c>
      <c r="B119" t="s">
        <v>304</v>
      </c>
      <c r="C119" s="3">
        <v>46483</v>
      </c>
      <c r="D119" s="8" t="s">
        <v>312</v>
      </c>
      <c r="E119" s="7" t="s">
        <v>129</v>
      </c>
      <c r="F119" s="7" t="s">
        <v>25</v>
      </c>
      <c r="G119" s="7" t="s">
        <v>22</v>
      </c>
      <c r="H119" s="4">
        <v>522.35</v>
      </c>
      <c r="I119" s="7" t="s">
        <v>95</v>
      </c>
      <c r="J119" s="7" t="s">
        <v>17</v>
      </c>
      <c r="L119" t="str">
        <f>PROPER(TRIM(SUBSTITUTE(_xlfn.XLOOKUP(B119,Cardholders_Reference!A:A,Cardholders_Reference!B:B),","," ")))</f>
        <v>Aisha Adams</v>
      </c>
      <c r="M119" s="5">
        <f>_xlfn.XLOOKUP(B119,Cardholders_Reference!A:A,Cardholders_Reference!G:G)</f>
        <v>25000</v>
      </c>
      <c r="N119" s="7" t="str">
        <f>_xlfn.XLOOKUP(B119,Cardholders_Reference!A:A,Cardholders_Reference!D:D)</f>
        <v>Standard Bank</v>
      </c>
      <c r="O119" s="7" t="str">
        <f>_xlfn.XLOOKUP(B119,Cardholders_Reference!A:A,Cardholders_Reference!E:E)</f>
        <v>Mastercard</v>
      </c>
      <c r="P119" s="6">
        <f t="shared" si="12"/>
        <v>2.0893999999999999E-2</v>
      </c>
      <c r="Q119">
        <f t="shared" si="7"/>
        <v>0</v>
      </c>
      <c r="R119">
        <f t="shared" si="8"/>
        <v>0</v>
      </c>
      <c r="S119">
        <f>IF(COUNTIFS($B$1:$B$738,B118,$C$1:$C$738,#REF!)&gt;2,1,0)</f>
        <v>0</v>
      </c>
      <c r="T119">
        <f t="shared" si="9"/>
        <v>0</v>
      </c>
      <c r="U119">
        <f t="shared" si="10"/>
        <v>0</v>
      </c>
      <c r="V119">
        <f t="shared" si="11"/>
        <v>1</v>
      </c>
      <c r="W119">
        <f t="shared" si="13"/>
        <v>1</v>
      </c>
      <c r="X119" t="str" cm="1">
        <f t="array" ref="X119">_xlfn.IFS(W119&lt;=1,"Low",W119=2,"Medium",W119&gt;=3,"High")</f>
        <v>Low</v>
      </c>
    </row>
    <row r="120" spans="1:24" x14ac:dyDescent="0.3">
      <c r="A120" t="s">
        <v>313</v>
      </c>
      <c r="B120" t="s">
        <v>304</v>
      </c>
      <c r="C120" s="3">
        <v>45833</v>
      </c>
      <c r="D120" s="8" t="s">
        <v>314</v>
      </c>
      <c r="E120" s="7" t="s">
        <v>129</v>
      </c>
      <c r="F120" s="7" t="s">
        <v>25</v>
      </c>
      <c r="G120" s="7" t="s">
        <v>22</v>
      </c>
      <c r="H120" s="4">
        <v>398.05</v>
      </c>
      <c r="I120" s="7" t="s">
        <v>26</v>
      </c>
      <c r="J120" s="7" t="s">
        <v>41</v>
      </c>
      <c r="L120" t="str">
        <f>PROPER(TRIM(SUBSTITUTE(_xlfn.XLOOKUP(B120,Cardholders_Reference!A:A,Cardholders_Reference!B:B),","," ")))</f>
        <v>Aisha Adams</v>
      </c>
      <c r="M120" s="5">
        <f>_xlfn.XLOOKUP(B120,Cardholders_Reference!A:A,Cardholders_Reference!G:G)</f>
        <v>25000</v>
      </c>
      <c r="N120" s="7" t="str">
        <f>_xlfn.XLOOKUP(B120,Cardholders_Reference!A:A,Cardholders_Reference!D:D)</f>
        <v>Standard Bank</v>
      </c>
      <c r="O120" s="7" t="str">
        <f>_xlfn.XLOOKUP(B120,Cardholders_Reference!A:A,Cardholders_Reference!E:E)</f>
        <v>Mastercard</v>
      </c>
      <c r="P120" s="6">
        <f t="shared" si="12"/>
        <v>1.5922000000000002E-2</v>
      </c>
      <c r="Q120">
        <f t="shared" si="7"/>
        <v>0</v>
      </c>
      <c r="R120">
        <f t="shared" si="8"/>
        <v>0</v>
      </c>
      <c r="S120">
        <f>IF(COUNTIFS($B$1:$B$738,B119,$C$1:$C$738,#REF!)&gt;2,1,0)</f>
        <v>0</v>
      </c>
      <c r="T120">
        <f t="shared" si="9"/>
        <v>0</v>
      </c>
      <c r="U120">
        <f t="shared" si="10"/>
        <v>0</v>
      </c>
      <c r="V120">
        <f t="shared" si="11"/>
        <v>1</v>
      </c>
      <c r="W120">
        <f t="shared" si="13"/>
        <v>1</v>
      </c>
      <c r="X120" t="str" cm="1">
        <f t="array" ref="X120">_xlfn.IFS(W120&lt;=1,"Low",W120=2,"Medium",W120&gt;=3,"High")</f>
        <v>Low</v>
      </c>
    </row>
    <row r="121" spans="1:24" x14ac:dyDescent="0.3">
      <c r="A121" t="s">
        <v>315</v>
      </c>
      <c r="B121" t="s">
        <v>304</v>
      </c>
      <c r="C121" s="3">
        <v>46304</v>
      </c>
      <c r="D121" s="8" t="s">
        <v>316</v>
      </c>
      <c r="E121" s="7" t="s">
        <v>24</v>
      </c>
      <c r="F121" s="7" t="s">
        <v>25</v>
      </c>
      <c r="G121" s="7" t="s">
        <v>22</v>
      </c>
      <c r="H121" s="4">
        <v>545.36</v>
      </c>
      <c r="I121" s="7" t="s">
        <v>26</v>
      </c>
      <c r="J121" s="7" t="s">
        <v>17</v>
      </c>
      <c r="L121" t="str">
        <f>PROPER(TRIM(SUBSTITUTE(_xlfn.XLOOKUP(B121,Cardholders_Reference!A:A,Cardholders_Reference!B:B),","," ")))</f>
        <v>Aisha Adams</v>
      </c>
      <c r="M121" s="5">
        <f>_xlfn.XLOOKUP(B121,Cardholders_Reference!A:A,Cardholders_Reference!G:G)</f>
        <v>25000</v>
      </c>
      <c r="N121" s="7" t="str">
        <f>_xlfn.XLOOKUP(B121,Cardholders_Reference!A:A,Cardholders_Reference!D:D)</f>
        <v>Standard Bank</v>
      </c>
      <c r="O121" s="7" t="str">
        <f>_xlfn.XLOOKUP(B121,Cardholders_Reference!A:A,Cardholders_Reference!E:E)</f>
        <v>Mastercard</v>
      </c>
      <c r="P121" s="6">
        <f t="shared" si="12"/>
        <v>2.1814400000000001E-2</v>
      </c>
      <c r="Q121">
        <f t="shared" si="7"/>
        <v>0</v>
      </c>
      <c r="R121">
        <f t="shared" si="8"/>
        <v>0</v>
      </c>
      <c r="S121">
        <f>IF(COUNTIFS($B$1:$B$738,B120,$C$1:$C$738,#REF!)&gt;2,1,0)</f>
        <v>0</v>
      </c>
      <c r="T121">
        <f t="shared" si="9"/>
        <v>0</v>
      </c>
      <c r="U121">
        <f t="shared" si="10"/>
        <v>0</v>
      </c>
      <c r="V121">
        <f t="shared" si="11"/>
        <v>1</v>
      </c>
      <c r="W121">
        <f t="shared" si="13"/>
        <v>1</v>
      </c>
      <c r="X121" t="str" cm="1">
        <f t="array" ref="X121">_xlfn.IFS(W121&lt;=1,"Low",W121=2,"Medium",W121&gt;=3,"High")</f>
        <v>Low</v>
      </c>
    </row>
    <row r="122" spans="1:24" x14ac:dyDescent="0.3">
      <c r="A122" t="s">
        <v>317</v>
      </c>
      <c r="B122" t="s">
        <v>304</v>
      </c>
      <c r="C122" s="3">
        <v>45797</v>
      </c>
      <c r="D122" s="8" t="s">
        <v>318</v>
      </c>
      <c r="E122" s="7" t="s">
        <v>170</v>
      </c>
      <c r="F122" s="7" t="s">
        <v>91</v>
      </c>
      <c r="G122" s="7" t="s">
        <v>22</v>
      </c>
      <c r="H122" s="4">
        <v>2533.88</v>
      </c>
      <c r="I122" s="7" t="s">
        <v>26</v>
      </c>
      <c r="J122" s="7" t="s">
        <v>17</v>
      </c>
      <c r="L122" t="str">
        <f>PROPER(TRIM(SUBSTITUTE(_xlfn.XLOOKUP(B122,Cardholders_Reference!A:A,Cardholders_Reference!B:B),","," ")))</f>
        <v>Aisha Adams</v>
      </c>
      <c r="M122" s="5">
        <f>_xlfn.XLOOKUP(B122,Cardholders_Reference!A:A,Cardholders_Reference!G:G)</f>
        <v>25000</v>
      </c>
      <c r="N122" s="7" t="str">
        <f>_xlfn.XLOOKUP(B122,Cardholders_Reference!A:A,Cardholders_Reference!D:D)</f>
        <v>Standard Bank</v>
      </c>
      <c r="O122" s="7" t="str">
        <f>_xlfn.XLOOKUP(B122,Cardholders_Reference!A:A,Cardholders_Reference!E:E)</f>
        <v>Mastercard</v>
      </c>
      <c r="P122" s="6">
        <f t="shared" si="12"/>
        <v>0.10135520000000001</v>
      </c>
      <c r="Q122">
        <f t="shared" si="7"/>
        <v>0</v>
      </c>
      <c r="R122">
        <f t="shared" si="8"/>
        <v>0</v>
      </c>
      <c r="S122">
        <f>IF(COUNTIFS($B$1:$B$738,B121,$C$1:$C$738,#REF!)&gt;2,1,0)</f>
        <v>0</v>
      </c>
      <c r="T122">
        <f t="shared" si="9"/>
        <v>0</v>
      </c>
      <c r="U122">
        <f t="shared" si="10"/>
        <v>0</v>
      </c>
      <c r="V122">
        <f t="shared" si="11"/>
        <v>1</v>
      </c>
      <c r="W122">
        <f t="shared" si="13"/>
        <v>1</v>
      </c>
      <c r="X122" t="str" cm="1">
        <f t="array" ref="X122">_xlfn.IFS(W122&lt;=1,"Low",W122=2,"Medium",W122&gt;=3,"High")</f>
        <v>Low</v>
      </c>
    </row>
    <row r="123" spans="1:24" x14ac:dyDescent="0.3">
      <c r="A123" t="s">
        <v>319</v>
      </c>
      <c r="B123" t="s">
        <v>304</v>
      </c>
      <c r="C123" s="3">
        <v>46181</v>
      </c>
      <c r="D123" s="8" t="s">
        <v>320</v>
      </c>
      <c r="E123" s="7" t="s">
        <v>321</v>
      </c>
      <c r="F123" s="7" t="s">
        <v>61</v>
      </c>
      <c r="G123" s="7" t="s">
        <v>22</v>
      </c>
      <c r="H123" s="4">
        <v>6463.23</v>
      </c>
      <c r="I123" s="7" t="s">
        <v>26</v>
      </c>
      <c r="J123" s="7" t="s">
        <v>17</v>
      </c>
      <c r="L123" t="str">
        <f>PROPER(TRIM(SUBSTITUTE(_xlfn.XLOOKUP(B123,Cardholders_Reference!A:A,Cardholders_Reference!B:B),","," ")))</f>
        <v>Aisha Adams</v>
      </c>
      <c r="M123" s="5">
        <f>_xlfn.XLOOKUP(B123,Cardholders_Reference!A:A,Cardholders_Reference!G:G)</f>
        <v>25000</v>
      </c>
      <c r="N123" s="7" t="str">
        <f>_xlfn.XLOOKUP(B123,Cardholders_Reference!A:A,Cardholders_Reference!D:D)</f>
        <v>Standard Bank</v>
      </c>
      <c r="O123" s="7" t="str">
        <f>_xlfn.XLOOKUP(B123,Cardholders_Reference!A:A,Cardholders_Reference!E:E)</f>
        <v>Mastercard</v>
      </c>
      <c r="P123" s="6">
        <f t="shared" si="12"/>
        <v>0.25852919999999996</v>
      </c>
      <c r="Q123">
        <f t="shared" si="7"/>
        <v>0</v>
      </c>
      <c r="R123">
        <f t="shared" si="8"/>
        <v>0</v>
      </c>
      <c r="S123">
        <f>IF(COUNTIFS($B$1:$B$738,B122,$C$1:$C$738,#REF!)&gt;2,1,0)</f>
        <v>0</v>
      </c>
      <c r="T123">
        <f t="shared" si="9"/>
        <v>0</v>
      </c>
      <c r="U123">
        <f t="shared" si="10"/>
        <v>0</v>
      </c>
      <c r="V123">
        <f t="shared" si="11"/>
        <v>1</v>
      </c>
      <c r="W123">
        <f t="shared" si="13"/>
        <v>1</v>
      </c>
      <c r="X123" t="str" cm="1">
        <f t="array" ref="X123">_xlfn.IFS(W123&lt;=1,"Low",W123=2,"Medium",W123&gt;=3,"High")</f>
        <v>Low</v>
      </c>
    </row>
    <row r="124" spans="1:24" x14ac:dyDescent="0.3">
      <c r="A124" t="s">
        <v>322</v>
      </c>
      <c r="B124" t="s">
        <v>323</v>
      </c>
      <c r="C124" s="3">
        <v>45931</v>
      </c>
      <c r="D124" s="8" t="s">
        <v>324</v>
      </c>
      <c r="E124" s="7" t="s">
        <v>35</v>
      </c>
      <c r="F124" s="7" t="s">
        <v>36</v>
      </c>
      <c r="G124" s="7" t="s">
        <v>108</v>
      </c>
      <c r="H124" s="4">
        <v>256.31</v>
      </c>
      <c r="I124" s="7" t="s">
        <v>95</v>
      </c>
      <c r="J124" s="7" t="s">
        <v>17</v>
      </c>
      <c r="L124" t="str">
        <f>PROPER(TRIM(SUBSTITUTE(_xlfn.XLOOKUP(B124,Cardholders_Reference!A:A,Cardholders_Reference!B:B),","," ")))</f>
        <v>Bongani Nkosi</v>
      </c>
      <c r="M124" s="5">
        <f>_xlfn.XLOOKUP(B124,Cardholders_Reference!A:A,Cardholders_Reference!G:G)</f>
        <v>40000</v>
      </c>
      <c r="N124" s="7" t="str">
        <f>_xlfn.XLOOKUP(B124,Cardholders_Reference!A:A,Cardholders_Reference!D:D)</f>
        <v>Capitec</v>
      </c>
      <c r="O124" s="7" t="str">
        <f>_xlfn.XLOOKUP(B124,Cardholders_Reference!A:A,Cardholders_Reference!E:E)</f>
        <v>Visa</v>
      </c>
      <c r="P124" s="6">
        <f t="shared" si="12"/>
        <v>6.4077500000000003E-3</v>
      </c>
      <c r="Q124">
        <f t="shared" si="7"/>
        <v>0</v>
      </c>
      <c r="R124">
        <f t="shared" si="8"/>
        <v>0</v>
      </c>
      <c r="S124">
        <f>IF(COUNTIFS($B$1:$B$738,B123,$C$1:$C$738,#REF!)&gt;2,1,0)</f>
        <v>0</v>
      </c>
      <c r="T124">
        <f t="shared" si="9"/>
        <v>0</v>
      </c>
      <c r="U124">
        <f t="shared" si="10"/>
        <v>0</v>
      </c>
      <c r="V124">
        <f t="shared" si="11"/>
        <v>1</v>
      </c>
      <c r="W124">
        <f t="shared" si="13"/>
        <v>1</v>
      </c>
      <c r="X124" t="str" cm="1">
        <f t="array" ref="X124">_xlfn.IFS(W124&lt;=1,"Low",W124=2,"Medium",W124&gt;=3,"High")</f>
        <v>Low</v>
      </c>
    </row>
    <row r="125" spans="1:24" x14ac:dyDescent="0.3">
      <c r="A125" t="s">
        <v>325</v>
      </c>
      <c r="B125" t="s">
        <v>323</v>
      </c>
      <c r="C125" s="3">
        <v>46160</v>
      </c>
      <c r="D125" s="8" t="s">
        <v>69</v>
      </c>
      <c r="E125" s="7" t="s">
        <v>156</v>
      </c>
      <c r="F125" s="7" t="s">
        <v>36</v>
      </c>
      <c r="G125" s="7" t="s">
        <v>118</v>
      </c>
      <c r="H125" s="4">
        <v>281.91000000000003</v>
      </c>
      <c r="I125" s="7" t="s">
        <v>32</v>
      </c>
      <c r="J125" s="7" t="s">
        <v>17</v>
      </c>
      <c r="L125" t="str">
        <f>PROPER(TRIM(SUBSTITUTE(_xlfn.XLOOKUP(B125,Cardholders_Reference!A:A,Cardholders_Reference!B:B),","," ")))</f>
        <v>Bongani Nkosi</v>
      </c>
      <c r="M125" s="5">
        <f>_xlfn.XLOOKUP(B125,Cardholders_Reference!A:A,Cardholders_Reference!G:G)</f>
        <v>40000</v>
      </c>
      <c r="N125" s="7" t="str">
        <f>_xlfn.XLOOKUP(B125,Cardholders_Reference!A:A,Cardholders_Reference!D:D)</f>
        <v>Capitec</v>
      </c>
      <c r="O125" s="7" t="str">
        <f>_xlfn.XLOOKUP(B125,Cardholders_Reference!A:A,Cardholders_Reference!E:E)</f>
        <v>Visa</v>
      </c>
      <c r="P125" s="6">
        <f t="shared" si="12"/>
        <v>7.0477500000000002E-3</v>
      </c>
      <c r="Q125">
        <f t="shared" si="7"/>
        <v>0</v>
      </c>
      <c r="R125">
        <f t="shared" si="8"/>
        <v>0</v>
      </c>
      <c r="S125">
        <f>IF(COUNTIFS($B$1:$B$738,B124,$C$1:$C$738,#REF!)&gt;2,1,0)</f>
        <v>0</v>
      </c>
      <c r="T125">
        <f t="shared" si="9"/>
        <v>0</v>
      </c>
      <c r="U125">
        <f t="shared" si="10"/>
        <v>0</v>
      </c>
      <c r="V125">
        <f t="shared" si="11"/>
        <v>0</v>
      </c>
      <c r="W125">
        <f t="shared" si="13"/>
        <v>0</v>
      </c>
      <c r="X125" t="str" cm="1">
        <f t="array" ref="X125">_xlfn.IFS(W125&lt;=1,"Low",W125=2,"Medium",W125&gt;=3,"High")</f>
        <v>Low</v>
      </c>
    </row>
    <row r="126" spans="1:24" x14ac:dyDescent="0.3">
      <c r="A126" t="s">
        <v>326</v>
      </c>
      <c r="B126" t="s">
        <v>323</v>
      </c>
      <c r="C126" s="3">
        <v>46026</v>
      </c>
      <c r="D126" s="8" t="s">
        <v>327</v>
      </c>
      <c r="E126" s="7" t="s">
        <v>137</v>
      </c>
      <c r="F126" s="7" t="s">
        <v>40</v>
      </c>
      <c r="G126" s="7" t="s">
        <v>118</v>
      </c>
      <c r="H126" s="4">
        <v>197.1</v>
      </c>
      <c r="I126" s="7" t="s">
        <v>95</v>
      </c>
      <c r="J126" s="7" t="s">
        <v>41</v>
      </c>
      <c r="K126" t="s">
        <v>183</v>
      </c>
      <c r="L126" t="str">
        <f>PROPER(TRIM(SUBSTITUTE(_xlfn.XLOOKUP(B126,Cardholders_Reference!A:A,Cardholders_Reference!B:B),","," ")))</f>
        <v>Bongani Nkosi</v>
      </c>
      <c r="M126" s="5">
        <f>_xlfn.XLOOKUP(B126,Cardholders_Reference!A:A,Cardholders_Reference!G:G)</f>
        <v>40000</v>
      </c>
      <c r="N126" s="7" t="str">
        <f>_xlfn.XLOOKUP(B126,Cardholders_Reference!A:A,Cardholders_Reference!D:D)</f>
        <v>Capitec</v>
      </c>
      <c r="O126" s="7" t="str">
        <f>_xlfn.XLOOKUP(B126,Cardholders_Reference!A:A,Cardholders_Reference!E:E)</f>
        <v>Visa</v>
      </c>
      <c r="P126" s="6">
        <f t="shared" si="12"/>
        <v>4.9274999999999996E-3</v>
      </c>
      <c r="Q126">
        <f t="shared" si="7"/>
        <v>1</v>
      </c>
      <c r="R126">
        <f t="shared" si="8"/>
        <v>0</v>
      </c>
      <c r="S126">
        <f>IF(COUNTIFS($B$1:$B$738,B125,$C$1:$C$738,#REF!)&gt;2,1,0)</f>
        <v>0</v>
      </c>
      <c r="T126">
        <f t="shared" si="9"/>
        <v>0</v>
      </c>
      <c r="U126">
        <f t="shared" si="10"/>
        <v>0</v>
      </c>
      <c r="V126">
        <f t="shared" si="11"/>
        <v>1</v>
      </c>
      <c r="W126">
        <f t="shared" si="13"/>
        <v>2</v>
      </c>
      <c r="X126" t="str" cm="1">
        <f t="array" ref="X126">_xlfn.IFS(W126&lt;=1,"Low",W126=2,"Medium",W126&gt;=3,"High")</f>
        <v>Medium</v>
      </c>
    </row>
    <row r="127" spans="1:24" x14ac:dyDescent="0.3">
      <c r="A127" t="s">
        <v>328</v>
      </c>
      <c r="B127" t="s">
        <v>323</v>
      </c>
      <c r="C127" s="3">
        <v>45967</v>
      </c>
      <c r="D127" s="8" t="s">
        <v>329</v>
      </c>
      <c r="E127" s="7" t="s">
        <v>35</v>
      </c>
      <c r="F127" s="7" t="s">
        <v>36</v>
      </c>
      <c r="G127" s="7" t="s">
        <v>108</v>
      </c>
      <c r="H127" s="4">
        <v>575.36</v>
      </c>
      <c r="I127" s="7" t="s">
        <v>16</v>
      </c>
      <c r="J127" s="7" t="s">
        <v>17</v>
      </c>
      <c r="L127" t="str">
        <f>PROPER(TRIM(SUBSTITUTE(_xlfn.XLOOKUP(B127,Cardholders_Reference!A:A,Cardholders_Reference!B:B),","," ")))</f>
        <v>Bongani Nkosi</v>
      </c>
      <c r="M127" s="5">
        <f>_xlfn.XLOOKUP(B127,Cardholders_Reference!A:A,Cardholders_Reference!G:G)</f>
        <v>40000</v>
      </c>
      <c r="N127" s="7" t="str">
        <f>_xlfn.XLOOKUP(B127,Cardholders_Reference!A:A,Cardholders_Reference!D:D)</f>
        <v>Capitec</v>
      </c>
      <c r="O127" s="7" t="str">
        <f>_xlfn.XLOOKUP(B127,Cardholders_Reference!A:A,Cardholders_Reference!E:E)</f>
        <v>Visa</v>
      </c>
      <c r="P127" s="6">
        <f t="shared" si="12"/>
        <v>1.4384000000000001E-2</v>
      </c>
      <c r="Q127">
        <f t="shared" si="7"/>
        <v>1</v>
      </c>
      <c r="R127">
        <f t="shared" si="8"/>
        <v>0</v>
      </c>
      <c r="S127">
        <f>IF(COUNTIFS($B$1:$B$738,B126,$C$1:$C$738,#REF!)&gt;2,1,0)</f>
        <v>0</v>
      </c>
      <c r="T127">
        <f t="shared" si="9"/>
        <v>0</v>
      </c>
      <c r="U127">
        <f t="shared" si="10"/>
        <v>0</v>
      </c>
      <c r="V127">
        <f t="shared" si="11"/>
        <v>0</v>
      </c>
      <c r="W127">
        <f t="shared" si="13"/>
        <v>1</v>
      </c>
      <c r="X127" t="str" cm="1">
        <f t="array" ref="X127">_xlfn.IFS(W127&lt;=1,"Low",W127=2,"Medium",W127&gt;=3,"High")</f>
        <v>Low</v>
      </c>
    </row>
    <row r="128" spans="1:24" x14ac:dyDescent="0.3">
      <c r="A128" t="s">
        <v>330</v>
      </c>
      <c r="B128" t="s">
        <v>323</v>
      </c>
      <c r="C128" s="3">
        <v>45717</v>
      </c>
      <c r="D128" s="8" t="s">
        <v>1439</v>
      </c>
      <c r="E128" s="7" t="s">
        <v>331</v>
      </c>
      <c r="F128" s="7" t="s">
        <v>40</v>
      </c>
      <c r="G128" s="7" t="s">
        <v>49</v>
      </c>
      <c r="H128" s="4">
        <v>225.21</v>
      </c>
      <c r="I128" s="7" t="s">
        <v>95</v>
      </c>
      <c r="J128" s="7" t="s">
        <v>17</v>
      </c>
      <c r="L128" t="str">
        <f>PROPER(TRIM(SUBSTITUTE(_xlfn.XLOOKUP(B128,Cardholders_Reference!A:A,Cardholders_Reference!B:B),","," ")))</f>
        <v>Bongani Nkosi</v>
      </c>
      <c r="M128" s="5">
        <f>_xlfn.XLOOKUP(B128,Cardholders_Reference!A:A,Cardholders_Reference!G:G)</f>
        <v>40000</v>
      </c>
      <c r="N128" s="7" t="str">
        <f>_xlfn.XLOOKUP(B128,Cardholders_Reference!A:A,Cardholders_Reference!D:D)</f>
        <v>Capitec</v>
      </c>
      <c r="O128" s="7" t="str">
        <f>_xlfn.XLOOKUP(B128,Cardholders_Reference!A:A,Cardholders_Reference!E:E)</f>
        <v>Visa</v>
      </c>
      <c r="P128" s="6">
        <f t="shared" si="12"/>
        <v>5.6302499999999998E-3</v>
      </c>
      <c r="Q128">
        <f t="shared" si="7"/>
        <v>0</v>
      </c>
      <c r="R128">
        <f t="shared" si="8"/>
        <v>1</v>
      </c>
      <c r="S128">
        <f>IF(COUNTIFS($B$1:$B$738,B127,$C$1:$C$738,#REF!)&gt;2,1,0)</f>
        <v>0</v>
      </c>
      <c r="T128">
        <f t="shared" si="9"/>
        <v>0</v>
      </c>
      <c r="U128">
        <f t="shared" si="10"/>
        <v>0</v>
      </c>
      <c r="V128">
        <f t="shared" si="11"/>
        <v>1</v>
      </c>
      <c r="W128">
        <f t="shared" si="13"/>
        <v>2</v>
      </c>
      <c r="X128" t="str" cm="1">
        <f t="array" ref="X128">_xlfn.IFS(W128&lt;=1,"Low",W128=2,"Medium",W128&gt;=3,"High")</f>
        <v>Medium</v>
      </c>
    </row>
    <row r="129" spans="1:24" x14ac:dyDescent="0.3">
      <c r="A129" t="s">
        <v>332</v>
      </c>
      <c r="B129" t="s">
        <v>323</v>
      </c>
      <c r="C129" s="3">
        <v>46008</v>
      </c>
      <c r="D129" s="8" t="s">
        <v>333</v>
      </c>
      <c r="E129" s="7" t="s">
        <v>84</v>
      </c>
      <c r="F129" s="7" t="s">
        <v>61</v>
      </c>
      <c r="G129" s="7" t="s">
        <v>108</v>
      </c>
      <c r="H129" s="4">
        <v>2767.86</v>
      </c>
      <c r="I129" s="7" t="s">
        <v>95</v>
      </c>
      <c r="J129" s="7" t="s">
        <v>17</v>
      </c>
      <c r="L129" t="str">
        <f>PROPER(TRIM(SUBSTITUTE(_xlfn.XLOOKUP(B129,Cardholders_Reference!A:A,Cardholders_Reference!B:B),","," ")))</f>
        <v>Bongani Nkosi</v>
      </c>
      <c r="M129" s="5">
        <f>_xlfn.XLOOKUP(B129,Cardholders_Reference!A:A,Cardholders_Reference!G:G)</f>
        <v>40000</v>
      </c>
      <c r="N129" s="7" t="str">
        <f>_xlfn.XLOOKUP(B129,Cardholders_Reference!A:A,Cardholders_Reference!D:D)</f>
        <v>Capitec</v>
      </c>
      <c r="O129" s="7" t="str">
        <f>_xlfn.XLOOKUP(B129,Cardholders_Reference!A:A,Cardholders_Reference!E:E)</f>
        <v>Visa</v>
      </c>
      <c r="P129" s="6">
        <f t="shared" si="12"/>
        <v>6.9196500000000008E-2</v>
      </c>
      <c r="Q129">
        <f t="shared" si="7"/>
        <v>1</v>
      </c>
      <c r="R129">
        <f t="shared" si="8"/>
        <v>0</v>
      </c>
      <c r="S129">
        <f>IF(COUNTIFS($B$1:$B$738,B128,$C$1:$C$738,#REF!)&gt;2,1,0)</f>
        <v>0</v>
      </c>
      <c r="T129">
        <f t="shared" si="9"/>
        <v>0</v>
      </c>
      <c r="U129">
        <f t="shared" si="10"/>
        <v>0</v>
      </c>
      <c r="V129">
        <f t="shared" si="11"/>
        <v>1</v>
      </c>
      <c r="W129">
        <f t="shared" si="13"/>
        <v>2</v>
      </c>
      <c r="X129" t="str" cm="1">
        <f t="array" ref="X129">_xlfn.IFS(W129&lt;=1,"Low",W129=2,"Medium",W129&gt;=3,"High")</f>
        <v>Medium</v>
      </c>
    </row>
    <row r="130" spans="1:24" x14ac:dyDescent="0.3">
      <c r="A130" t="s">
        <v>334</v>
      </c>
      <c r="B130" t="s">
        <v>323</v>
      </c>
      <c r="C130" s="3">
        <v>45816</v>
      </c>
      <c r="D130" s="8" t="s">
        <v>335</v>
      </c>
      <c r="E130" s="7" t="s">
        <v>121</v>
      </c>
      <c r="F130" s="7" t="s">
        <v>36</v>
      </c>
      <c r="G130" s="7" t="s">
        <v>108</v>
      </c>
      <c r="H130" s="4">
        <v>185.18</v>
      </c>
      <c r="I130" s="7" t="s">
        <v>95</v>
      </c>
      <c r="J130" s="7" t="s">
        <v>17</v>
      </c>
      <c r="L130" t="str">
        <f>PROPER(TRIM(SUBSTITUTE(_xlfn.XLOOKUP(B130,Cardholders_Reference!A:A,Cardholders_Reference!B:B),","," ")))</f>
        <v>Bongani Nkosi</v>
      </c>
      <c r="M130" s="5">
        <f>_xlfn.XLOOKUP(B130,Cardholders_Reference!A:A,Cardholders_Reference!G:G)</f>
        <v>40000</v>
      </c>
      <c r="N130" s="7" t="str">
        <f>_xlfn.XLOOKUP(B130,Cardholders_Reference!A:A,Cardholders_Reference!D:D)</f>
        <v>Capitec</v>
      </c>
      <c r="O130" s="7" t="str">
        <f>_xlfn.XLOOKUP(B130,Cardholders_Reference!A:A,Cardholders_Reference!E:E)</f>
        <v>Visa</v>
      </c>
      <c r="P130" s="6">
        <f t="shared" si="12"/>
        <v>4.6294999999999999E-3</v>
      </c>
      <c r="Q130">
        <f t="shared" ref="Q130:Q193" si="14">IF(COUNTIFS($B$1:$B$738,B129,$G$1:$G$738,G129)/COUNTIF($B$1:$B$738,B129)&lt;0.5,1,0)</f>
        <v>0</v>
      </c>
      <c r="R130">
        <f t="shared" ref="R130:R193" si="15">IF(D130="Unknown",1,IF(OR(TIMEVALUE(D130)&lt;TIME(5,0,0),TIMEVALUE(D130)&gt;=TIME(23,0,0)),1,0))</f>
        <v>0</v>
      </c>
      <c r="S130">
        <f>IF(COUNTIFS($B$1:$B$738,B129,$C$1:$C$738,#REF!)&gt;2,1,0)</f>
        <v>0</v>
      </c>
      <c r="T130">
        <f t="shared" ref="T130:T193" si="16">IF(P129&gt;0.4,1,0)</f>
        <v>0</v>
      </c>
      <c r="U130">
        <f t="shared" ref="U130:U193" si="17">IF(OR(F129="Gambling",F129="ATM Withdrawal"),1,0)</f>
        <v>0</v>
      </c>
      <c r="V130">
        <f t="shared" ref="V130:V193" si="18">IF(OR(I130="Card Not Present (Phone)",I130="Online"),1,0)</f>
        <v>1</v>
      </c>
      <c r="W130">
        <f t="shared" si="13"/>
        <v>1</v>
      </c>
      <c r="X130" t="str" cm="1">
        <f t="array" ref="X130">_xlfn.IFS(W130&lt;=1,"Low",W130=2,"Medium",W130&gt;=3,"High")</f>
        <v>Low</v>
      </c>
    </row>
    <row r="131" spans="1:24" x14ac:dyDescent="0.3">
      <c r="A131" t="s">
        <v>336</v>
      </c>
      <c r="B131" t="s">
        <v>323</v>
      </c>
      <c r="C131" s="3">
        <v>45714</v>
      </c>
      <c r="D131" s="8" t="s">
        <v>337</v>
      </c>
      <c r="E131" s="7" t="s">
        <v>52</v>
      </c>
      <c r="F131" s="7" t="s">
        <v>53</v>
      </c>
      <c r="G131" s="7" t="s">
        <v>108</v>
      </c>
      <c r="H131" s="4">
        <v>224.12</v>
      </c>
      <c r="I131" s="7" t="s">
        <v>95</v>
      </c>
      <c r="J131" s="7" t="s">
        <v>17</v>
      </c>
      <c r="L131" t="str">
        <f>PROPER(TRIM(SUBSTITUTE(_xlfn.XLOOKUP(B131,Cardholders_Reference!A:A,Cardholders_Reference!B:B),","," ")))</f>
        <v>Bongani Nkosi</v>
      </c>
      <c r="M131" s="5">
        <f>_xlfn.XLOOKUP(B131,Cardholders_Reference!A:A,Cardholders_Reference!G:G)</f>
        <v>40000</v>
      </c>
      <c r="N131" s="7" t="str">
        <f>_xlfn.XLOOKUP(B131,Cardholders_Reference!A:A,Cardholders_Reference!D:D)</f>
        <v>Capitec</v>
      </c>
      <c r="O131" s="7" t="str">
        <f>_xlfn.XLOOKUP(B131,Cardholders_Reference!A:A,Cardholders_Reference!E:E)</f>
        <v>Visa</v>
      </c>
      <c r="P131" s="6">
        <f t="shared" ref="P131:P194" si="19">H131/M131</f>
        <v>5.6030000000000003E-3</v>
      </c>
      <c r="Q131">
        <f t="shared" si="14"/>
        <v>0</v>
      </c>
      <c r="R131">
        <f t="shared" si="15"/>
        <v>0</v>
      </c>
      <c r="S131">
        <f>IF(COUNTIFS($B$1:$B$738,B130,$C$1:$C$738,#REF!)&gt;2,1,0)</f>
        <v>0</v>
      </c>
      <c r="T131">
        <f t="shared" si="16"/>
        <v>0</v>
      </c>
      <c r="U131">
        <f t="shared" si="17"/>
        <v>0</v>
      </c>
      <c r="V131">
        <f t="shared" si="18"/>
        <v>1</v>
      </c>
      <c r="W131">
        <f t="shared" ref="W131:W194" si="20">SUM(Q131:V131)</f>
        <v>1</v>
      </c>
      <c r="X131" t="str" cm="1">
        <f t="array" ref="X131">_xlfn.IFS(W131&lt;=1,"Low",W131=2,"Medium",W131&gt;=3,"High")</f>
        <v>Low</v>
      </c>
    </row>
    <row r="132" spans="1:24" x14ac:dyDescent="0.3">
      <c r="A132" t="s">
        <v>338</v>
      </c>
      <c r="B132" t="s">
        <v>323</v>
      </c>
      <c r="C132" s="3">
        <v>45791</v>
      </c>
      <c r="D132" s="8" t="s">
        <v>339</v>
      </c>
      <c r="E132" s="7" t="s">
        <v>340</v>
      </c>
      <c r="F132" s="7" t="s">
        <v>65</v>
      </c>
      <c r="G132" s="7" t="s">
        <v>108</v>
      </c>
      <c r="H132" s="4">
        <v>2854.98</v>
      </c>
      <c r="I132" s="7" t="s">
        <v>16</v>
      </c>
      <c r="J132" s="7" t="s">
        <v>17</v>
      </c>
      <c r="L132" t="str">
        <f>PROPER(TRIM(SUBSTITUTE(_xlfn.XLOOKUP(B132,Cardholders_Reference!A:A,Cardholders_Reference!B:B),","," ")))</f>
        <v>Bongani Nkosi</v>
      </c>
      <c r="M132" s="5">
        <f>_xlfn.XLOOKUP(B132,Cardholders_Reference!A:A,Cardholders_Reference!G:G)</f>
        <v>40000</v>
      </c>
      <c r="N132" s="7" t="str">
        <f>_xlfn.XLOOKUP(B132,Cardholders_Reference!A:A,Cardholders_Reference!D:D)</f>
        <v>Capitec</v>
      </c>
      <c r="O132" s="7" t="str">
        <f>_xlfn.XLOOKUP(B132,Cardholders_Reference!A:A,Cardholders_Reference!E:E)</f>
        <v>Visa</v>
      </c>
      <c r="P132" s="6">
        <f t="shared" si="19"/>
        <v>7.1374500000000007E-2</v>
      </c>
      <c r="Q132">
        <f t="shared" si="14"/>
        <v>0</v>
      </c>
      <c r="R132">
        <f t="shared" si="15"/>
        <v>0</v>
      </c>
      <c r="S132">
        <f>IF(COUNTIFS($B$1:$B$738,B131,$C$1:$C$738,#REF!)&gt;2,1,0)</f>
        <v>0</v>
      </c>
      <c r="T132">
        <f t="shared" si="16"/>
        <v>0</v>
      </c>
      <c r="U132">
        <f t="shared" si="17"/>
        <v>0</v>
      </c>
      <c r="V132">
        <f t="shared" si="18"/>
        <v>0</v>
      </c>
      <c r="W132">
        <f t="shared" si="20"/>
        <v>0</v>
      </c>
      <c r="X132" t="str" cm="1">
        <f t="array" ref="X132">_xlfn.IFS(W132&lt;=1,"Low",W132=2,"Medium",W132&gt;=3,"High")</f>
        <v>Low</v>
      </c>
    </row>
    <row r="133" spans="1:24" x14ac:dyDescent="0.3">
      <c r="A133" t="s">
        <v>341</v>
      </c>
      <c r="B133" t="s">
        <v>342</v>
      </c>
      <c r="C133" s="3">
        <v>45813</v>
      </c>
      <c r="D133" s="8" t="s">
        <v>343</v>
      </c>
      <c r="E133" s="7" t="s">
        <v>31</v>
      </c>
      <c r="F133" s="7" t="s">
        <v>25</v>
      </c>
      <c r="G133" s="7" t="s">
        <v>250</v>
      </c>
      <c r="H133" s="4">
        <v>424.7</v>
      </c>
      <c r="I133" s="7" t="s">
        <v>95</v>
      </c>
      <c r="J133" s="7" t="s">
        <v>17</v>
      </c>
      <c r="L133" t="str">
        <f>PROPER(TRIM(SUBSTITUTE(_xlfn.XLOOKUP(B133,Cardholders_Reference!A:A,Cardholders_Reference!B:B),","," ")))</f>
        <v>Thabo Dlamini</v>
      </c>
      <c r="M133" s="5">
        <f>_xlfn.XLOOKUP(B133,Cardholders_Reference!A:A,Cardholders_Reference!G:G)</f>
        <v>80000</v>
      </c>
      <c r="N133" s="7" t="str">
        <f>_xlfn.XLOOKUP(B133,Cardholders_Reference!A:A,Cardholders_Reference!D:D)</f>
        <v>Capitec</v>
      </c>
      <c r="O133" s="7" t="str">
        <f>_xlfn.XLOOKUP(B133,Cardholders_Reference!A:A,Cardholders_Reference!E:E)</f>
        <v>Visa</v>
      </c>
      <c r="P133" s="6">
        <f t="shared" si="19"/>
        <v>5.3087500000000001E-3</v>
      </c>
      <c r="Q133">
        <f t="shared" si="14"/>
        <v>0</v>
      </c>
      <c r="R133">
        <f t="shared" si="15"/>
        <v>0</v>
      </c>
      <c r="S133">
        <f>IF(COUNTIFS($B$1:$B$738,B132,$C$1:$C$738,#REF!)&gt;2,1,0)</f>
        <v>0</v>
      </c>
      <c r="T133">
        <f t="shared" si="16"/>
        <v>0</v>
      </c>
      <c r="U133">
        <f t="shared" si="17"/>
        <v>1</v>
      </c>
      <c r="V133">
        <f t="shared" si="18"/>
        <v>1</v>
      </c>
      <c r="W133">
        <f t="shared" si="20"/>
        <v>2</v>
      </c>
      <c r="X133" t="str" cm="1">
        <f t="array" ref="X133">_xlfn.IFS(W133&lt;=1,"Low",W133=2,"Medium",W133&gt;=3,"High")</f>
        <v>Medium</v>
      </c>
    </row>
    <row r="134" spans="1:24" x14ac:dyDescent="0.3">
      <c r="A134" t="s">
        <v>344</v>
      </c>
      <c r="B134" t="s">
        <v>342</v>
      </c>
      <c r="C134" s="3">
        <v>45897</v>
      </c>
      <c r="D134" s="8" t="s">
        <v>345</v>
      </c>
      <c r="E134" s="7" t="s">
        <v>215</v>
      </c>
      <c r="F134" s="7" t="s">
        <v>15</v>
      </c>
      <c r="G134" s="7" t="s">
        <v>49</v>
      </c>
      <c r="H134" s="4">
        <v>4428.97</v>
      </c>
      <c r="I134" s="7" t="s">
        <v>26</v>
      </c>
      <c r="J134" s="7" t="s">
        <v>17</v>
      </c>
      <c r="L134" t="str">
        <f>PROPER(TRIM(SUBSTITUTE(_xlfn.XLOOKUP(B134,Cardholders_Reference!A:A,Cardholders_Reference!B:B),","," ")))</f>
        <v>Thabo Dlamini</v>
      </c>
      <c r="M134" s="5">
        <f>_xlfn.XLOOKUP(B134,Cardholders_Reference!A:A,Cardholders_Reference!G:G)</f>
        <v>80000</v>
      </c>
      <c r="N134" s="7" t="str">
        <f>_xlfn.XLOOKUP(B134,Cardholders_Reference!A:A,Cardholders_Reference!D:D)</f>
        <v>Capitec</v>
      </c>
      <c r="O134" s="7" t="str">
        <f>_xlfn.XLOOKUP(B134,Cardholders_Reference!A:A,Cardholders_Reference!E:E)</f>
        <v>Visa</v>
      </c>
      <c r="P134" s="6">
        <f t="shared" si="19"/>
        <v>5.5362125000000005E-2</v>
      </c>
      <c r="Q134">
        <f t="shared" si="14"/>
        <v>1</v>
      </c>
      <c r="R134">
        <f t="shared" si="15"/>
        <v>0</v>
      </c>
      <c r="S134">
        <f>IF(COUNTIFS($B$1:$B$738,B133,$C$1:$C$738,#REF!)&gt;2,1,0)</f>
        <v>0</v>
      </c>
      <c r="T134">
        <f t="shared" si="16"/>
        <v>0</v>
      </c>
      <c r="U134">
        <f t="shared" si="17"/>
        <v>0</v>
      </c>
      <c r="V134">
        <f t="shared" si="18"/>
        <v>1</v>
      </c>
      <c r="W134">
        <f t="shared" si="20"/>
        <v>2</v>
      </c>
      <c r="X134" t="str" cm="1">
        <f t="array" ref="X134">_xlfn.IFS(W134&lt;=1,"Low",W134=2,"Medium",W134&gt;=3,"High")</f>
        <v>Medium</v>
      </c>
    </row>
    <row r="135" spans="1:24" x14ac:dyDescent="0.3">
      <c r="A135" t="s">
        <v>346</v>
      </c>
      <c r="B135" t="s">
        <v>342</v>
      </c>
      <c r="C135" s="3">
        <v>46512</v>
      </c>
      <c r="D135" s="8" t="s">
        <v>347</v>
      </c>
      <c r="E135" s="7" t="s">
        <v>308</v>
      </c>
      <c r="F135" s="7" t="s">
        <v>91</v>
      </c>
      <c r="G135" s="7" t="s">
        <v>177</v>
      </c>
      <c r="H135" s="4">
        <v>303.67</v>
      </c>
      <c r="I135" s="7" t="s">
        <v>26</v>
      </c>
      <c r="J135" s="7" t="s">
        <v>41</v>
      </c>
      <c r="L135" t="str">
        <f>PROPER(TRIM(SUBSTITUTE(_xlfn.XLOOKUP(B135,Cardholders_Reference!A:A,Cardholders_Reference!B:B),","," ")))</f>
        <v>Thabo Dlamini</v>
      </c>
      <c r="M135" s="5">
        <f>_xlfn.XLOOKUP(B135,Cardholders_Reference!A:A,Cardholders_Reference!G:G)</f>
        <v>80000</v>
      </c>
      <c r="N135" s="7" t="str">
        <f>_xlfn.XLOOKUP(B135,Cardholders_Reference!A:A,Cardholders_Reference!D:D)</f>
        <v>Capitec</v>
      </c>
      <c r="O135" s="7" t="str">
        <f>_xlfn.XLOOKUP(B135,Cardholders_Reference!A:A,Cardholders_Reference!E:E)</f>
        <v>Visa</v>
      </c>
      <c r="P135" s="6">
        <f t="shared" si="19"/>
        <v>3.7958750000000002E-3</v>
      </c>
      <c r="Q135">
        <f t="shared" si="14"/>
        <v>0</v>
      </c>
      <c r="R135">
        <f t="shared" si="15"/>
        <v>0</v>
      </c>
      <c r="S135">
        <f>IF(COUNTIFS($B$1:$B$738,B134,$C$1:$C$738,#REF!)&gt;2,1,0)</f>
        <v>0</v>
      </c>
      <c r="T135">
        <f t="shared" si="16"/>
        <v>0</v>
      </c>
      <c r="U135">
        <f t="shared" si="17"/>
        <v>0</v>
      </c>
      <c r="V135">
        <f t="shared" si="18"/>
        <v>1</v>
      </c>
      <c r="W135">
        <f t="shared" si="20"/>
        <v>1</v>
      </c>
      <c r="X135" t="str" cm="1">
        <f t="array" ref="X135">_xlfn.IFS(W135&lt;=1,"Low",W135=2,"Medium",W135&gt;=3,"High")</f>
        <v>Low</v>
      </c>
    </row>
    <row r="136" spans="1:24" x14ac:dyDescent="0.3">
      <c r="A136" t="s">
        <v>348</v>
      </c>
      <c r="B136" t="s">
        <v>342</v>
      </c>
      <c r="C136" s="3">
        <v>45946</v>
      </c>
      <c r="D136" s="8" t="s">
        <v>349</v>
      </c>
      <c r="E136" s="7" t="s">
        <v>173</v>
      </c>
      <c r="F136" s="7" t="s">
        <v>21</v>
      </c>
      <c r="G136" s="7" t="s">
        <v>49</v>
      </c>
      <c r="H136" s="4">
        <v>612.67999999999995</v>
      </c>
      <c r="I136" s="7" t="s">
        <v>32</v>
      </c>
      <c r="J136" s="7" t="s">
        <v>17</v>
      </c>
      <c r="L136" t="str">
        <f>PROPER(TRIM(SUBSTITUTE(_xlfn.XLOOKUP(B136,Cardholders_Reference!A:A,Cardholders_Reference!B:B),","," ")))</f>
        <v>Thabo Dlamini</v>
      </c>
      <c r="M136" s="5">
        <f>_xlfn.XLOOKUP(B136,Cardholders_Reference!A:A,Cardholders_Reference!G:G)</f>
        <v>80000</v>
      </c>
      <c r="N136" s="7" t="str">
        <f>_xlfn.XLOOKUP(B136,Cardholders_Reference!A:A,Cardholders_Reference!D:D)</f>
        <v>Capitec</v>
      </c>
      <c r="O136" s="7" t="str">
        <f>_xlfn.XLOOKUP(B136,Cardholders_Reference!A:A,Cardholders_Reference!E:E)</f>
        <v>Visa</v>
      </c>
      <c r="P136" s="6">
        <f t="shared" si="19"/>
        <v>7.6584999999999995E-3</v>
      </c>
      <c r="Q136">
        <f t="shared" si="14"/>
        <v>1</v>
      </c>
      <c r="R136">
        <f t="shared" si="15"/>
        <v>0</v>
      </c>
      <c r="S136">
        <f>IF(COUNTIFS($B$1:$B$738,B135,$C$1:$C$738,#REF!)&gt;2,1,0)</f>
        <v>0</v>
      </c>
      <c r="T136">
        <f t="shared" si="16"/>
        <v>0</v>
      </c>
      <c r="U136">
        <f t="shared" si="17"/>
        <v>0</v>
      </c>
      <c r="V136">
        <f t="shared" si="18"/>
        <v>0</v>
      </c>
      <c r="W136">
        <f t="shared" si="20"/>
        <v>1</v>
      </c>
      <c r="X136" t="str" cm="1">
        <f t="array" ref="X136">_xlfn.IFS(W136&lt;=1,"Low",W136=2,"Medium",W136&gt;=3,"High")</f>
        <v>Low</v>
      </c>
    </row>
    <row r="137" spans="1:24" x14ac:dyDescent="0.3">
      <c r="A137" t="s">
        <v>350</v>
      </c>
      <c r="B137" t="s">
        <v>342</v>
      </c>
      <c r="C137" s="3">
        <v>45810</v>
      </c>
      <c r="D137" s="8" t="s">
        <v>351</v>
      </c>
      <c r="E137" s="7" t="s">
        <v>245</v>
      </c>
      <c r="F137" s="7" t="s">
        <v>48</v>
      </c>
      <c r="G137" s="7" t="s">
        <v>177</v>
      </c>
      <c r="H137" s="4">
        <v>1019.35</v>
      </c>
      <c r="I137" s="7" t="s">
        <v>32</v>
      </c>
      <c r="J137" s="7" t="s">
        <v>41</v>
      </c>
      <c r="K137" t="s">
        <v>183</v>
      </c>
      <c r="L137" t="str">
        <f>PROPER(TRIM(SUBSTITUTE(_xlfn.XLOOKUP(B137,Cardholders_Reference!A:A,Cardholders_Reference!B:B),","," ")))</f>
        <v>Thabo Dlamini</v>
      </c>
      <c r="M137" s="5">
        <f>_xlfn.XLOOKUP(B137,Cardholders_Reference!A:A,Cardholders_Reference!G:G)</f>
        <v>80000</v>
      </c>
      <c r="N137" s="7" t="str">
        <f>_xlfn.XLOOKUP(B137,Cardholders_Reference!A:A,Cardholders_Reference!D:D)</f>
        <v>Capitec</v>
      </c>
      <c r="O137" s="7" t="str">
        <f>_xlfn.XLOOKUP(B137,Cardholders_Reference!A:A,Cardholders_Reference!E:E)</f>
        <v>Visa</v>
      </c>
      <c r="P137" s="6">
        <f t="shared" si="19"/>
        <v>1.2741875E-2</v>
      </c>
      <c r="Q137">
        <f t="shared" si="14"/>
        <v>0</v>
      </c>
      <c r="R137">
        <f t="shared" si="15"/>
        <v>0</v>
      </c>
      <c r="S137">
        <f>IF(COUNTIFS($B$1:$B$738,B136,$C$1:$C$738,#REF!)&gt;2,1,0)</f>
        <v>0</v>
      </c>
      <c r="T137">
        <f t="shared" si="16"/>
        <v>0</v>
      </c>
      <c r="U137">
        <f t="shared" si="17"/>
        <v>1</v>
      </c>
      <c r="V137">
        <f t="shared" si="18"/>
        <v>0</v>
      </c>
      <c r="W137">
        <f t="shared" si="20"/>
        <v>1</v>
      </c>
      <c r="X137" t="str" cm="1">
        <f t="array" ref="X137">_xlfn.IFS(W137&lt;=1,"Low",W137=2,"Medium",W137&gt;=3,"High")</f>
        <v>Low</v>
      </c>
    </row>
    <row r="138" spans="1:24" x14ac:dyDescent="0.3">
      <c r="A138" t="s">
        <v>352</v>
      </c>
      <c r="B138" t="s">
        <v>342</v>
      </c>
      <c r="C138" s="3">
        <v>45699</v>
      </c>
      <c r="D138" s="8" t="s">
        <v>353</v>
      </c>
      <c r="E138" s="7" t="s">
        <v>20</v>
      </c>
      <c r="F138" s="7" t="s">
        <v>21</v>
      </c>
      <c r="G138" s="7" t="s">
        <v>145</v>
      </c>
      <c r="H138" s="4">
        <v>1946.95</v>
      </c>
      <c r="I138" s="7" t="s">
        <v>26</v>
      </c>
      <c r="J138" s="7" t="s">
        <v>17</v>
      </c>
      <c r="L138" t="str">
        <f>PROPER(TRIM(SUBSTITUTE(_xlfn.XLOOKUP(B138,Cardholders_Reference!A:A,Cardholders_Reference!B:B),","," ")))</f>
        <v>Thabo Dlamini</v>
      </c>
      <c r="M138" s="5">
        <f>_xlfn.XLOOKUP(B138,Cardholders_Reference!A:A,Cardholders_Reference!G:G)</f>
        <v>80000</v>
      </c>
      <c r="N138" s="7" t="str">
        <f>_xlfn.XLOOKUP(B138,Cardholders_Reference!A:A,Cardholders_Reference!D:D)</f>
        <v>Capitec</v>
      </c>
      <c r="O138" s="7" t="str">
        <f>_xlfn.XLOOKUP(B138,Cardholders_Reference!A:A,Cardholders_Reference!E:E)</f>
        <v>Visa</v>
      </c>
      <c r="P138" s="6">
        <f t="shared" si="19"/>
        <v>2.4336875000000001E-2</v>
      </c>
      <c r="Q138">
        <f t="shared" si="14"/>
        <v>1</v>
      </c>
      <c r="R138">
        <f t="shared" si="15"/>
        <v>0</v>
      </c>
      <c r="S138">
        <f>IF(COUNTIFS($B$1:$B$738,B137,$C$1:$C$738,#REF!)&gt;2,1,0)</f>
        <v>0</v>
      </c>
      <c r="T138">
        <f t="shared" si="16"/>
        <v>0</v>
      </c>
      <c r="U138">
        <f t="shared" si="17"/>
        <v>0</v>
      </c>
      <c r="V138">
        <f t="shared" si="18"/>
        <v>1</v>
      </c>
      <c r="W138">
        <f t="shared" si="20"/>
        <v>2</v>
      </c>
      <c r="X138" t="str" cm="1">
        <f t="array" ref="X138">_xlfn.IFS(W138&lt;=1,"Low",W138=2,"Medium",W138&gt;=3,"High")</f>
        <v>Medium</v>
      </c>
    </row>
    <row r="139" spans="1:24" x14ac:dyDescent="0.3">
      <c r="A139" t="s">
        <v>354</v>
      </c>
      <c r="B139" t="s">
        <v>342</v>
      </c>
      <c r="C139" s="3">
        <v>46071</v>
      </c>
      <c r="D139" s="8" t="s">
        <v>355</v>
      </c>
      <c r="E139" s="7" t="s">
        <v>77</v>
      </c>
      <c r="F139" s="7" t="s">
        <v>15</v>
      </c>
      <c r="G139" s="7" t="s">
        <v>49</v>
      </c>
      <c r="H139" s="4">
        <v>2213.96</v>
      </c>
      <c r="I139" s="7" t="s">
        <v>26</v>
      </c>
      <c r="J139" s="7" t="s">
        <v>17</v>
      </c>
      <c r="L139" t="str">
        <f>PROPER(TRIM(SUBSTITUTE(_xlfn.XLOOKUP(B139,Cardholders_Reference!A:A,Cardholders_Reference!B:B),","," ")))</f>
        <v>Thabo Dlamini</v>
      </c>
      <c r="M139" s="5">
        <f>_xlfn.XLOOKUP(B139,Cardholders_Reference!A:A,Cardholders_Reference!G:G)</f>
        <v>80000</v>
      </c>
      <c r="N139" s="7" t="str">
        <f>_xlfn.XLOOKUP(B139,Cardholders_Reference!A:A,Cardholders_Reference!D:D)</f>
        <v>Capitec</v>
      </c>
      <c r="O139" s="7" t="str">
        <f>_xlfn.XLOOKUP(B139,Cardholders_Reference!A:A,Cardholders_Reference!E:E)</f>
        <v>Visa</v>
      </c>
      <c r="P139" s="6">
        <f t="shared" si="19"/>
        <v>2.7674500000000001E-2</v>
      </c>
      <c r="Q139">
        <f t="shared" si="14"/>
        <v>1</v>
      </c>
      <c r="R139">
        <f t="shared" si="15"/>
        <v>0</v>
      </c>
      <c r="S139">
        <f>IF(COUNTIFS($B$1:$B$738,B138,$C$1:$C$738,#REF!)&gt;2,1,0)</f>
        <v>0</v>
      </c>
      <c r="T139">
        <f t="shared" si="16"/>
        <v>0</v>
      </c>
      <c r="U139">
        <f t="shared" si="17"/>
        <v>1</v>
      </c>
      <c r="V139">
        <f t="shared" si="18"/>
        <v>1</v>
      </c>
      <c r="W139">
        <f t="shared" si="20"/>
        <v>3</v>
      </c>
      <c r="X139" t="str" cm="1">
        <f t="array" ref="X139">_xlfn.IFS(W139&lt;=1,"Low",W139=2,"Medium",W139&gt;=3,"High")</f>
        <v>High</v>
      </c>
    </row>
    <row r="140" spans="1:24" x14ac:dyDescent="0.3">
      <c r="A140" t="s">
        <v>356</v>
      </c>
      <c r="B140" t="s">
        <v>342</v>
      </c>
      <c r="C140" s="3">
        <v>45971</v>
      </c>
      <c r="D140" s="8" t="s">
        <v>357</v>
      </c>
      <c r="E140" s="7" t="s">
        <v>321</v>
      </c>
      <c r="F140" s="7" t="s">
        <v>61</v>
      </c>
      <c r="G140" s="7" t="s">
        <v>49</v>
      </c>
      <c r="H140" s="4">
        <v>6368.91</v>
      </c>
      <c r="I140" s="7" t="s">
        <v>32</v>
      </c>
      <c r="J140" s="7" t="s">
        <v>17</v>
      </c>
      <c r="L140" t="str">
        <f>PROPER(TRIM(SUBSTITUTE(_xlfn.XLOOKUP(B140,Cardholders_Reference!A:A,Cardholders_Reference!B:B),","," ")))</f>
        <v>Thabo Dlamini</v>
      </c>
      <c r="M140" s="5">
        <f>_xlfn.XLOOKUP(B140,Cardholders_Reference!A:A,Cardholders_Reference!G:G)</f>
        <v>80000</v>
      </c>
      <c r="N140" s="7" t="str">
        <f>_xlfn.XLOOKUP(B140,Cardholders_Reference!A:A,Cardholders_Reference!D:D)</f>
        <v>Capitec</v>
      </c>
      <c r="O140" s="7" t="str">
        <f>_xlfn.XLOOKUP(B140,Cardholders_Reference!A:A,Cardholders_Reference!E:E)</f>
        <v>Visa</v>
      </c>
      <c r="P140" s="6">
        <f t="shared" si="19"/>
        <v>7.9611374999999998E-2</v>
      </c>
      <c r="Q140">
        <f t="shared" si="14"/>
        <v>0</v>
      </c>
      <c r="R140">
        <f t="shared" si="15"/>
        <v>0</v>
      </c>
      <c r="S140">
        <f>IF(COUNTIFS($B$1:$B$738,B139,$C$1:$C$738,#REF!)&gt;2,1,0)</f>
        <v>0</v>
      </c>
      <c r="T140">
        <f t="shared" si="16"/>
        <v>0</v>
      </c>
      <c r="U140">
        <f t="shared" si="17"/>
        <v>0</v>
      </c>
      <c r="V140">
        <f t="shared" si="18"/>
        <v>0</v>
      </c>
      <c r="W140">
        <f t="shared" si="20"/>
        <v>0</v>
      </c>
      <c r="X140" t="str" cm="1">
        <f t="array" ref="X140">_xlfn.IFS(W140&lt;=1,"Low",W140=2,"Medium",W140&gt;=3,"High")</f>
        <v>Low</v>
      </c>
    </row>
    <row r="141" spans="1:24" x14ac:dyDescent="0.3">
      <c r="A141" t="s">
        <v>358</v>
      </c>
      <c r="B141" t="s">
        <v>342</v>
      </c>
      <c r="C141" s="3">
        <v>46083</v>
      </c>
      <c r="D141" s="8" t="s">
        <v>359</v>
      </c>
      <c r="E141" s="7" t="s">
        <v>70</v>
      </c>
      <c r="F141" s="7" t="s">
        <v>36</v>
      </c>
      <c r="G141" s="7" t="s">
        <v>49</v>
      </c>
      <c r="H141" s="4">
        <v>632.97</v>
      </c>
      <c r="I141" s="7" t="s">
        <v>26</v>
      </c>
      <c r="J141" s="7" t="s">
        <v>41</v>
      </c>
      <c r="L141" t="str">
        <f>PROPER(TRIM(SUBSTITUTE(_xlfn.XLOOKUP(B141,Cardholders_Reference!A:A,Cardholders_Reference!B:B),","," ")))</f>
        <v>Thabo Dlamini</v>
      </c>
      <c r="M141" s="5">
        <f>_xlfn.XLOOKUP(B141,Cardholders_Reference!A:A,Cardholders_Reference!G:G)</f>
        <v>80000</v>
      </c>
      <c r="N141" s="7" t="str">
        <f>_xlfn.XLOOKUP(B141,Cardholders_Reference!A:A,Cardholders_Reference!D:D)</f>
        <v>Capitec</v>
      </c>
      <c r="O141" s="7" t="str">
        <f>_xlfn.XLOOKUP(B141,Cardholders_Reference!A:A,Cardholders_Reference!E:E)</f>
        <v>Visa</v>
      </c>
      <c r="P141" s="6">
        <f t="shared" si="19"/>
        <v>7.9121250000000008E-3</v>
      </c>
      <c r="Q141">
        <f t="shared" si="14"/>
        <v>0</v>
      </c>
      <c r="R141">
        <f t="shared" si="15"/>
        <v>0</v>
      </c>
      <c r="S141">
        <f>IF(COUNTIFS($B$1:$B$738,B140,$C$1:$C$738,#REF!)&gt;2,1,0)</f>
        <v>0</v>
      </c>
      <c r="T141">
        <f t="shared" si="16"/>
        <v>0</v>
      </c>
      <c r="U141">
        <f t="shared" si="17"/>
        <v>0</v>
      </c>
      <c r="V141">
        <f t="shared" si="18"/>
        <v>1</v>
      </c>
      <c r="W141">
        <f t="shared" si="20"/>
        <v>1</v>
      </c>
      <c r="X141" t="str" cm="1">
        <f t="array" ref="X141">_xlfn.IFS(W141&lt;=1,"Low",W141=2,"Medium",W141&gt;=3,"High")</f>
        <v>Low</v>
      </c>
    </row>
    <row r="142" spans="1:24" x14ac:dyDescent="0.3">
      <c r="A142" t="s">
        <v>360</v>
      </c>
      <c r="B142" t="s">
        <v>342</v>
      </c>
      <c r="C142" s="3">
        <v>46048</v>
      </c>
      <c r="D142" s="8" t="s">
        <v>361</v>
      </c>
      <c r="E142" s="7" t="s">
        <v>132</v>
      </c>
      <c r="F142" s="7" t="s">
        <v>25</v>
      </c>
      <c r="G142" s="7" t="s">
        <v>145</v>
      </c>
      <c r="H142" s="4">
        <v>799.66</v>
      </c>
      <c r="I142" s="7" t="s">
        <v>16</v>
      </c>
      <c r="J142" s="7" t="s">
        <v>17</v>
      </c>
      <c r="L142" t="str">
        <f>PROPER(TRIM(SUBSTITUTE(_xlfn.XLOOKUP(B142,Cardholders_Reference!A:A,Cardholders_Reference!B:B),","," ")))</f>
        <v>Thabo Dlamini</v>
      </c>
      <c r="M142" s="5">
        <f>_xlfn.XLOOKUP(B142,Cardholders_Reference!A:A,Cardholders_Reference!G:G)</f>
        <v>80000</v>
      </c>
      <c r="N142" s="7" t="str">
        <f>_xlfn.XLOOKUP(B142,Cardholders_Reference!A:A,Cardholders_Reference!D:D)</f>
        <v>Capitec</v>
      </c>
      <c r="O142" s="7" t="str">
        <f>_xlfn.XLOOKUP(B142,Cardholders_Reference!A:A,Cardholders_Reference!E:E)</f>
        <v>Visa</v>
      </c>
      <c r="P142" s="6">
        <f t="shared" si="19"/>
        <v>9.9957499999999994E-3</v>
      </c>
      <c r="Q142">
        <f t="shared" si="14"/>
        <v>0</v>
      </c>
      <c r="R142">
        <f t="shared" si="15"/>
        <v>0</v>
      </c>
      <c r="S142">
        <f>IF(COUNTIFS($B$1:$B$738,B141,$C$1:$C$738,#REF!)&gt;2,1,0)</f>
        <v>0</v>
      </c>
      <c r="T142">
        <f t="shared" si="16"/>
        <v>0</v>
      </c>
      <c r="U142">
        <f t="shared" si="17"/>
        <v>0</v>
      </c>
      <c r="V142">
        <f t="shared" si="18"/>
        <v>0</v>
      </c>
      <c r="W142">
        <f t="shared" si="20"/>
        <v>0</v>
      </c>
      <c r="X142" t="str" cm="1">
        <f t="array" ref="X142">_xlfn.IFS(W142&lt;=1,"Low",W142=2,"Medium",W142&gt;=3,"High")</f>
        <v>Low</v>
      </c>
    </row>
    <row r="143" spans="1:24" x14ac:dyDescent="0.3">
      <c r="A143" t="s">
        <v>362</v>
      </c>
      <c r="B143" t="s">
        <v>342</v>
      </c>
      <c r="C143" s="3">
        <v>46331</v>
      </c>
      <c r="D143" s="8" t="s">
        <v>363</v>
      </c>
      <c r="E143" s="7" t="s">
        <v>31</v>
      </c>
      <c r="F143" s="7" t="s">
        <v>25</v>
      </c>
      <c r="G143" s="7" t="s">
        <v>49</v>
      </c>
      <c r="H143" s="4">
        <v>916.61</v>
      </c>
      <c r="I143" s="7" t="s">
        <v>26</v>
      </c>
      <c r="J143" s="7" t="s">
        <v>17</v>
      </c>
      <c r="L143" t="str">
        <f>PROPER(TRIM(SUBSTITUTE(_xlfn.XLOOKUP(B143,Cardholders_Reference!A:A,Cardholders_Reference!B:B),","," ")))</f>
        <v>Thabo Dlamini</v>
      </c>
      <c r="M143" s="5">
        <f>_xlfn.XLOOKUP(B143,Cardholders_Reference!A:A,Cardholders_Reference!G:G)</f>
        <v>80000</v>
      </c>
      <c r="N143" s="7" t="str">
        <f>_xlfn.XLOOKUP(B143,Cardholders_Reference!A:A,Cardholders_Reference!D:D)</f>
        <v>Capitec</v>
      </c>
      <c r="O143" s="7" t="str">
        <f>_xlfn.XLOOKUP(B143,Cardholders_Reference!A:A,Cardholders_Reference!E:E)</f>
        <v>Visa</v>
      </c>
      <c r="P143" s="6">
        <f t="shared" si="19"/>
        <v>1.1457625000000001E-2</v>
      </c>
      <c r="Q143">
        <f t="shared" si="14"/>
        <v>1</v>
      </c>
      <c r="R143">
        <f t="shared" si="15"/>
        <v>0</v>
      </c>
      <c r="S143">
        <f>IF(COUNTIFS($B$1:$B$738,B142,$C$1:$C$738,#REF!)&gt;2,1,0)</f>
        <v>0</v>
      </c>
      <c r="T143">
        <f t="shared" si="16"/>
        <v>0</v>
      </c>
      <c r="U143">
        <f t="shared" si="17"/>
        <v>0</v>
      </c>
      <c r="V143">
        <f t="shared" si="18"/>
        <v>1</v>
      </c>
      <c r="W143">
        <f t="shared" si="20"/>
        <v>2</v>
      </c>
      <c r="X143" t="str" cm="1">
        <f t="array" ref="X143">_xlfn.IFS(W143&lt;=1,"Low",W143=2,"Medium",W143&gt;=3,"High")</f>
        <v>Medium</v>
      </c>
    </row>
    <row r="144" spans="1:24" x14ac:dyDescent="0.3">
      <c r="A144" t="s">
        <v>364</v>
      </c>
      <c r="B144" t="s">
        <v>342</v>
      </c>
      <c r="C144" s="3">
        <v>45714</v>
      </c>
      <c r="D144" s="8" t="s">
        <v>365</v>
      </c>
      <c r="E144" s="7" t="s">
        <v>84</v>
      </c>
      <c r="F144" s="7" t="s">
        <v>61</v>
      </c>
      <c r="G144" s="7" t="s">
        <v>49</v>
      </c>
      <c r="H144" s="4">
        <v>11244.01</v>
      </c>
      <c r="I144" s="7" t="s">
        <v>16</v>
      </c>
      <c r="J144" s="7" t="s">
        <v>17</v>
      </c>
      <c r="L144" t="str">
        <f>PROPER(TRIM(SUBSTITUTE(_xlfn.XLOOKUP(B144,Cardholders_Reference!A:A,Cardholders_Reference!B:B),","," ")))</f>
        <v>Thabo Dlamini</v>
      </c>
      <c r="M144" s="5">
        <f>_xlfn.XLOOKUP(B144,Cardholders_Reference!A:A,Cardholders_Reference!G:G)</f>
        <v>80000</v>
      </c>
      <c r="N144" s="7" t="str">
        <f>_xlfn.XLOOKUP(B144,Cardholders_Reference!A:A,Cardholders_Reference!D:D)</f>
        <v>Capitec</v>
      </c>
      <c r="O144" s="7" t="str">
        <f>_xlfn.XLOOKUP(B144,Cardholders_Reference!A:A,Cardholders_Reference!E:E)</f>
        <v>Visa</v>
      </c>
      <c r="P144" s="6">
        <f t="shared" si="19"/>
        <v>0.140550125</v>
      </c>
      <c r="Q144">
        <f t="shared" si="14"/>
        <v>0</v>
      </c>
      <c r="R144">
        <f t="shared" si="15"/>
        <v>0</v>
      </c>
      <c r="S144">
        <f>IF(COUNTIFS($B$1:$B$738,B143,$C$1:$C$738,#REF!)&gt;2,1,0)</f>
        <v>0</v>
      </c>
      <c r="T144">
        <f t="shared" si="16"/>
        <v>0</v>
      </c>
      <c r="U144">
        <f t="shared" si="17"/>
        <v>0</v>
      </c>
      <c r="V144">
        <f t="shared" si="18"/>
        <v>0</v>
      </c>
      <c r="W144">
        <f t="shared" si="20"/>
        <v>0</v>
      </c>
      <c r="X144" t="str" cm="1">
        <f t="array" ref="X144">_xlfn.IFS(W144&lt;=1,"Low",W144=2,"Medium",W144&gt;=3,"High")</f>
        <v>Low</v>
      </c>
    </row>
    <row r="145" spans="1:24" x14ac:dyDescent="0.3">
      <c r="A145" t="s">
        <v>366</v>
      </c>
      <c r="B145" t="s">
        <v>342</v>
      </c>
      <c r="C145" s="3">
        <v>45906</v>
      </c>
      <c r="D145" s="8" t="s">
        <v>367</v>
      </c>
      <c r="E145" s="7" t="s">
        <v>368</v>
      </c>
      <c r="F145" s="7" t="s">
        <v>21</v>
      </c>
      <c r="G145" s="7" t="s">
        <v>49</v>
      </c>
      <c r="H145" s="4">
        <v>1421.32</v>
      </c>
      <c r="I145" s="7" t="s">
        <v>32</v>
      </c>
      <c r="J145" s="7" t="s">
        <v>17</v>
      </c>
      <c r="L145" t="str">
        <f>PROPER(TRIM(SUBSTITUTE(_xlfn.XLOOKUP(B145,Cardholders_Reference!A:A,Cardholders_Reference!B:B),","," ")))</f>
        <v>Thabo Dlamini</v>
      </c>
      <c r="M145" s="5">
        <f>_xlfn.XLOOKUP(B145,Cardholders_Reference!A:A,Cardholders_Reference!G:G)</f>
        <v>80000</v>
      </c>
      <c r="N145" s="7" t="str">
        <f>_xlfn.XLOOKUP(B145,Cardholders_Reference!A:A,Cardholders_Reference!D:D)</f>
        <v>Capitec</v>
      </c>
      <c r="O145" s="7" t="str">
        <f>_xlfn.XLOOKUP(B145,Cardholders_Reference!A:A,Cardholders_Reference!E:E)</f>
        <v>Visa</v>
      </c>
      <c r="P145" s="6">
        <f t="shared" si="19"/>
        <v>1.7766499999999998E-2</v>
      </c>
      <c r="Q145">
        <f t="shared" si="14"/>
        <v>0</v>
      </c>
      <c r="R145">
        <f t="shared" si="15"/>
        <v>0</v>
      </c>
      <c r="S145">
        <f>IF(COUNTIFS($B$1:$B$738,B144,$C$1:$C$738,#REF!)&gt;2,1,0)</f>
        <v>0</v>
      </c>
      <c r="T145">
        <f t="shared" si="16"/>
        <v>0</v>
      </c>
      <c r="U145">
        <f t="shared" si="17"/>
        <v>0</v>
      </c>
      <c r="V145">
        <f t="shared" si="18"/>
        <v>0</v>
      </c>
      <c r="W145">
        <f t="shared" si="20"/>
        <v>0</v>
      </c>
      <c r="X145" t="str" cm="1">
        <f t="array" ref="X145">_xlfn.IFS(W145&lt;=1,"Low",W145=2,"Medium",W145&gt;=3,"High")</f>
        <v>Low</v>
      </c>
    </row>
    <row r="146" spans="1:24" x14ac:dyDescent="0.3">
      <c r="A146" t="s">
        <v>369</v>
      </c>
      <c r="B146" t="s">
        <v>342</v>
      </c>
      <c r="C146" s="3">
        <v>46120</v>
      </c>
      <c r="D146" s="8" t="s">
        <v>370</v>
      </c>
      <c r="E146" s="7" t="s">
        <v>215</v>
      </c>
      <c r="F146" s="7" t="s">
        <v>15</v>
      </c>
      <c r="G146" s="7" t="s">
        <v>108</v>
      </c>
      <c r="H146" s="4">
        <v>1192.6099999999999</v>
      </c>
      <c r="I146" s="7" t="s">
        <v>16</v>
      </c>
      <c r="J146" s="7" t="s">
        <v>17</v>
      </c>
      <c r="L146" t="str">
        <f>PROPER(TRIM(SUBSTITUTE(_xlfn.XLOOKUP(B146,Cardholders_Reference!A:A,Cardholders_Reference!B:B),","," ")))</f>
        <v>Thabo Dlamini</v>
      </c>
      <c r="M146" s="5">
        <f>_xlfn.XLOOKUP(B146,Cardholders_Reference!A:A,Cardholders_Reference!G:G)</f>
        <v>80000</v>
      </c>
      <c r="N146" s="7" t="str">
        <f>_xlfn.XLOOKUP(B146,Cardholders_Reference!A:A,Cardholders_Reference!D:D)</f>
        <v>Capitec</v>
      </c>
      <c r="O146" s="7" t="str">
        <f>_xlfn.XLOOKUP(B146,Cardholders_Reference!A:A,Cardholders_Reference!E:E)</f>
        <v>Visa</v>
      </c>
      <c r="P146" s="6">
        <f t="shared" si="19"/>
        <v>1.4907624999999999E-2</v>
      </c>
      <c r="Q146">
        <f t="shared" si="14"/>
        <v>0</v>
      </c>
      <c r="R146">
        <f t="shared" si="15"/>
        <v>0</v>
      </c>
      <c r="S146">
        <f>IF(COUNTIFS($B$1:$B$738,B145,$C$1:$C$738,#REF!)&gt;2,1,0)</f>
        <v>0</v>
      </c>
      <c r="T146">
        <f t="shared" si="16"/>
        <v>0</v>
      </c>
      <c r="U146">
        <f t="shared" si="17"/>
        <v>1</v>
      </c>
      <c r="V146">
        <f t="shared" si="18"/>
        <v>0</v>
      </c>
      <c r="W146">
        <f t="shared" si="20"/>
        <v>1</v>
      </c>
      <c r="X146" t="str" cm="1">
        <f t="array" ref="X146">_xlfn.IFS(W146&lt;=1,"Low",W146=2,"Medium",W146&gt;=3,"High")</f>
        <v>Low</v>
      </c>
    </row>
    <row r="147" spans="1:24" x14ac:dyDescent="0.3">
      <c r="A147" t="s">
        <v>371</v>
      </c>
      <c r="B147" t="s">
        <v>372</v>
      </c>
      <c r="C147" s="3">
        <v>45758</v>
      </c>
      <c r="D147" s="8" t="s">
        <v>373</v>
      </c>
      <c r="E147" s="7" t="s">
        <v>94</v>
      </c>
      <c r="F147" s="7" t="s">
        <v>53</v>
      </c>
      <c r="G147" s="7" t="s">
        <v>250</v>
      </c>
      <c r="H147" s="4">
        <v>1171.96</v>
      </c>
      <c r="I147" s="7" t="s">
        <v>32</v>
      </c>
      <c r="J147" s="7" t="s">
        <v>17</v>
      </c>
      <c r="L147" t="str">
        <f>PROPER(TRIM(SUBSTITUTE(_xlfn.XLOOKUP(B147,Cardholders_Reference!A:A,Cardholders_Reference!B:B),","," ")))</f>
        <v>Precious Khumalo</v>
      </c>
      <c r="M147" s="5">
        <f>_xlfn.XLOOKUP(B147,Cardholders_Reference!A:A,Cardholders_Reference!G:G)</f>
        <v>30000</v>
      </c>
      <c r="N147" s="7" t="str">
        <f>_xlfn.XLOOKUP(B147,Cardholders_Reference!A:A,Cardholders_Reference!D:D)</f>
        <v>Capitec</v>
      </c>
      <c r="O147" s="7" t="str">
        <f>_xlfn.XLOOKUP(B147,Cardholders_Reference!A:A,Cardholders_Reference!E:E)</f>
        <v>Visa</v>
      </c>
      <c r="P147" s="6">
        <f t="shared" si="19"/>
        <v>3.9065333333333334E-2</v>
      </c>
      <c r="Q147">
        <f t="shared" si="14"/>
        <v>1</v>
      </c>
      <c r="R147">
        <f t="shared" si="15"/>
        <v>0</v>
      </c>
      <c r="S147">
        <f>IF(COUNTIFS($B$1:$B$738,B146,$C$1:$C$738,#REF!)&gt;2,1,0)</f>
        <v>0</v>
      </c>
      <c r="T147">
        <f t="shared" si="16"/>
        <v>0</v>
      </c>
      <c r="U147">
        <f t="shared" si="17"/>
        <v>0</v>
      </c>
      <c r="V147">
        <f t="shared" si="18"/>
        <v>0</v>
      </c>
      <c r="W147">
        <f t="shared" si="20"/>
        <v>1</v>
      </c>
      <c r="X147" t="str" cm="1">
        <f t="array" ref="X147">_xlfn.IFS(W147&lt;=1,"Low",W147=2,"Medium",W147&gt;=3,"High")</f>
        <v>Low</v>
      </c>
    </row>
    <row r="148" spans="1:24" x14ac:dyDescent="0.3">
      <c r="A148" t="s">
        <v>374</v>
      </c>
      <c r="B148" t="s">
        <v>372</v>
      </c>
      <c r="C148" s="3">
        <v>45718</v>
      </c>
      <c r="D148" s="8" t="s">
        <v>375</v>
      </c>
      <c r="E148" s="7" t="s">
        <v>111</v>
      </c>
      <c r="F148" s="7" t="s">
        <v>48</v>
      </c>
      <c r="G148" s="7" t="s">
        <v>250</v>
      </c>
      <c r="H148" s="4">
        <v>1228.6500000000001</v>
      </c>
      <c r="I148" s="7" t="s">
        <v>26</v>
      </c>
      <c r="J148" s="7" t="s">
        <v>17</v>
      </c>
      <c r="L148" t="str">
        <f>PROPER(TRIM(SUBSTITUTE(_xlfn.XLOOKUP(B148,Cardholders_Reference!A:A,Cardholders_Reference!B:B),","," ")))</f>
        <v>Precious Khumalo</v>
      </c>
      <c r="M148" s="5">
        <f>_xlfn.XLOOKUP(B148,Cardholders_Reference!A:A,Cardholders_Reference!G:G)</f>
        <v>30000</v>
      </c>
      <c r="N148" s="7" t="str">
        <f>_xlfn.XLOOKUP(B148,Cardholders_Reference!A:A,Cardholders_Reference!D:D)</f>
        <v>Capitec</v>
      </c>
      <c r="O148" s="7" t="str">
        <f>_xlfn.XLOOKUP(B148,Cardholders_Reference!A:A,Cardholders_Reference!E:E)</f>
        <v>Visa</v>
      </c>
      <c r="P148" s="6">
        <f t="shared" si="19"/>
        <v>4.0955000000000005E-2</v>
      </c>
      <c r="Q148">
        <f t="shared" si="14"/>
        <v>0</v>
      </c>
      <c r="R148">
        <f t="shared" si="15"/>
        <v>0</v>
      </c>
      <c r="S148">
        <f>IF(COUNTIFS($B$1:$B$738,B147,$C$1:$C$738,#REF!)&gt;2,1,0)</f>
        <v>0</v>
      </c>
      <c r="T148">
        <f t="shared" si="16"/>
        <v>0</v>
      </c>
      <c r="U148">
        <f t="shared" si="17"/>
        <v>0</v>
      </c>
      <c r="V148">
        <f t="shared" si="18"/>
        <v>1</v>
      </c>
      <c r="W148">
        <f t="shared" si="20"/>
        <v>1</v>
      </c>
      <c r="X148" t="str" cm="1">
        <f t="array" ref="X148">_xlfn.IFS(W148&lt;=1,"Low",W148=2,"Medium",W148&gt;=3,"High")</f>
        <v>Low</v>
      </c>
    </row>
    <row r="149" spans="1:24" x14ac:dyDescent="0.3">
      <c r="A149" t="s">
        <v>376</v>
      </c>
      <c r="B149" t="s">
        <v>372</v>
      </c>
      <c r="C149" s="3">
        <v>45700</v>
      </c>
      <c r="D149" s="8" t="s">
        <v>289</v>
      </c>
      <c r="E149" s="7" t="s">
        <v>377</v>
      </c>
      <c r="F149" s="7" t="s">
        <v>74</v>
      </c>
      <c r="G149" s="7" t="s">
        <v>250</v>
      </c>
      <c r="H149" s="4">
        <v>721.21</v>
      </c>
      <c r="I149" s="7" t="s">
        <v>16</v>
      </c>
      <c r="J149" s="7" t="s">
        <v>17</v>
      </c>
      <c r="L149" t="str">
        <f>PROPER(TRIM(SUBSTITUTE(_xlfn.XLOOKUP(B149,Cardholders_Reference!A:A,Cardholders_Reference!B:B),","," ")))</f>
        <v>Precious Khumalo</v>
      </c>
      <c r="M149" s="5">
        <f>_xlfn.XLOOKUP(B149,Cardholders_Reference!A:A,Cardholders_Reference!G:G)</f>
        <v>30000</v>
      </c>
      <c r="N149" s="7" t="str">
        <f>_xlfn.XLOOKUP(B149,Cardholders_Reference!A:A,Cardholders_Reference!D:D)</f>
        <v>Capitec</v>
      </c>
      <c r="O149" s="7" t="str">
        <f>_xlfn.XLOOKUP(B149,Cardholders_Reference!A:A,Cardholders_Reference!E:E)</f>
        <v>Visa</v>
      </c>
      <c r="P149" s="6">
        <f t="shared" si="19"/>
        <v>2.4040333333333334E-2</v>
      </c>
      <c r="Q149">
        <f t="shared" si="14"/>
        <v>0</v>
      </c>
      <c r="R149">
        <f t="shared" si="15"/>
        <v>0</v>
      </c>
      <c r="S149">
        <f>IF(COUNTIFS($B$1:$B$738,B148,$C$1:$C$738,#REF!)&gt;2,1,0)</f>
        <v>0</v>
      </c>
      <c r="T149">
        <f t="shared" si="16"/>
        <v>0</v>
      </c>
      <c r="U149">
        <f t="shared" si="17"/>
        <v>0</v>
      </c>
      <c r="V149">
        <f t="shared" si="18"/>
        <v>0</v>
      </c>
      <c r="W149">
        <f t="shared" si="20"/>
        <v>0</v>
      </c>
      <c r="X149" t="str" cm="1">
        <f t="array" ref="X149">_xlfn.IFS(W149&lt;=1,"Low",W149=2,"Medium",W149&gt;=3,"High")</f>
        <v>Low</v>
      </c>
    </row>
    <row r="150" spans="1:24" x14ac:dyDescent="0.3">
      <c r="A150" t="s">
        <v>378</v>
      </c>
      <c r="B150" t="s">
        <v>372</v>
      </c>
      <c r="C150" s="3">
        <v>46789</v>
      </c>
      <c r="D150" s="8" t="s">
        <v>379</v>
      </c>
      <c r="E150" s="7" t="s">
        <v>35</v>
      </c>
      <c r="F150" s="7" t="s">
        <v>36</v>
      </c>
      <c r="G150" s="7" t="s">
        <v>250</v>
      </c>
      <c r="H150" s="4">
        <v>183.67</v>
      </c>
      <c r="I150" s="7" t="s">
        <v>16</v>
      </c>
      <c r="J150" s="7" t="s">
        <v>41</v>
      </c>
      <c r="L150" t="str">
        <f>PROPER(TRIM(SUBSTITUTE(_xlfn.XLOOKUP(B150,Cardholders_Reference!A:A,Cardholders_Reference!B:B),","," ")))</f>
        <v>Precious Khumalo</v>
      </c>
      <c r="M150" s="5">
        <f>_xlfn.XLOOKUP(B150,Cardholders_Reference!A:A,Cardholders_Reference!G:G)</f>
        <v>30000</v>
      </c>
      <c r="N150" s="7" t="str">
        <f>_xlfn.XLOOKUP(B150,Cardholders_Reference!A:A,Cardholders_Reference!D:D)</f>
        <v>Capitec</v>
      </c>
      <c r="O150" s="7" t="str">
        <f>_xlfn.XLOOKUP(B150,Cardholders_Reference!A:A,Cardholders_Reference!E:E)</f>
        <v>Visa</v>
      </c>
      <c r="P150" s="6">
        <f t="shared" si="19"/>
        <v>6.1223333333333329E-3</v>
      </c>
      <c r="Q150">
        <f t="shared" si="14"/>
        <v>0</v>
      </c>
      <c r="R150">
        <f t="shared" si="15"/>
        <v>0</v>
      </c>
      <c r="S150">
        <f>IF(COUNTIFS($B$1:$B$738,B149,$C$1:$C$738,#REF!)&gt;2,1,0)</f>
        <v>0</v>
      </c>
      <c r="T150">
        <f t="shared" si="16"/>
        <v>0</v>
      </c>
      <c r="U150">
        <f t="shared" si="17"/>
        <v>0</v>
      </c>
      <c r="V150">
        <f t="shared" si="18"/>
        <v>0</v>
      </c>
      <c r="W150">
        <f t="shared" si="20"/>
        <v>0</v>
      </c>
      <c r="X150" t="str" cm="1">
        <f t="array" ref="X150">_xlfn.IFS(W150&lt;=1,"Low",W150=2,"Medium",W150&gt;=3,"High")</f>
        <v>Low</v>
      </c>
    </row>
    <row r="151" spans="1:24" x14ac:dyDescent="0.3">
      <c r="A151" t="s">
        <v>380</v>
      </c>
      <c r="B151" t="s">
        <v>372</v>
      </c>
      <c r="C151" s="3">
        <v>45970</v>
      </c>
      <c r="D151" s="8" t="s">
        <v>381</v>
      </c>
      <c r="E151" s="7" t="s">
        <v>94</v>
      </c>
      <c r="F151" s="7" t="s">
        <v>53</v>
      </c>
      <c r="G151" s="7" t="s">
        <v>250</v>
      </c>
      <c r="H151" s="4">
        <v>1720.59</v>
      </c>
      <c r="I151" s="7" t="s">
        <v>95</v>
      </c>
      <c r="J151" s="7" t="s">
        <v>17</v>
      </c>
      <c r="L151" t="str">
        <f>PROPER(TRIM(SUBSTITUTE(_xlfn.XLOOKUP(B151,Cardholders_Reference!A:A,Cardholders_Reference!B:B),","," ")))</f>
        <v>Precious Khumalo</v>
      </c>
      <c r="M151" s="5">
        <f>_xlfn.XLOOKUP(B151,Cardholders_Reference!A:A,Cardholders_Reference!G:G)</f>
        <v>30000</v>
      </c>
      <c r="N151" s="7" t="str">
        <f>_xlfn.XLOOKUP(B151,Cardholders_Reference!A:A,Cardholders_Reference!D:D)</f>
        <v>Capitec</v>
      </c>
      <c r="O151" s="7" t="str">
        <f>_xlfn.XLOOKUP(B151,Cardholders_Reference!A:A,Cardholders_Reference!E:E)</f>
        <v>Visa</v>
      </c>
      <c r="P151" s="6">
        <f t="shared" si="19"/>
        <v>5.7352999999999994E-2</v>
      </c>
      <c r="Q151">
        <f t="shared" si="14"/>
        <v>0</v>
      </c>
      <c r="R151">
        <f t="shared" si="15"/>
        <v>0</v>
      </c>
      <c r="S151">
        <f>IF(COUNTIFS($B$1:$B$738,B150,$C$1:$C$738,#REF!)&gt;2,1,0)</f>
        <v>0</v>
      </c>
      <c r="T151">
        <f t="shared" si="16"/>
        <v>0</v>
      </c>
      <c r="U151">
        <f t="shared" si="17"/>
        <v>0</v>
      </c>
      <c r="V151">
        <f t="shared" si="18"/>
        <v>1</v>
      </c>
      <c r="W151">
        <f t="shared" si="20"/>
        <v>1</v>
      </c>
      <c r="X151" t="str" cm="1">
        <f t="array" ref="X151">_xlfn.IFS(W151&lt;=1,"Low",W151=2,"Medium",W151&gt;=3,"High")</f>
        <v>Low</v>
      </c>
    </row>
    <row r="152" spans="1:24" x14ac:dyDescent="0.3">
      <c r="A152" t="s">
        <v>382</v>
      </c>
      <c r="B152" t="s">
        <v>372</v>
      </c>
      <c r="C152" s="3">
        <v>46109</v>
      </c>
      <c r="D152" s="8" t="s">
        <v>383</v>
      </c>
      <c r="E152" s="7" t="s">
        <v>156</v>
      </c>
      <c r="F152" s="7" t="s">
        <v>36</v>
      </c>
      <c r="G152" s="7" t="s">
        <v>250</v>
      </c>
      <c r="H152" s="4">
        <v>216.78</v>
      </c>
      <c r="I152" s="7" t="s">
        <v>32</v>
      </c>
      <c r="J152" s="7" t="s">
        <v>17</v>
      </c>
      <c r="L152" t="str">
        <f>PROPER(TRIM(SUBSTITUTE(_xlfn.XLOOKUP(B152,Cardholders_Reference!A:A,Cardholders_Reference!B:B),","," ")))</f>
        <v>Precious Khumalo</v>
      </c>
      <c r="M152" s="5">
        <f>_xlfn.XLOOKUP(B152,Cardholders_Reference!A:A,Cardholders_Reference!G:G)</f>
        <v>30000</v>
      </c>
      <c r="N152" s="7" t="str">
        <f>_xlfn.XLOOKUP(B152,Cardholders_Reference!A:A,Cardholders_Reference!D:D)</f>
        <v>Capitec</v>
      </c>
      <c r="O152" s="7" t="str">
        <f>_xlfn.XLOOKUP(B152,Cardholders_Reference!A:A,Cardholders_Reference!E:E)</f>
        <v>Visa</v>
      </c>
      <c r="P152" s="6">
        <f t="shared" si="19"/>
        <v>7.2259999999999998E-3</v>
      </c>
      <c r="Q152">
        <f t="shared" si="14"/>
        <v>0</v>
      </c>
      <c r="R152">
        <f t="shared" si="15"/>
        <v>0</v>
      </c>
      <c r="S152">
        <f>IF(COUNTIFS($B$1:$B$738,B151,$C$1:$C$738,#REF!)&gt;2,1,0)</f>
        <v>0</v>
      </c>
      <c r="T152">
        <f t="shared" si="16"/>
        <v>0</v>
      </c>
      <c r="U152">
        <f t="shared" si="17"/>
        <v>0</v>
      </c>
      <c r="V152">
        <f t="shared" si="18"/>
        <v>0</v>
      </c>
      <c r="W152">
        <f t="shared" si="20"/>
        <v>0</v>
      </c>
      <c r="X152" t="str" cm="1">
        <f t="array" ref="X152">_xlfn.IFS(W152&lt;=1,"Low",W152=2,"Medium",W152&gt;=3,"High")</f>
        <v>Low</v>
      </c>
    </row>
    <row r="153" spans="1:24" x14ac:dyDescent="0.3">
      <c r="A153" t="s">
        <v>384</v>
      </c>
      <c r="B153" t="s">
        <v>372</v>
      </c>
      <c r="C153" s="3">
        <v>46125</v>
      </c>
      <c r="D153" s="8" t="s">
        <v>385</v>
      </c>
      <c r="E153" s="7" t="s">
        <v>126</v>
      </c>
      <c r="F153" s="7" t="s">
        <v>53</v>
      </c>
      <c r="G153" s="7" t="s">
        <v>250</v>
      </c>
      <c r="H153" s="4">
        <v>324.26</v>
      </c>
      <c r="I153" s="7" t="s">
        <v>95</v>
      </c>
      <c r="J153" s="7" t="s">
        <v>17</v>
      </c>
      <c r="L153" t="str">
        <f>PROPER(TRIM(SUBSTITUTE(_xlfn.XLOOKUP(B153,Cardholders_Reference!A:A,Cardholders_Reference!B:B),","," ")))</f>
        <v>Precious Khumalo</v>
      </c>
      <c r="M153" s="5">
        <f>_xlfn.XLOOKUP(B153,Cardholders_Reference!A:A,Cardholders_Reference!G:G)</f>
        <v>30000</v>
      </c>
      <c r="N153" s="7" t="str">
        <f>_xlfn.XLOOKUP(B153,Cardholders_Reference!A:A,Cardholders_Reference!D:D)</f>
        <v>Capitec</v>
      </c>
      <c r="O153" s="7" t="str">
        <f>_xlfn.XLOOKUP(B153,Cardholders_Reference!A:A,Cardholders_Reference!E:E)</f>
        <v>Visa</v>
      </c>
      <c r="P153" s="6">
        <f t="shared" si="19"/>
        <v>1.0808666666666666E-2</v>
      </c>
      <c r="Q153">
        <f t="shared" si="14"/>
        <v>0</v>
      </c>
      <c r="R153">
        <f t="shared" si="15"/>
        <v>0</v>
      </c>
      <c r="S153">
        <f>IF(COUNTIFS($B$1:$B$738,B152,$C$1:$C$738,#REF!)&gt;2,1,0)</f>
        <v>0</v>
      </c>
      <c r="T153">
        <f t="shared" si="16"/>
        <v>0</v>
      </c>
      <c r="U153">
        <f t="shared" si="17"/>
        <v>0</v>
      </c>
      <c r="V153">
        <f t="shared" si="18"/>
        <v>1</v>
      </c>
      <c r="W153">
        <f t="shared" si="20"/>
        <v>1</v>
      </c>
      <c r="X153" t="str" cm="1">
        <f t="array" ref="X153">_xlfn.IFS(W153&lt;=1,"Low",W153=2,"Medium",W153&gt;=3,"High")</f>
        <v>Low</v>
      </c>
    </row>
    <row r="154" spans="1:24" x14ac:dyDescent="0.3">
      <c r="A154" t="s">
        <v>386</v>
      </c>
      <c r="B154" t="s">
        <v>372</v>
      </c>
      <c r="C154" s="3">
        <v>45665</v>
      </c>
      <c r="D154" s="8" t="s">
        <v>67</v>
      </c>
      <c r="E154" s="7" t="s">
        <v>80</v>
      </c>
      <c r="F154" s="7" t="s">
        <v>81</v>
      </c>
      <c r="G154" s="7" t="s">
        <v>250</v>
      </c>
      <c r="H154" s="4">
        <v>12891.47</v>
      </c>
      <c r="I154" s="7" t="s">
        <v>32</v>
      </c>
      <c r="J154" s="7" t="s">
        <v>17</v>
      </c>
      <c r="L154" t="str">
        <f>PROPER(TRIM(SUBSTITUTE(_xlfn.XLOOKUP(B154,Cardholders_Reference!A:A,Cardholders_Reference!B:B),","," ")))</f>
        <v>Precious Khumalo</v>
      </c>
      <c r="M154" s="5">
        <f>_xlfn.XLOOKUP(B154,Cardholders_Reference!A:A,Cardholders_Reference!G:G)</f>
        <v>30000</v>
      </c>
      <c r="N154" s="7" t="str">
        <f>_xlfn.XLOOKUP(B154,Cardholders_Reference!A:A,Cardholders_Reference!D:D)</f>
        <v>Capitec</v>
      </c>
      <c r="O154" s="7" t="str">
        <f>_xlfn.XLOOKUP(B154,Cardholders_Reference!A:A,Cardholders_Reference!E:E)</f>
        <v>Visa</v>
      </c>
      <c r="P154" s="6">
        <f t="shared" si="19"/>
        <v>0.42971566666666666</v>
      </c>
      <c r="Q154">
        <f t="shared" si="14"/>
        <v>0</v>
      </c>
      <c r="R154">
        <f t="shared" si="15"/>
        <v>0</v>
      </c>
      <c r="S154">
        <f>IF(COUNTIFS($B$1:$B$738,B153,$C$1:$C$738,#REF!)&gt;2,1,0)</f>
        <v>0</v>
      </c>
      <c r="T154">
        <f t="shared" si="16"/>
        <v>0</v>
      </c>
      <c r="U154">
        <f t="shared" si="17"/>
        <v>0</v>
      </c>
      <c r="V154">
        <f t="shared" si="18"/>
        <v>0</v>
      </c>
      <c r="W154">
        <f t="shared" si="20"/>
        <v>0</v>
      </c>
      <c r="X154" t="str" cm="1">
        <f t="array" ref="X154">_xlfn.IFS(W154&lt;=1,"Low",W154=2,"Medium",W154&gt;=3,"High")</f>
        <v>Low</v>
      </c>
    </row>
    <row r="155" spans="1:24" x14ac:dyDescent="0.3">
      <c r="A155" t="s">
        <v>387</v>
      </c>
      <c r="B155" t="s">
        <v>372</v>
      </c>
      <c r="C155" s="3">
        <v>45858</v>
      </c>
      <c r="D155" s="8" t="s">
        <v>388</v>
      </c>
      <c r="E155" s="7" t="s">
        <v>73</v>
      </c>
      <c r="F155" s="7" t="s">
        <v>74</v>
      </c>
      <c r="G155" s="7" t="s">
        <v>250</v>
      </c>
      <c r="H155" s="4">
        <v>581.70000000000005</v>
      </c>
      <c r="I155" s="7" t="s">
        <v>32</v>
      </c>
      <c r="J155" s="7" t="s">
        <v>17</v>
      </c>
      <c r="L155" t="str">
        <f>PROPER(TRIM(SUBSTITUTE(_xlfn.XLOOKUP(B155,Cardholders_Reference!A:A,Cardholders_Reference!B:B),","," ")))</f>
        <v>Precious Khumalo</v>
      </c>
      <c r="M155" s="5">
        <f>_xlfn.XLOOKUP(B155,Cardholders_Reference!A:A,Cardholders_Reference!G:G)</f>
        <v>30000</v>
      </c>
      <c r="N155" s="7" t="str">
        <f>_xlfn.XLOOKUP(B155,Cardholders_Reference!A:A,Cardholders_Reference!D:D)</f>
        <v>Capitec</v>
      </c>
      <c r="O155" s="7" t="str">
        <f>_xlfn.XLOOKUP(B155,Cardholders_Reference!A:A,Cardholders_Reference!E:E)</f>
        <v>Visa</v>
      </c>
      <c r="P155" s="6">
        <f t="shared" si="19"/>
        <v>1.9390000000000001E-2</v>
      </c>
      <c r="Q155">
        <f t="shared" si="14"/>
        <v>0</v>
      </c>
      <c r="R155">
        <f t="shared" si="15"/>
        <v>0</v>
      </c>
      <c r="S155">
        <f>IF(COUNTIFS($B$1:$B$738,B154,$C$1:$C$738,#REF!)&gt;2,1,0)</f>
        <v>0</v>
      </c>
      <c r="T155">
        <f t="shared" si="16"/>
        <v>1</v>
      </c>
      <c r="U155">
        <f t="shared" si="17"/>
        <v>0</v>
      </c>
      <c r="V155">
        <f t="shared" si="18"/>
        <v>0</v>
      </c>
      <c r="W155">
        <f t="shared" si="20"/>
        <v>1</v>
      </c>
      <c r="X155" t="str" cm="1">
        <f t="array" ref="X155">_xlfn.IFS(W155&lt;=1,"Low",W155=2,"Medium",W155&gt;=3,"High")</f>
        <v>Low</v>
      </c>
    </row>
    <row r="156" spans="1:24" x14ac:dyDescent="0.3">
      <c r="A156" t="s">
        <v>389</v>
      </c>
      <c r="B156" t="s">
        <v>372</v>
      </c>
      <c r="C156" s="3">
        <v>45893</v>
      </c>
      <c r="D156" s="8" t="s">
        <v>1439</v>
      </c>
      <c r="E156" s="7" t="s">
        <v>129</v>
      </c>
      <c r="F156" s="7" t="s">
        <v>25</v>
      </c>
      <c r="G156" s="7" t="s">
        <v>250</v>
      </c>
      <c r="H156" s="4">
        <v>785.24</v>
      </c>
      <c r="I156" s="7" t="s">
        <v>26</v>
      </c>
      <c r="J156" s="7" t="s">
        <v>41</v>
      </c>
      <c r="L156" t="str">
        <f>PROPER(TRIM(SUBSTITUTE(_xlfn.XLOOKUP(B156,Cardholders_Reference!A:A,Cardholders_Reference!B:B),","," ")))</f>
        <v>Precious Khumalo</v>
      </c>
      <c r="M156" s="5">
        <f>_xlfn.XLOOKUP(B156,Cardholders_Reference!A:A,Cardholders_Reference!G:G)</f>
        <v>30000</v>
      </c>
      <c r="N156" s="7" t="str">
        <f>_xlfn.XLOOKUP(B156,Cardholders_Reference!A:A,Cardholders_Reference!D:D)</f>
        <v>Capitec</v>
      </c>
      <c r="O156" s="7" t="str">
        <f>_xlfn.XLOOKUP(B156,Cardholders_Reference!A:A,Cardholders_Reference!E:E)</f>
        <v>Visa</v>
      </c>
      <c r="P156" s="6">
        <f t="shared" si="19"/>
        <v>2.6174666666666666E-2</v>
      </c>
      <c r="Q156">
        <f t="shared" si="14"/>
        <v>0</v>
      </c>
      <c r="R156">
        <f t="shared" si="15"/>
        <v>1</v>
      </c>
      <c r="S156">
        <f>IF(COUNTIFS($B$1:$B$738,B155,$C$1:$C$738,#REF!)&gt;2,1,0)</f>
        <v>0</v>
      </c>
      <c r="T156">
        <f t="shared" si="16"/>
        <v>0</v>
      </c>
      <c r="U156">
        <f t="shared" si="17"/>
        <v>0</v>
      </c>
      <c r="V156">
        <f t="shared" si="18"/>
        <v>1</v>
      </c>
      <c r="W156">
        <f t="shared" si="20"/>
        <v>2</v>
      </c>
      <c r="X156" t="str" cm="1">
        <f t="array" ref="X156">_xlfn.IFS(W156&lt;=1,"Low",W156=2,"Medium",W156&gt;=3,"High")</f>
        <v>Medium</v>
      </c>
    </row>
    <row r="157" spans="1:24" x14ac:dyDescent="0.3">
      <c r="A157" t="s">
        <v>390</v>
      </c>
      <c r="B157" t="s">
        <v>372</v>
      </c>
      <c r="C157" s="3">
        <v>45903</v>
      </c>
      <c r="D157" s="8" t="s">
        <v>391</v>
      </c>
      <c r="E157" s="7" t="s">
        <v>377</v>
      </c>
      <c r="F157" s="7" t="s">
        <v>74</v>
      </c>
      <c r="G157" s="7" t="s">
        <v>49</v>
      </c>
      <c r="H157" s="4">
        <v>100.81</v>
      </c>
      <c r="I157" s="7" t="s">
        <v>16</v>
      </c>
      <c r="J157" s="7" t="s">
        <v>17</v>
      </c>
      <c r="L157" t="str">
        <f>PROPER(TRIM(SUBSTITUTE(_xlfn.XLOOKUP(B157,Cardholders_Reference!A:A,Cardholders_Reference!B:B),","," ")))</f>
        <v>Precious Khumalo</v>
      </c>
      <c r="M157" s="5">
        <f>_xlfn.XLOOKUP(B157,Cardholders_Reference!A:A,Cardholders_Reference!G:G)</f>
        <v>30000</v>
      </c>
      <c r="N157" s="7" t="str">
        <f>_xlfn.XLOOKUP(B157,Cardholders_Reference!A:A,Cardholders_Reference!D:D)</f>
        <v>Capitec</v>
      </c>
      <c r="O157" s="7" t="str">
        <f>_xlfn.XLOOKUP(B157,Cardholders_Reference!A:A,Cardholders_Reference!E:E)</f>
        <v>Visa</v>
      </c>
      <c r="P157" s="6">
        <f t="shared" si="19"/>
        <v>3.3603333333333332E-3</v>
      </c>
      <c r="Q157">
        <f t="shared" si="14"/>
        <v>0</v>
      </c>
      <c r="R157">
        <f t="shared" si="15"/>
        <v>0</v>
      </c>
      <c r="S157">
        <f>IF(COUNTIFS($B$1:$B$738,B156,$C$1:$C$738,#REF!)&gt;2,1,0)</f>
        <v>0</v>
      </c>
      <c r="T157">
        <f t="shared" si="16"/>
        <v>0</v>
      </c>
      <c r="U157">
        <f t="shared" si="17"/>
        <v>0</v>
      </c>
      <c r="V157">
        <f t="shared" si="18"/>
        <v>0</v>
      </c>
      <c r="W157">
        <f t="shared" si="20"/>
        <v>0</v>
      </c>
      <c r="X157" t="str" cm="1">
        <f t="array" ref="X157">_xlfn.IFS(W157&lt;=1,"Low",W157=2,"Medium",W157&gt;=3,"High")</f>
        <v>Low</v>
      </c>
    </row>
    <row r="158" spans="1:24" x14ac:dyDescent="0.3">
      <c r="A158" t="s">
        <v>392</v>
      </c>
      <c r="B158" t="s">
        <v>372</v>
      </c>
      <c r="C158" s="3">
        <v>46367</v>
      </c>
      <c r="D158" s="8" t="s">
        <v>393</v>
      </c>
      <c r="E158" s="7" t="s">
        <v>121</v>
      </c>
      <c r="F158" s="7" t="s">
        <v>36</v>
      </c>
      <c r="G158" s="7" t="s">
        <v>250</v>
      </c>
      <c r="H158" s="4">
        <v>312.33</v>
      </c>
      <c r="I158" s="7" t="s">
        <v>95</v>
      </c>
      <c r="J158" s="7" t="s">
        <v>17</v>
      </c>
      <c r="L158" t="str">
        <f>PROPER(TRIM(SUBSTITUTE(_xlfn.XLOOKUP(B158,Cardholders_Reference!A:A,Cardholders_Reference!B:B),","," ")))</f>
        <v>Precious Khumalo</v>
      </c>
      <c r="M158" s="5">
        <f>_xlfn.XLOOKUP(B158,Cardholders_Reference!A:A,Cardholders_Reference!G:G)</f>
        <v>30000</v>
      </c>
      <c r="N158" s="7" t="str">
        <f>_xlfn.XLOOKUP(B158,Cardholders_Reference!A:A,Cardholders_Reference!D:D)</f>
        <v>Capitec</v>
      </c>
      <c r="O158" s="7" t="str">
        <f>_xlfn.XLOOKUP(B158,Cardholders_Reference!A:A,Cardholders_Reference!E:E)</f>
        <v>Visa</v>
      </c>
      <c r="P158" s="6">
        <f t="shared" si="19"/>
        <v>1.0411E-2</v>
      </c>
      <c r="Q158">
        <f t="shared" si="14"/>
        <v>1</v>
      </c>
      <c r="R158">
        <f t="shared" si="15"/>
        <v>0</v>
      </c>
      <c r="S158">
        <f>IF(COUNTIFS($B$1:$B$738,B157,$C$1:$C$738,#REF!)&gt;2,1,0)</f>
        <v>0</v>
      </c>
      <c r="T158">
        <f t="shared" si="16"/>
        <v>0</v>
      </c>
      <c r="U158">
        <f t="shared" si="17"/>
        <v>0</v>
      </c>
      <c r="V158">
        <f t="shared" si="18"/>
        <v>1</v>
      </c>
      <c r="W158">
        <f t="shared" si="20"/>
        <v>2</v>
      </c>
      <c r="X158" t="str" cm="1">
        <f t="array" ref="X158">_xlfn.IFS(W158&lt;=1,"Low",W158=2,"Medium",W158&gt;=3,"High")</f>
        <v>Medium</v>
      </c>
    </row>
    <row r="159" spans="1:24" x14ac:dyDescent="0.3">
      <c r="A159" t="s">
        <v>394</v>
      </c>
      <c r="B159" t="s">
        <v>395</v>
      </c>
      <c r="C159" s="3">
        <v>45666</v>
      </c>
      <c r="D159" s="8" t="s">
        <v>333</v>
      </c>
      <c r="E159" s="7" t="s">
        <v>137</v>
      </c>
      <c r="F159" s="7" t="s">
        <v>40</v>
      </c>
      <c r="G159" s="7" t="s">
        <v>22</v>
      </c>
      <c r="H159" s="4">
        <v>384.63</v>
      </c>
      <c r="I159" s="7" t="s">
        <v>32</v>
      </c>
      <c r="J159" s="7" t="s">
        <v>17</v>
      </c>
      <c r="L159" t="str">
        <f>PROPER(TRIM(SUBSTITUTE(_xlfn.XLOOKUP(B159,Cardholders_Reference!A:A,Cardholders_Reference!B:B),","," ")))</f>
        <v>Mariam Khumalo</v>
      </c>
      <c r="M159" s="5">
        <f>_xlfn.XLOOKUP(B159,Cardholders_Reference!A:A,Cardholders_Reference!G:G)</f>
        <v>25000</v>
      </c>
      <c r="N159" s="7" t="str">
        <f>_xlfn.XLOOKUP(B159,Cardholders_Reference!A:A,Cardholders_Reference!D:D)</f>
        <v>Capitec</v>
      </c>
      <c r="O159" s="7" t="str">
        <f>_xlfn.XLOOKUP(B159,Cardholders_Reference!A:A,Cardholders_Reference!E:E)</f>
        <v>Visa</v>
      </c>
      <c r="P159" s="6">
        <f t="shared" si="19"/>
        <v>1.53852E-2</v>
      </c>
      <c r="Q159">
        <f t="shared" si="14"/>
        <v>0</v>
      </c>
      <c r="R159">
        <f t="shared" si="15"/>
        <v>0</v>
      </c>
      <c r="S159">
        <f>IF(COUNTIFS($B$1:$B$738,B158,$C$1:$C$738,#REF!)&gt;2,1,0)</f>
        <v>0</v>
      </c>
      <c r="T159">
        <f t="shared" si="16"/>
        <v>0</v>
      </c>
      <c r="U159">
        <f t="shared" si="17"/>
        <v>0</v>
      </c>
      <c r="V159">
        <f t="shared" si="18"/>
        <v>0</v>
      </c>
      <c r="W159">
        <f t="shared" si="20"/>
        <v>0</v>
      </c>
      <c r="X159" t="str" cm="1">
        <f t="array" ref="X159">_xlfn.IFS(W159&lt;=1,"Low",W159=2,"Medium",W159&gt;=3,"High")</f>
        <v>Low</v>
      </c>
    </row>
    <row r="160" spans="1:24" x14ac:dyDescent="0.3">
      <c r="A160" t="s">
        <v>396</v>
      </c>
      <c r="B160" t="s">
        <v>395</v>
      </c>
      <c r="C160" s="3">
        <v>45767</v>
      </c>
      <c r="D160" s="8" t="s">
        <v>397</v>
      </c>
      <c r="E160" s="7" t="s">
        <v>57</v>
      </c>
      <c r="F160" s="7" t="s">
        <v>36</v>
      </c>
      <c r="G160" s="7" t="s">
        <v>22</v>
      </c>
      <c r="H160" s="4">
        <v>623.48</v>
      </c>
      <c r="I160" s="7" t="s">
        <v>26</v>
      </c>
      <c r="J160" s="7" t="s">
        <v>17</v>
      </c>
      <c r="L160" t="str">
        <f>PROPER(TRIM(SUBSTITUTE(_xlfn.XLOOKUP(B160,Cardholders_Reference!A:A,Cardholders_Reference!B:B),","," ")))</f>
        <v>Mariam Khumalo</v>
      </c>
      <c r="M160" s="5">
        <f>_xlfn.XLOOKUP(B160,Cardholders_Reference!A:A,Cardholders_Reference!G:G)</f>
        <v>25000</v>
      </c>
      <c r="N160" s="7" t="str">
        <f>_xlfn.XLOOKUP(B160,Cardholders_Reference!A:A,Cardholders_Reference!D:D)</f>
        <v>Capitec</v>
      </c>
      <c r="O160" s="7" t="str">
        <f>_xlfn.XLOOKUP(B160,Cardholders_Reference!A:A,Cardholders_Reference!E:E)</f>
        <v>Visa</v>
      </c>
      <c r="P160" s="6">
        <f t="shared" si="19"/>
        <v>2.4939200000000002E-2</v>
      </c>
      <c r="Q160">
        <f t="shared" si="14"/>
        <v>0</v>
      </c>
      <c r="R160">
        <f t="shared" si="15"/>
        <v>0</v>
      </c>
      <c r="S160">
        <f>IF(COUNTIFS($B$1:$B$738,B159,$C$1:$C$738,#REF!)&gt;2,1,0)</f>
        <v>0</v>
      </c>
      <c r="T160">
        <f t="shared" si="16"/>
        <v>0</v>
      </c>
      <c r="U160">
        <f t="shared" si="17"/>
        <v>0</v>
      </c>
      <c r="V160">
        <f t="shared" si="18"/>
        <v>1</v>
      </c>
      <c r="W160">
        <f t="shared" si="20"/>
        <v>1</v>
      </c>
      <c r="X160" t="str" cm="1">
        <f t="array" ref="X160">_xlfn.IFS(W160&lt;=1,"Low",W160=2,"Medium",W160&gt;=3,"High")</f>
        <v>Low</v>
      </c>
    </row>
    <row r="161" spans="1:24" x14ac:dyDescent="0.3">
      <c r="A161" t="s">
        <v>398</v>
      </c>
      <c r="B161" t="s">
        <v>395</v>
      </c>
      <c r="C161" s="3">
        <v>46018</v>
      </c>
      <c r="D161" s="8" t="s">
        <v>399</v>
      </c>
      <c r="E161" s="7" t="s">
        <v>245</v>
      </c>
      <c r="F161" s="7" t="s">
        <v>48</v>
      </c>
      <c r="G161" s="7" t="s">
        <v>22</v>
      </c>
      <c r="H161" s="4">
        <v>1202.98</v>
      </c>
      <c r="I161" s="7" t="s">
        <v>26</v>
      </c>
      <c r="J161" s="7" t="s">
        <v>17</v>
      </c>
      <c r="L161" t="str">
        <f>PROPER(TRIM(SUBSTITUTE(_xlfn.XLOOKUP(B161,Cardholders_Reference!A:A,Cardholders_Reference!B:B),","," ")))</f>
        <v>Mariam Khumalo</v>
      </c>
      <c r="M161" s="5">
        <f>_xlfn.XLOOKUP(B161,Cardholders_Reference!A:A,Cardholders_Reference!G:G)</f>
        <v>25000</v>
      </c>
      <c r="N161" s="7" t="str">
        <f>_xlfn.XLOOKUP(B161,Cardholders_Reference!A:A,Cardholders_Reference!D:D)</f>
        <v>Capitec</v>
      </c>
      <c r="O161" s="7" t="str">
        <f>_xlfn.XLOOKUP(B161,Cardholders_Reference!A:A,Cardholders_Reference!E:E)</f>
        <v>Visa</v>
      </c>
      <c r="P161" s="6">
        <f t="shared" si="19"/>
        <v>4.8119200000000001E-2</v>
      </c>
      <c r="Q161">
        <f t="shared" si="14"/>
        <v>0</v>
      </c>
      <c r="R161">
        <f t="shared" si="15"/>
        <v>0</v>
      </c>
      <c r="S161">
        <f>IF(COUNTIFS($B$1:$B$738,B160,$C$1:$C$738,#REF!)&gt;2,1,0)</f>
        <v>0</v>
      </c>
      <c r="T161">
        <f t="shared" si="16"/>
        <v>0</v>
      </c>
      <c r="U161">
        <f t="shared" si="17"/>
        <v>0</v>
      </c>
      <c r="V161">
        <f t="shared" si="18"/>
        <v>1</v>
      </c>
      <c r="W161">
        <f t="shared" si="20"/>
        <v>1</v>
      </c>
      <c r="X161" t="str" cm="1">
        <f t="array" ref="X161">_xlfn.IFS(W161&lt;=1,"Low",W161=2,"Medium",W161&gt;=3,"High")</f>
        <v>Low</v>
      </c>
    </row>
    <row r="162" spans="1:24" x14ac:dyDescent="0.3">
      <c r="A162" t="s">
        <v>400</v>
      </c>
      <c r="B162" t="s">
        <v>395</v>
      </c>
      <c r="C162" s="3">
        <v>45876</v>
      </c>
      <c r="D162" s="8" t="s">
        <v>401</v>
      </c>
      <c r="E162" s="7" t="s">
        <v>94</v>
      </c>
      <c r="F162" s="7" t="s">
        <v>53</v>
      </c>
      <c r="G162" s="7" t="s">
        <v>22</v>
      </c>
      <c r="H162" s="4">
        <v>1369.34</v>
      </c>
      <c r="I162" s="7" t="s">
        <v>26</v>
      </c>
      <c r="J162" s="7" t="s">
        <v>17</v>
      </c>
      <c r="L162" t="str">
        <f>PROPER(TRIM(SUBSTITUTE(_xlfn.XLOOKUP(B162,Cardholders_Reference!A:A,Cardholders_Reference!B:B),","," ")))</f>
        <v>Mariam Khumalo</v>
      </c>
      <c r="M162" s="5">
        <f>_xlfn.XLOOKUP(B162,Cardholders_Reference!A:A,Cardholders_Reference!G:G)</f>
        <v>25000</v>
      </c>
      <c r="N162" s="7" t="str">
        <f>_xlfn.XLOOKUP(B162,Cardholders_Reference!A:A,Cardholders_Reference!D:D)</f>
        <v>Capitec</v>
      </c>
      <c r="O162" s="7" t="str">
        <f>_xlfn.XLOOKUP(B162,Cardholders_Reference!A:A,Cardholders_Reference!E:E)</f>
        <v>Visa</v>
      </c>
      <c r="P162" s="6">
        <f t="shared" si="19"/>
        <v>5.4773599999999999E-2</v>
      </c>
      <c r="Q162">
        <f t="shared" si="14"/>
        <v>0</v>
      </c>
      <c r="R162">
        <f t="shared" si="15"/>
        <v>0</v>
      </c>
      <c r="S162">
        <f>IF(COUNTIFS($B$1:$B$738,B161,$C$1:$C$738,#REF!)&gt;2,1,0)</f>
        <v>0</v>
      </c>
      <c r="T162">
        <f t="shared" si="16"/>
        <v>0</v>
      </c>
      <c r="U162">
        <f t="shared" si="17"/>
        <v>0</v>
      </c>
      <c r="V162">
        <f t="shared" si="18"/>
        <v>1</v>
      </c>
      <c r="W162">
        <f t="shared" si="20"/>
        <v>1</v>
      </c>
      <c r="X162" t="str" cm="1">
        <f t="array" ref="X162">_xlfn.IFS(W162&lt;=1,"Low",W162=2,"Medium",W162&gt;=3,"High")</f>
        <v>Low</v>
      </c>
    </row>
    <row r="163" spans="1:24" x14ac:dyDescent="0.3">
      <c r="A163" t="s">
        <v>402</v>
      </c>
      <c r="B163" t="s">
        <v>395</v>
      </c>
      <c r="C163" s="3">
        <v>45958</v>
      </c>
      <c r="D163" s="8" t="s">
        <v>1439</v>
      </c>
      <c r="E163" s="7" t="s">
        <v>20</v>
      </c>
      <c r="F163" s="7" t="s">
        <v>21</v>
      </c>
      <c r="G163" s="7" t="s">
        <v>22</v>
      </c>
      <c r="H163" s="4">
        <v>2472.3000000000002</v>
      </c>
      <c r="I163" s="7" t="s">
        <v>95</v>
      </c>
      <c r="J163" s="7" t="s">
        <v>17</v>
      </c>
      <c r="L163" t="str">
        <f>PROPER(TRIM(SUBSTITUTE(_xlfn.XLOOKUP(B163,Cardholders_Reference!A:A,Cardholders_Reference!B:B),","," ")))</f>
        <v>Mariam Khumalo</v>
      </c>
      <c r="M163" s="5">
        <f>_xlfn.XLOOKUP(B163,Cardholders_Reference!A:A,Cardholders_Reference!G:G)</f>
        <v>25000</v>
      </c>
      <c r="N163" s="7" t="str">
        <f>_xlfn.XLOOKUP(B163,Cardholders_Reference!A:A,Cardholders_Reference!D:D)</f>
        <v>Capitec</v>
      </c>
      <c r="O163" s="7" t="str">
        <f>_xlfn.XLOOKUP(B163,Cardholders_Reference!A:A,Cardholders_Reference!E:E)</f>
        <v>Visa</v>
      </c>
      <c r="P163" s="6">
        <f t="shared" si="19"/>
        <v>9.8892000000000008E-2</v>
      </c>
      <c r="Q163">
        <f t="shared" si="14"/>
        <v>0</v>
      </c>
      <c r="R163">
        <f t="shared" si="15"/>
        <v>1</v>
      </c>
      <c r="S163">
        <f>IF(COUNTIFS($B$1:$B$738,B162,$C$1:$C$738,#REF!)&gt;2,1,0)</f>
        <v>0</v>
      </c>
      <c r="T163">
        <f t="shared" si="16"/>
        <v>0</v>
      </c>
      <c r="U163">
        <f t="shared" si="17"/>
        <v>0</v>
      </c>
      <c r="V163">
        <f t="shared" si="18"/>
        <v>1</v>
      </c>
      <c r="W163">
        <f t="shared" si="20"/>
        <v>2</v>
      </c>
      <c r="X163" t="str" cm="1">
        <f t="array" ref="X163">_xlfn.IFS(W163&lt;=1,"Low",W163=2,"Medium",W163&gt;=3,"High")</f>
        <v>Medium</v>
      </c>
    </row>
    <row r="164" spans="1:24" x14ac:dyDescent="0.3">
      <c r="A164" t="s">
        <v>403</v>
      </c>
      <c r="B164" t="s">
        <v>395</v>
      </c>
      <c r="C164" s="3">
        <v>45950</v>
      </c>
      <c r="D164" s="8" t="s">
        <v>404</v>
      </c>
      <c r="E164" s="7" t="s">
        <v>57</v>
      </c>
      <c r="F164" s="7" t="s">
        <v>36</v>
      </c>
      <c r="G164" s="7" t="s">
        <v>22</v>
      </c>
      <c r="H164" s="4">
        <v>449.03</v>
      </c>
      <c r="I164" s="7" t="s">
        <v>26</v>
      </c>
      <c r="J164" s="7" t="s">
        <v>17</v>
      </c>
      <c r="L164" t="str">
        <f>PROPER(TRIM(SUBSTITUTE(_xlfn.XLOOKUP(B164,Cardholders_Reference!A:A,Cardholders_Reference!B:B),","," ")))</f>
        <v>Mariam Khumalo</v>
      </c>
      <c r="M164" s="5">
        <f>_xlfn.XLOOKUP(B164,Cardholders_Reference!A:A,Cardholders_Reference!G:G)</f>
        <v>25000</v>
      </c>
      <c r="N164" s="7" t="str">
        <f>_xlfn.XLOOKUP(B164,Cardholders_Reference!A:A,Cardholders_Reference!D:D)</f>
        <v>Capitec</v>
      </c>
      <c r="O164" s="7" t="str">
        <f>_xlfn.XLOOKUP(B164,Cardholders_Reference!A:A,Cardholders_Reference!E:E)</f>
        <v>Visa</v>
      </c>
      <c r="P164" s="6">
        <f t="shared" si="19"/>
        <v>1.79612E-2</v>
      </c>
      <c r="Q164">
        <f t="shared" si="14"/>
        <v>0</v>
      </c>
      <c r="R164">
        <f t="shared" si="15"/>
        <v>0</v>
      </c>
      <c r="S164">
        <f>IF(COUNTIFS($B$1:$B$738,B163,$C$1:$C$738,#REF!)&gt;2,1,0)</f>
        <v>0</v>
      </c>
      <c r="T164">
        <f t="shared" si="16"/>
        <v>0</v>
      </c>
      <c r="U164">
        <f t="shared" si="17"/>
        <v>1</v>
      </c>
      <c r="V164">
        <f t="shared" si="18"/>
        <v>1</v>
      </c>
      <c r="W164">
        <f t="shared" si="20"/>
        <v>2</v>
      </c>
      <c r="X164" t="str" cm="1">
        <f t="array" ref="X164">_xlfn.IFS(W164&lt;=1,"Low",W164=2,"Medium",W164&gt;=3,"High")</f>
        <v>Medium</v>
      </c>
    </row>
    <row r="165" spans="1:24" x14ac:dyDescent="0.3">
      <c r="A165" t="s">
        <v>405</v>
      </c>
      <c r="B165" t="s">
        <v>395</v>
      </c>
      <c r="C165" s="3">
        <v>45824</v>
      </c>
      <c r="D165" s="8" t="s">
        <v>406</v>
      </c>
      <c r="E165" s="7" t="s">
        <v>245</v>
      </c>
      <c r="F165" s="7" t="s">
        <v>48</v>
      </c>
      <c r="G165" s="7" t="s">
        <v>22</v>
      </c>
      <c r="H165" s="4">
        <v>1938.17</v>
      </c>
      <c r="I165" s="7" t="s">
        <v>95</v>
      </c>
      <c r="J165" s="7" t="s">
        <v>17</v>
      </c>
      <c r="L165" t="str">
        <f>PROPER(TRIM(SUBSTITUTE(_xlfn.XLOOKUP(B165,Cardholders_Reference!A:A,Cardholders_Reference!B:B),","," ")))</f>
        <v>Mariam Khumalo</v>
      </c>
      <c r="M165" s="5">
        <f>_xlfn.XLOOKUP(B165,Cardholders_Reference!A:A,Cardholders_Reference!G:G)</f>
        <v>25000</v>
      </c>
      <c r="N165" s="7" t="str">
        <f>_xlfn.XLOOKUP(B165,Cardholders_Reference!A:A,Cardholders_Reference!D:D)</f>
        <v>Capitec</v>
      </c>
      <c r="O165" s="7" t="str">
        <f>_xlfn.XLOOKUP(B165,Cardholders_Reference!A:A,Cardholders_Reference!E:E)</f>
        <v>Visa</v>
      </c>
      <c r="P165" s="6">
        <f t="shared" si="19"/>
        <v>7.7526800000000007E-2</v>
      </c>
      <c r="Q165">
        <f t="shared" si="14"/>
        <v>0</v>
      </c>
      <c r="R165">
        <f t="shared" si="15"/>
        <v>0</v>
      </c>
      <c r="S165">
        <f>IF(COUNTIFS($B$1:$B$738,B164,$C$1:$C$738,#REF!)&gt;2,1,0)</f>
        <v>0</v>
      </c>
      <c r="T165">
        <f t="shared" si="16"/>
        <v>0</v>
      </c>
      <c r="U165">
        <f t="shared" si="17"/>
        <v>0</v>
      </c>
      <c r="V165">
        <f t="shared" si="18"/>
        <v>1</v>
      </c>
      <c r="W165">
        <f t="shared" si="20"/>
        <v>1</v>
      </c>
      <c r="X165" t="str" cm="1">
        <f t="array" ref="X165">_xlfn.IFS(W165&lt;=1,"Low",W165=2,"Medium",W165&gt;=3,"High")</f>
        <v>Low</v>
      </c>
    </row>
    <row r="166" spans="1:24" x14ac:dyDescent="0.3">
      <c r="A166" t="s">
        <v>407</v>
      </c>
      <c r="B166" t="s">
        <v>395</v>
      </c>
      <c r="C166" s="3">
        <v>45741</v>
      </c>
      <c r="D166" s="8" t="s">
        <v>408</v>
      </c>
      <c r="E166" s="7" t="s">
        <v>242</v>
      </c>
      <c r="F166" s="7" t="s">
        <v>15</v>
      </c>
      <c r="G166" s="7" t="s">
        <v>22</v>
      </c>
      <c r="H166" s="4">
        <v>2780.45</v>
      </c>
      <c r="I166" s="7" t="s">
        <v>32</v>
      </c>
      <c r="J166" s="7" t="s">
        <v>17</v>
      </c>
      <c r="L166" t="str">
        <f>PROPER(TRIM(SUBSTITUTE(_xlfn.XLOOKUP(B166,Cardholders_Reference!A:A,Cardholders_Reference!B:B),","," ")))</f>
        <v>Mariam Khumalo</v>
      </c>
      <c r="M166" s="5">
        <f>_xlfn.XLOOKUP(B166,Cardholders_Reference!A:A,Cardholders_Reference!G:G)</f>
        <v>25000</v>
      </c>
      <c r="N166" s="7" t="str">
        <f>_xlfn.XLOOKUP(B166,Cardholders_Reference!A:A,Cardholders_Reference!D:D)</f>
        <v>Capitec</v>
      </c>
      <c r="O166" s="7" t="str">
        <f>_xlfn.XLOOKUP(B166,Cardholders_Reference!A:A,Cardholders_Reference!E:E)</f>
        <v>Visa</v>
      </c>
      <c r="P166" s="6">
        <f t="shared" si="19"/>
        <v>0.111218</v>
      </c>
      <c r="Q166">
        <f t="shared" si="14"/>
        <v>0</v>
      </c>
      <c r="R166">
        <f t="shared" si="15"/>
        <v>0</v>
      </c>
      <c r="S166">
        <f>IF(COUNTIFS($B$1:$B$738,B165,$C$1:$C$738,#REF!)&gt;2,1,0)</f>
        <v>0</v>
      </c>
      <c r="T166">
        <f t="shared" si="16"/>
        <v>0</v>
      </c>
      <c r="U166">
        <f t="shared" si="17"/>
        <v>0</v>
      </c>
      <c r="V166">
        <f t="shared" si="18"/>
        <v>0</v>
      </c>
      <c r="W166">
        <f t="shared" si="20"/>
        <v>0</v>
      </c>
      <c r="X166" t="str" cm="1">
        <f t="array" ref="X166">_xlfn.IFS(W166&lt;=1,"Low",W166=2,"Medium",W166&gt;=3,"High")</f>
        <v>Low</v>
      </c>
    </row>
    <row r="167" spans="1:24" x14ac:dyDescent="0.3">
      <c r="A167" t="s">
        <v>409</v>
      </c>
      <c r="B167" t="s">
        <v>395</v>
      </c>
      <c r="C167" s="3">
        <v>46271</v>
      </c>
      <c r="D167" s="8" t="s">
        <v>410</v>
      </c>
      <c r="E167" s="7" t="s">
        <v>129</v>
      </c>
      <c r="F167" s="7" t="s">
        <v>25</v>
      </c>
      <c r="G167" s="7" t="s">
        <v>22</v>
      </c>
      <c r="H167" s="4">
        <v>498.94</v>
      </c>
      <c r="I167" s="7" t="s">
        <v>16</v>
      </c>
      <c r="J167" s="7" t="s">
        <v>17</v>
      </c>
      <c r="L167" t="str">
        <f>PROPER(TRIM(SUBSTITUTE(_xlfn.XLOOKUP(B167,Cardholders_Reference!A:A,Cardholders_Reference!B:B),","," ")))</f>
        <v>Mariam Khumalo</v>
      </c>
      <c r="M167" s="5">
        <f>_xlfn.XLOOKUP(B167,Cardholders_Reference!A:A,Cardholders_Reference!G:G)</f>
        <v>25000</v>
      </c>
      <c r="N167" s="7" t="str">
        <f>_xlfn.XLOOKUP(B167,Cardholders_Reference!A:A,Cardholders_Reference!D:D)</f>
        <v>Capitec</v>
      </c>
      <c r="O167" s="7" t="str">
        <f>_xlfn.XLOOKUP(B167,Cardholders_Reference!A:A,Cardholders_Reference!E:E)</f>
        <v>Visa</v>
      </c>
      <c r="P167" s="6">
        <f t="shared" si="19"/>
        <v>1.9957599999999999E-2</v>
      </c>
      <c r="Q167">
        <f t="shared" si="14"/>
        <v>0</v>
      </c>
      <c r="R167">
        <f t="shared" si="15"/>
        <v>0</v>
      </c>
      <c r="S167">
        <f>IF(COUNTIFS($B$1:$B$738,B166,$C$1:$C$738,#REF!)&gt;2,1,0)</f>
        <v>0</v>
      </c>
      <c r="T167">
        <f t="shared" si="16"/>
        <v>0</v>
      </c>
      <c r="U167">
        <f t="shared" si="17"/>
        <v>0</v>
      </c>
      <c r="V167">
        <f t="shared" si="18"/>
        <v>0</v>
      </c>
      <c r="W167">
        <f t="shared" si="20"/>
        <v>0</v>
      </c>
      <c r="X167" t="str" cm="1">
        <f t="array" ref="X167">_xlfn.IFS(W167&lt;=1,"Low",W167=2,"Medium",W167&gt;=3,"High")</f>
        <v>Low</v>
      </c>
    </row>
    <row r="168" spans="1:24" x14ac:dyDescent="0.3">
      <c r="A168" t="s">
        <v>411</v>
      </c>
      <c r="B168" t="s">
        <v>395</v>
      </c>
      <c r="C168" s="3">
        <v>45666</v>
      </c>
      <c r="D168" s="8" t="s">
        <v>412</v>
      </c>
      <c r="E168" s="7" t="s">
        <v>14</v>
      </c>
      <c r="F168" s="7" t="s">
        <v>15</v>
      </c>
      <c r="G168" s="7" t="s">
        <v>22</v>
      </c>
      <c r="H168" s="4">
        <v>898.65</v>
      </c>
      <c r="I168" s="7" t="s">
        <v>16</v>
      </c>
      <c r="J168" s="7" t="s">
        <v>17</v>
      </c>
      <c r="L168" t="str">
        <f>PROPER(TRIM(SUBSTITUTE(_xlfn.XLOOKUP(B168,Cardholders_Reference!A:A,Cardholders_Reference!B:B),","," ")))</f>
        <v>Mariam Khumalo</v>
      </c>
      <c r="M168" s="5">
        <f>_xlfn.XLOOKUP(B168,Cardholders_Reference!A:A,Cardholders_Reference!G:G)</f>
        <v>25000</v>
      </c>
      <c r="N168" s="7" t="str">
        <f>_xlfn.XLOOKUP(B168,Cardholders_Reference!A:A,Cardholders_Reference!D:D)</f>
        <v>Capitec</v>
      </c>
      <c r="O168" s="7" t="str">
        <f>_xlfn.XLOOKUP(B168,Cardholders_Reference!A:A,Cardholders_Reference!E:E)</f>
        <v>Visa</v>
      </c>
      <c r="P168" s="6">
        <f t="shared" si="19"/>
        <v>3.5945999999999999E-2</v>
      </c>
      <c r="Q168">
        <f t="shared" si="14"/>
        <v>0</v>
      </c>
      <c r="R168">
        <f t="shared" si="15"/>
        <v>0</v>
      </c>
      <c r="S168">
        <f>IF(COUNTIFS($B$1:$B$738,B167,$C$1:$C$738,#REF!)&gt;2,1,0)</f>
        <v>0</v>
      </c>
      <c r="T168">
        <f t="shared" si="16"/>
        <v>0</v>
      </c>
      <c r="U168">
        <f t="shared" si="17"/>
        <v>0</v>
      </c>
      <c r="V168">
        <f t="shared" si="18"/>
        <v>0</v>
      </c>
      <c r="W168">
        <f t="shared" si="20"/>
        <v>0</v>
      </c>
      <c r="X168" t="str" cm="1">
        <f t="array" ref="X168">_xlfn.IFS(W168&lt;=1,"Low",W168=2,"Medium",W168&gt;=3,"High")</f>
        <v>Low</v>
      </c>
    </row>
    <row r="169" spans="1:24" x14ac:dyDescent="0.3">
      <c r="A169" t="s">
        <v>413</v>
      </c>
      <c r="B169" t="s">
        <v>395</v>
      </c>
      <c r="C169" s="3">
        <v>46104</v>
      </c>
      <c r="D169" s="8" t="s">
        <v>414</v>
      </c>
      <c r="E169" s="7" t="s">
        <v>308</v>
      </c>
      <c r="F169" s="7" t="s">
        <v>91</v>
      </c>
      <c r="G169" s="7" t="s">
        <v>22</v>
      </c>
      <c r="H169" s="4">
        <v>1693.07</v>
      </c>
      <c r="I169" s="7" t="s">
        <v>95</v>
      </c>
      <c r="J169" s="7" t="s">
        <v>17</v>
      </c>
      <c r="L169" t="str">
        <f>PROPER(TRIM(SUBSTITUTE(_xlfn.XLOOKUP(B169,Cardholders_Reference!A:A,Cardholders_Reference!B:B),","," ")))</f>
        <v>Mariam Khumalo</v>
      </c>
      <c r="M169" s="5">
        <f>_xlfn.XLOOKUP(B169,Cardholders_Reference!A:A,Cardholders_Reference!G:G)</f>
        <v>25000</v>
      </c>
      <c r="N169" s="7" t="str">
        <f>_xlfn.XLOOKUP(B169,Cardholders_Reference!A:A,Cardholders_Reference!D:D)</f>
        <v>Capitec</v>
      </c>
      <c r="O169" s="7" t="str">
        <f>_xlfn.XLOOKUP(B169,Cardholders_Reference!A:A,Cardholders_Reference!E:E)</f>
        <v>Visa</v>
      </c>
      <c r="P169" s="6">
        <f t="shared" si="19"/>
        <v>6.77228E-2</v>
      </c>
      <c r="Q169">
        <f t="shared" si="14"/>
        <v>0</v>
      </c>
      <c r="R169">
        <f t="shared" si="15"/>
        <v>0</v>
      </c>
      <c r="S169">
        <f>IF(COUNTIFS($B$1:$B$738,B168,$C$1:$C$738,#REF!)&gt;2,1,0)</f>
        <v>0</v>
      </c>
      <c r="T169">
        <f t="shared" si="16"/>
        <v>0</v>
      </c>
      <c r="U169">
        <f t="shared" si="17"/>
        <v>0</v>
      </c>
      <c r="V169">
        <f t="shared" si="18"/>
        <v>1</v>
      </c>
      <c r="W169">
        <f t="shared" si="20"/>
        <v>1</v>
      </c>
      <c r="X169" t="str" cm="1">
        <f t="array" ref="X169">_xlfn.IFS(W169&lt;=1,"Low",W169=2,"Medium",W169&gt;=3,"High")</f>
        <v>Low</v>
      </c>
    </row>
    <row r="170" spans="1:24" x14ac:dyDescent="0.3">
      <c r="A170" t="s">
        <v>415</v>
      </c>
      <c r="B170" t="s">
        <v>395</v>
      </c>
      <c r="C170" s="3">
        <v>45708</v>
      </c>
      <c r="D170" s="8" t="s">
        <v>416</v>
      </c>
      <c r="E170" s="7" t="s">
        <v>121</v>
      </c>
      <c r="F170" s="7" t="s">
        <v>36</v>
      </c>
      <c r="G170" s="7" t="s">
        <v>22</v>
      </c>
      <c r="H170" s="4">
        <v>343.81</v>
      </c>
      <c r="I170" s="7" t="s">
        <v>26</v>
      </c>
      <c r="J170" s="7" t="s">
        <v>17</v>
      </c>
      <c r="L170" t="str">
        <f>PROPER(TRIM(SUBSTITUTE(_xlfn.XLOOKUP(B170,Cardholders_Reference!A:A,Cardholders_Reference!B:B),","," ")))</f>
        <v>Mariam Khumalo</v>
      </c>
      <c r="M170" s="5">
        <f>_xlfn.XLOOKUP(B170,Cardholders_Reference!A:A,Cardholders_Reference!G:G)</f>
        <v>25000</v>
      </c>
      <c r="N170" s="7" t="str">
        <f>_xlfn.XLOOKUP(B170,Cardholders_Reference!A:A,Cardholders_Reference!D:D)</f>
        <v>Capitec</v>
      </c>
      <c r="O170" s="7" t="str">
        <f>_xlfn.XLOOKUP(B170,Cardholders_Reference!A:A,Cardholders_Reference!E:E)</f>
        <v>Visa</v>
      </c>
      <c r="P170" s="6">
        <f t="shared" si="19"/>
        <v>1.37524E-2</v>
      </c>
      <c r="Q170">
        <f t="shared" si="14"/>
        <v>0</v>
      </c>
      <c r="R170">
        <f t="shared" si="15"/>
        <v>0</v>
      </c>
      <c r="S170">
        <f>IF(COUNTIFS($B$1:$B$738,B169,$C$1:$C$738,#REF!)&gt;2,1,0)</f>
        <v>0</v>
      </c>
      <c r="T170">
        <f t="shared" si="16"/>
        <v>0</v>
      </c>
      <c r="U170">
        <f t="shared" si="17"/>
        <v>0</v>
      </c>
      <c r="V170">
        <f t="shared" si="18"/>
        <v>1</v>
      </c>
      <c r="W170">
        <f t="shared" si="20"/>
        <v>1</v>
      </c>
      <c r="X170" t="str" cm="1">
        <f t="array" ref="X170">_xlfn.IFS(W170&lt;=1,"Low",W170=2,"Medium",W170&gt;=3,"High")</f>
        <v>Low</v>
      </c>
    </row>
    <row r="171" spans="1:24" x14ac:dyDescent="0.3">
      <c r="A171" t="s">
        <v>417</v>
      </c>
      <c r="B171" t="s">
        <v>395</v>
      </c>
      <c r="C171" s="3">
        <v>45841</v>
      </c>
      <c r="D171" s="8" t="s">
        <v>418</v>
      </c>
      <c r="E171" s="7" t="s">
        <v>121</v>
      </c>
      <c r="F171" s="7" t="s">
        <v>36</v>
      </c>
      <c r="G171" s="7" t="s">
        <v>22</v>
      </c>
      <c r="H171" s="4">
        <v>396.99</v>
      </c>
      <c r="I171" s="7" t="s">
        <v>16</v>
      </c>
      <c r="J171" s="7" t="s">
        <v>17</v>
      </c>
      <c r="L171" t="str">
        <f>PROPER(TRIM(SUBSTITUTE(_xlfn.XLOOKUP(B171,Cardholders_Reference!A:A,Cardholders_Reference!B:B),","," ")))</f>
        <v>Mariam Khumalo</v>
      </c>
      <c r="M171" s="5">
        <f>_xlfn.XLOOKUP(B171,Cardholders_Reference!A:A,Cardholders_Reference!G:G)</f>
        <v>25000</v>
      </c>
      <c r="N171" s="7" t="str">
        <f>_xlfn.XLOOKUP(B171,Cardholders_Reference!A:A,Cardholders_Reference!D:D)</f>
        <v>Capitec</v>
      </c>
      <c r="O171" s="7" t="str">
        <f>_xlfn.XLOOKUP(B171,Cardholders_Reference!A:A,Cardholders_Reference!E:E)</f>
        <v>Visa</v>
      </c>
      <c r="P171" s="6">
        <f t="shared" si="19"/>
        <v>1.5879600000000001E-2</v>
      </c>
      <c r="Q171">
        <f t="shared" si="14"/>
        <v>0</v>
      </c>
      <c r="R171">
        <f t="shared" si="15"/>
        <v>0</v>
      </c>
      <c r="S171">
        <f>IF(COUNTIFS($B$1:$B$738,B170,$C$1:$C$738,#REF!)&gt;2,1,0)</f>
        <v>0</v>
      </c>
      <c r="T171">
        <f t="shared" si="16"/>
        <v>0</v>
      </c>
      <c r="U171">
        <f t="shared" si="17"/>
        <v>0</v>
      </c>
      <c r="V171">
        <f t="shared" si="18"/>
        <v>0</v>
      </c>
      <c r="W171">
        <f t="shared" si="20"/>
        <v>0</v>
      </c>
      <c r="X171" t="str" cm="1">
        <f t="array" ref="X171">_xlfn.IFS(W171&lt;=1,"Low",W171=2,"Medium",W171&gt;=3,"High")</f>
        <v>Low</v>
      </c>
    </row>
    <row r="172" spans="1:24" x14ac:dyDescent="0.3">
      <c r="A172" t="s">
        <v>419</v>
      </c>
      <c r="B172" t="s">
        <v>395</v>
      </c>
      <c r="C172" s="3">
        <v>46478</v>
      </c>
      <c r="D172" s="8" t="s">
        <v>420</v>
      </c>
      <c r="E172" s="7" t="s">
        <v>215</v>
      </c>
      <c r="F172" s="7" t="s">
        <v>15</v>
      </c>
      <c r="G172" s="7" t="s">
        <v>22</v>
      </c>
      <c r="H172" s="4">
        <v>2743.59</v>
      </c>
      <c r="I172" s="7" t="s">
        <v>16</v>
      </c>
      <c r="J172" s="7" t="s">
        <v>41</v>
      </c>
      <c r="L172" t="str">
        <f>PROPER(TRIM(SUBSTITUTE(_xlfn.XLOOKUP(B172,Cardholders_Reference!A:A,Cardholders_Reference!B:B),","," ")))</f>
        <v>Mariam Khumalo</v>
      </c>
      <c r="M172" s="5">
        <f>_xlfn.XLOOKUP(B172,Cardholders_Reference!A:A,Cardholders_Reference!G:G)</f>
        <v>25000</v>
      </c>
      <c r="N172" s="7" t="str">
        <f>_xlfn.XLOOKUP(B172,Cardholders_Reference!A:A,Cardholders_Reference!D:D)</f>
        <v>Capitec</v>
      </c>
      <c r="O172" s="7" t="str">
        <f>_xlfn.XLOOKUP(B172,Cardholders_Reference!A:A,Cardholders_Reference!E:E)</f>
        <v>Visa</v>
      </c>
      <c r="P172" s="6">
        <f t="shared" si="19"/>
        <v>0.10974360000000001</v>
      </c>
      <c r="Q172">
        <f t="shared" si="14"/>
        <v>0</v>
      </c>
      <c r="R172">
        <f t="shared" si="15"/>
        <v>0</v>
      </c>
      <c r="S172">
        <f>IF(COUNTIFS($B$1:$B$738,B171,$C$1:$C$738,#REF!)&gt;2,1,0)</f>
        <v>0</v>
      </c>
      <c r="T172">
        <f t="shared" si="16"/>
        <v>0</v>
      </c>
      <c r="U172">
        <f t="shared" si="17"/>
        <v>0</v>
      </c>
      <c r="V172">
        <f t="shared" si="18"/>
        <v>0</v>
      </c>
      <c r="W172">
        <f t="shared" si="20"/>
        <v>0</v>
      </c>
      <c r="X172" t="str" cm="1">
        <f t="array" ref="X172">_xlfn.IFS(W172&lt;=1,"Low",W172=2,"Medium",W172&gt;=3,"High")</f>
        <v>Low</v>
      </c>
    </row>
    <row r="173" spans="1:24" x14ac:dyDescent="0.3">
      <c r="A173" t="s">
        <v>421</v>
      </c>
      <c r="B173" t="s">
        <v>395</v>
      </c>
      <c r="C173" s="3">
        <v>46119</v>
      </c>
      <c r="D173" s="8" t="s">
        <v>422</v>
      </c>
      <c r="E173" s="7" t="s">
        <v>121</v>
      </c>
      <c r="F173" s="7" t="s">
        <v>36</v>
      </c>
      <c r="G173" s="7" t="s">
        <v>264</v>
      </c>
      <c r="H173" s="4">
        <v>90.17</v>
      </c>
      <c r="I173" s="7" t="s">
        <v>95</v>
      </c>
      <c r="J173" s="7" t="s">
        <v>17</v>
      </c>
      <c r="L173" t="str">
        <f>PROPER(TRIM(SUBSTITUTE(_xlfn.XLOOKUP(B173,Cardholders_Reference!A:A,Cardholders_Reference!B:B),","," ")))</f>
        <v>Mariam Khumalo</v>
      </c>
      <c r="M173" s="5">
        <f>_xlfn.XLOOKUP(B173,Cardholders_Reference!A:A,Cardholders_Reference!G:G)</f>
        <v>25000</v>
      </c>
      <c r="N173" s="7" t="str">
        <f>_xlfn.XLOOKUP(B173,Cardholders_Reference!A:A,Cardholders_Reference!D:D)</f>
        <v>Capitec</v>
      </c>
      <c r="O173" s="7" t="str">
        <f>_xlfn.XLOOKUP(B173,Cardholders_Reference!A:A,Cardholders_Reference!E:E)</f>
        <v>Visa</v>
      </c>
      <c r="P173" s="6">
        <f t="shared" si="19"/>
        <v>3.6068000000000003E-3</v>
      </c>
      <c r="Q173">
        <f t="shared" si="14"/>
        <v>0</v>
      </c>
      <c r="R173">
        <f t="shared" si="15"/>
        <v>0</v>
      </c>
      <c r="S173">
        <f>IF(COUNTIFS($B$1:$B$738,B172,$C$1:$C$738,#REF!)&gt;2,1,0)</f>
        <v>0</v>
      </c>
      <c r="T173">
        <f t="shared" si="16"/>
        <v>0</v>
      </c>
      <c r="U173">
        <f t="shared" si="17"/>
        <v>0</v>
      </c>
      <c r="V173">
        <f t="shared" si="18"/>
        <v>1</v>
      </c>
      <c r="W173">
        <f t="shared" si="20"/>
        <v>1</v>
      </c>
      <c r="X173" t="str" cm="1">
        <f t="array" ref="X173">_xlfn.IFS(W173&lt;=1,"Low",W173=2,"Medium",W173&gt;=3,"High")</f>
        <v>Low</v>
      </c>
    </row>
    <row r="174" spans="1:24" x14ac:dyDescent="0.3">
      <c r="A174" t="s">
        <v>423</v>
      </c>
      <c r="B174" t="s">
        <v>395</v>
      </c>
      <c r="C174" s="3">
        <v>46190</v>
      </c>
      <c r="D174" s="8" t="s">
        <v>1439</v>
      </c>
      <c r="E174" s="7" t="s">
        <v>24</v>
      </c>
      <c r="F174" s="7" t="s">
        <v>25</v>
      </c>
      <c r="G174" s="7" t="s">
        <v>22</v>
      </c>
      <c r="H174" s="4">
        <v>501.41</v>
      </c>
      <c r="I174" s="7" t="s">
        <v>95</v>
      </c>
      <c r="J174" s="7" t="s">
        <v>17</v>
      </c>
      <c r="L174" t="str">
        <f>PROPER(TRIM(SUBSTITUTE(_xlfn.XLOOKUP(B174,Cardholders_Reference!A:A,Cardholders_Reference!B:B),","," ")))</f>
        <v>Mariam Khumalo</v>
      </c>
      <c r="M174" s="5">
        <f>_xlfn.XLOOKUP(B174,Cardholders_Reference!A:A,Cardholders_Reference!G:G)</f>
        <v>25000</v>
      </c>
      <c r="N174" s="7" t="str">
        <f>_xlfn.XLOOKUP(B174,Cardholders_Reference!A:A,Cardholders_Reference!D:D)</f>
        <v>Capitec</v>
      </c>
      <c r="O174" s="7" t="str">
        <f>_xlfn.XLOOKUP(B174,Cardholders_Reference!A:A,Cardholders_Reference!E:E)</f>
        <v>Visa</v>
      </c>
      <c r="P174" s="6">
        <f t="shared" si="19"/>
        <v>2.0056400000000002E-2</v>
      </c>
      <c r="Q174">
        <f t="shared" si="14"/>
        <v>1</v>
      </c>
      <c r="R174">
        <f t="shared" si="15"/>
        <v>1</v>
      </c>
      <c r="S174">
        <f>IF(COUNTIFS($B$1:$B$738,B173,$C$1:$C$738,#REF!)&gt;2,1,0)</f>
        <v>0</v>
      </c>
      <c r="T174">
        <f t="shared" si="16"/>
        <v>0</v>
      </c>
      <c r="U174">
        <f t="shared" si="17"/>
        <v>0</v>
      </c>
      <c r="V174">
        <f t="shared" si="18"/>
        <v>1</v>
      </c>
      <c r="W174">
        <f t="shared" si="20"/>
        <v>3</v>
      </c>
      <c r="X174" t="str" cm="1">
        <f t="array" ref="X174">_xlfn.IFS(W174&lt;=1,"Low",W174=2,"Medium",W174&gt;=3,"High")</f>
        <v>High</v>
      </c>
    </row>
    <row r="175" spans="1:24" x14ac:dyDescent="0.3">
      <c r="A175" t="s">
        <v>424</v>
      </c>
      <c r="B175" t="s">
        <v>425</v>
      </c>
      <c r="C175" s="3">
        <v>45681</v>
      </c>
      <c r="D175" s="8" t="s">
        <v>426</v>
      </c>
      <c r="E175" s="7" t="s">
        <v>121</v>
      </c>
      <c r="F175" s="7" t="s">
        <v>36</v>
      </c>
      <c r="G175" s="7" t="s">
        <v>49</v>
      </c>
      <c r="H175" s="4">
        <v>262.16000000000003</v>
      </c>
      <c r="I175" s="7" t="s">
        <v>16</v>
      </c>
      <c r="J175" s="7" t="s">
        <v>41</v>
      </c>
      <c r="L175" t="str">
        <f>PROPER(TRIM(SUBSTITUTE(_xlfn.XLOOKUP(B175,Cardholders_Reference!A:A,Cardholders_Reference!B:B),","," ")))</f>
        <v>Adams Aisha</v>
      </c>
      <c r="M175" s="5">
        <f>_xlfn.XLOOKUP(B175,Cardholders_Reference!A:A,Cardholders_Reference!G:G)</f>
        <v>30000</v>
      </c>
      <c r="N175" s="7" t="str">
        <f>_xlfn.XLOOKUP(B175,Cardholders_Reference!A:A,Cardholders_Reference!D:D)</f>
        <v>ABSA</v>
      </c>
      <c r="O175" s="7" t="str">
        <f>_xlfn.XLOOKUP(B175,Cardholders_Reference!A:A,Cardholders_Reference!E:E)</f>
        <v>Visa</v>
      </c>
      <c r="P175" s="6">
        <f t="shared" si="19"/>
        <v>8.7386666666666672E-3</v>
      </c>
      <c r="Q175">
        <f t="shared" si="14"/>
        <v>0</v>
      </c>
      <c r="R175">
        <f t="shared" si="15"/>
        <v>0</v>
      </c>
      <c r="S175">
        <f>IF(COUNTIFS($B$1:$B$738,B174,$C$1:$C$738,#REF!)&gt;2,1,0)</f>
        <v>0</v>
      </c>
      <c r="T175">
        <f t="shared" si="16"/>
        <v>0</v>
      </c>
      <c r="U175">
        <f t="shared" si="17"/>
        <v>0</v>
      </c>
      <c r="V175">
        <f t="shared" si="18"/>
        <v>0</v>
      </c>
      <c r="W175">
        <f t="shared" si="20"/>
        <v>0</v>
      </c>
      <c r="X175" t="str" cm="1">
        <f t="array" ref="X175">_xlfn.IFS(W175&lt;=1,"Low",W175=2,"Medium",W175&gt;=3,"High")</f>
        <v>Low</v>
      </c>
    </row>
    <row r="176" spans="1:24" x14ac:dyDescent="0.3">
      <c r="A176" t="s">
        <v>427</v>
      </c>
      <c r="B176" t="s">
        <v>425</v>
      </c>
      <c r="C176" s="3">
        <v>46813</v>
      </c>
      <c r="D176" s="8" t="s">
        <v>274</v>
      </c>
      <c r="E176" s="7" t="s">
        <v>245</v>
      </c>
      <c r="F176" s="7" t="s">
        <v>48</v>
      </c>
      <c r="G176" s="7" t="s">
        <v>49</v>
      </c>
      <c r="H176" s="4">
        <v>641.86</v>
      </c>
      <c r="I176" s="7" t="s">
        <v>26</v>
      </c>
      <c r="J176" s="7" t="s">
        <v>17</v>
      </c>
      <c r="L176" t="str">
        <f>PROPER(TRIM(SUBSTITUTE(_xlfn.XLOOKUP(B176,Cardholders_Reference!A:A,Cardholders_Reference!B:B),","," ")))</f>
        <v>Adams Aisha</v>
      </c>
      <c r="M176" s="5">
        <f>_xlfn.XLOOKUP(B176,Cardholders_Reference!A:A,Cardholders_Reference!G:G)</f>
        <v>30000</v>
      </c>
      <c r="N176" s="7" t="str">
        <f>_xlfn.XLOOKUP(B176,Cardholders_Reference!A:A,Cardholders_Reference!D:D)</f>
        <v>ABSA</v>
      </c>
      <c r="O176" s="7" t="str">
        <f>_xlfn.XLOOKUP(B176,Cardholders_Reference!A:A,Cardholders_Reference!E:E)</f>
        <v>Visa</v>
      </c>
      <c r="P176" s="6">
        <f t="shared" si="19"/>
        <v>2.1395333333333332E-2</v>
      </c>
      <c r="Q176">
        <f t="shared" si="14"/>
        <v>0</v>
      </c>
      <c r="R176">
        <f t="shared" si="15"/>
        <v>0</v>
      </c>
      <c r="S176">
        <f>IF(COUNTIFS($B$1:$B$738,B175,$C$1:$C$738,#REF!)&gt;2,1,0)</f>
        <v>0</v>
      </c>
      <c r="T176">
        <f t="shared" si="16"/>
        <v>0</v>
      </c>
      <c r="U176">
        <f t="shared" si="17"/>
        <v>0</v>
      </c>
      <c r="V176">
        <f t="shared" si="18"/>
        <v>1</v>
      </c>
      <c r="W176">
        <f t="shared" si="20"/>
        <v>1</v>
      </c>
      <c r="X176" t="str" cm="1">
        <f t="array" ref="X176">_xlfn.IFS(W176&lt;=1,"Low",W176=2,"Medium",W176&gt;=3,"High")</f>
        <v>Low</v>
      </c>
    </row>
    <row r="177" spans="1:24" x14ac:dyDescent="0.3">
      <c r="A177" t="s">
        <v>428</v>
      </c>
      <c r="B177" t="s">
        <v>425</v>
      </c>
      <c r="C177" s="3">
        <v>45882</v>
      </c>
      <c r="D177" s="8" t="s">
        <v>1439</v>
      </c>
      <c r="E177" s="7" t="s">
        <v>73</v>
      </c>
      <c r="F177" s="7" t="s">
        <v>74</v>
      </c>
      <c r="G177" s="7" t="s">
        <v>264</v>
      </c>
      <c r="H177" s="4">
        <v>583.67999999999995</v>
      </c>
      <c r="I177" s="7" t="s">
        <v>32</v>
      </c>
      <c r="J177" s="7" t="s">
        <v>17</v>
      </c>
      <c r="L177" t="str">
        <f>PROPER(TRIM(SUBSTITUTE(_xlfn.XLOOKUP(B177,Cardholders_Reference!A:A,Cardholders_Reference!B:B),","," ")))</f>
        <v>Adams Aisha</v>
      </c>
      <c r="M177" s="5">
        <f>_xlfn.XLOOKUP(B177,Cardholders_Reference!A:A,Cardholders_Reference!G:G)</f>
        <v>30000</v>
      </c>
      <c r="N177" s="7" t="str">
        <f>_xlfn.XLOOKUP(B177,Cardholders_Reference!A:A,Cardholders_Reference!D:D)</f>
        <v>ABSA</v>
      </c>
      <c r="O177" s="7" t="str">
        <f>_xlfn.XLOOKUP(B177,Cardholders_Reference!A:A,Cardholders_Reference!E:E)</f>
        <v>Visa</v>
      </c>
      <c r="P177" s="6">
        <f t="shared" si="19"/>
        <v>1.9455999999999998E-2</v>
      </c>
      <c r="Q177">
        <f t="shared" si="14"/>
        <v>0</v>
      </c>
      <c r="R177">
        <f t="shared" si="15"/>
        <v>1</v>
      </c>
      <c r="S177">
        <f>IF(COUNTIFS($B$1:$B$738,B176,$C$1:$C$738,#REF!)&gt;2,1,0)</f>
        <v>0</v>
      </c>
      <c r="T177">
        <f t="shared" si="16"/>
        <v>0</v>
      </c>
      <c r="U177">
        <f t="shared" si="17"/>
        <v>0</v>
      </c>
      <c r="V177">
        <f t="shared" si="18"/>
        <v>0</v>
      </c>
      <c r="W177">
        <f t="shared" si="20"/>
        <v>1</v>
      </c>
      <c r="X177" t="str" cm="1">
        <f t="array" ref="X177">_xlfn.IFS(W177&lt;=1,"Low",W177=2,"Medium",W177&gt;=3,"High")</f>
        <v>Low</v>
      </c>
    </row>
    <row r="178" spans="1:24" x14ac:dyDescent="0.3">
      <c r="A178" t="s">
        <v>429</v>
      </c>
      <c r="B178" t="s">
        <v>425</v>
      </c>
      <c r="C178" s="3">
        <v>46146</v>
      </c>
      <c r="D178" s="8" t="s">
        <v>430</v>
      </c>
      <c r="E178" s="7" t="s">
        <v>97</v>
      </c>
      <c r="F178" s="7" t="s">
        <v>53</v>
      </c>
      <c r="G178" s="7" t="s">
        <v>250</v>
      </c>
      <c r="H178" s="4">
        <v>694.54</v>
      </c>
      <c r="I178" s="7" t="s">
        <v>95</v>
      </c>
      <c r="J178" s="7" t="s">
        <v>41</v>
      </c>
      <c r="L178" t="str">
        <f>PROPER(TRIM(SUBSTITUTE(_xlfn.XLOOKUP(B178,Cardholders_Reference!A:A,Cardholders_Reference!B:B),","," ")))</f>
        <v>Adams Aisha</v>
      </c>
      <c r="M178" s="5">
        <f>_xlfn.XLOOKUP(B178,Cardholders_Reference!A:A,Cardholders_Reference!G:G)</f>
        <v>30000</v>
      </c>
      <c r="N178" s="7" t="str">
        <f>_xlfn.XLOOKUP(B178,Cardholders_Reference!A:A,Cardholders_Reference!D:D)</f>
        <v>ABSA</v>
      </c>
      <c r="O178" s="7" t="str">
        <f>_xlfn.XLOOKUP(B178,Cardholders_Reference!A:A,Cardholders_Reference!E:E)</f>
        <v>Visa</v>
      </c>
      <c r="P178" s="6">
        <f t="shared" si="19"/>
        <v>2.3151333333333333E-2</v>
      </c>
      <c r="Q178">
        <f t="shared" si="14"/>
        <v>1</v>
      </c>
      <c r="R178">
        <f t="shared" si="15"/>
        <v>0</v>
      </c>
      <c r="S178">
        <f>IF(COUNTIFS($B$1:$B$738,B177,$C$1:$C$738,#REF!)&gt;2,1,0)</f>
        <v>0</v>
      </c>
      <c r="T178">
        <f t="shared" si="16"/>
        <v>0</v>
      </c>
      <c r="U178">
        <f t="shared" si="17"/>
        <v>0</v>
      </c>
      <c r="V178">
        <f t="shared" si="18"/>
        <v>1</v>
      </c>
      <c r="W178">
        <f t="shared" si="20"/>
        <v>2</v>
      </c>
      <c r="X178" t="str" cm="1">
        <f t="array" ref="X178">_xlfn.IFS(W178&lt;=1,"Low",W178=2,"Medium",W178&gt;=3,"High")</f>
        <v>Medium</v>
      </c>
    </row>
    <row r="179" spans="1:24" x14ac:dyDescent="0.3">
      <c r="A179" t="s">
        <v>431</v>
      </c>
      <c r="B179" t="s">
        <v>425</v>
      </c>
      <c r="C179" s="3">
        <v>46089</v>
      </c>
      <c r="D179" s="8" t="s">
        <v>432</v>
      </c>
      <c r="E179" s="7" t="s">
        <v>111</v>
      </c>
      <c r="F179" s="7" t="s">
        <v>48</v>
      </c>
      <c r="G179" s="7" t="s">
        <v>49</v>
      </c>
      <c r="H179" s="4">
        <v>416.55</v>
      </c>
      <c r="I179" s="7" t="s">
        <v>32</v>
      </c>
      <c r="J179" s="7" t="s">
        <v>17</v>
      </c>
      <c r="L179" t="str">
        <f>PROPER(TRIM(SUBSTITUTE(_xlfn.XLOOKUP(B179,Cardholders_Reference!A:A,Cardholders_Reference!B:B),","," ")))</f>
        <v>Adams Aisha</v>
      </c>
      <c r="M179" s="5">
        <f>_xlfn.XLOOKUP(B179,Cardholders_Reference!A:A,Cardholders_Reference!G:G)</f>
        <v>30000</v>
      </c>
      <c r="N179" s="7" t="str">
        <f>_xlfn.XLOOKUP(B179,Cardholders_Reference!A:A,Cardholders_Reference!D:D)</f>
        <v>ABSA</v>
      </c>
      <c r="O179" s="7" t="str">
        <f>_xlfn.XLOOKUP(B179,Cardholders_Reference!A:A,Cardholders_Reference!E:E)</f>
        <v>Visa</v>
      </c>
      <c r="P179" s="6">
        <f t="shared" si="19"/>
        <v>1.3885E-2</v>
      </c>
      <c r="Q179">
        <f t="shared" si="14"/>
        <v>1</v>
      </c>
      <c r="R179">
        <f t="shared" si="15"/>
        <v>0</v>
      </c>
      <c r="S179">
        <f>IF(COUNTIFS($B$1:$B$738,B178,$C$1:$C$738,#REF!)&gt;2,1,0)</f>
        <v>0</v>
      </c>
      <c r="T179">
        <f t="shared" si="16"/>
        <v>0</v>
      </c>
      <c r="U179">
        <f t="shared" si="17"/>
        <v>0</v>
      </c>
      <c r="V179">
        <f t="shared" si="18"/>
        <v>0</v>
      </c>
      <c r="W179">
        <f t="shared" si="20"/>
        <v>1</v>
      </c>
      <c r="X179" t="str" cm="1">
        <f t="array" ref="X179">_xlfn.IFS(W179&lt;=1,"Low",W179=2,"Medium",W179&gt;=3,"High")</f>
        <v>Low</v>
      </c>
    </row>
    <row r="180" spans="1:24" x14ac:dyDescent="0.3">
      <c r="A180" t="s">
        <v>433</v>
      </c>
      <c r="B180" t="s">
        <v>425</v>
      </c>
      <c r="C180" s="3">
        <v>46368</v>
      </c>
      <c r="D180" s="8" t="s">
        <v>434</v>
      </c>
      <c r="E180" s="7" t="s">
        <v>170</v>
      </c>
      <c r="F180" s="7" t="s">
        <v>91</v>
      </c>
      <c r="G180" s="7" t="s">
        <v>49</v>
      </c>
      <c r="H180" s="4">
        <v>3162.78</v>
      </c>
      <c r="I180" s="7" t="s">
        <v>95</v>
      </c>
      <c r="J180" s="7" t="s">
        <v>17</v>
      </c>
      <c r="L180" t="str">
        <f>PROPER(TRIM(SUBSTITUTE(_xlfn.XLOOKUP(B180,Cardholders_Reference!A:A,Cardholders_Reference!B:B),","," ")))</f>
        <v>Adams Aisha</v>
      </c>
      <c r="M180" s="5">
        <f>_xlfn.XLOOKUP(B180,Cardholders_Reference!A:A,Cardholders_Reference!G:G)</f>
        <v>30000</v>
      </c>
      <c r="N180" s="7" t="str">
        <f>_xlfn.XLOOKUP(B180,Cardholders_Reference!A:A,Cardholders_Reference!D:D)</f>
        <v>ABSA</v>
      </c>
      <c r="O180" s="7" t="str">
        <f>_xlfn.XLOOKUP(B180,Cardholders_Reference!A:A,Cardholders_Reference!E:E)</f>
        <v>Visa</v>
      </c>
      <c r="P180" s="6">
        <f t="shared" si="19"/>
        <v>0.10542600000000001</v>
      </c>
      <c r="Q180">
        <f t="shared" si="14"/>
        <v>0</v>
      </c>
      <c r="R180">
        <f t="shared" si="15"/>
        <v>0</v>
      </c>
      <c r="S180">
        <f>IF(COUNTIFS($B$1:$B$738,B179,$C$1:$C$738,#REF!)&gt;2,1,0)</f>
        <v>0</v>
      </c>
      <c r="T180">
        <f t="shared" si="16"/>
        <v>0</v>
      </c>
      <c r="U180">
        <f t="shared" si="17"/>
        <v>0</v>
      </c>
      <c r="V180">
        <f t="shared" si="18"/>
        <v>1</v>
      </c>
      <c r="W180">
        <f t="shared" si="20"/>
        <v>1</v>
      </c>
      <c r="X180" t="str" cm="1">
        <f t="array" ref="X180">_xlfn.IFS(W180&lt;=1,"Low",W180=2,"Medium",W180&gt;=3,"High")</f>
        <v>Low</v>
      </c>
    </row>
    <row r="181" spans="1:24" x14ac:dyDescent="0.3">
      <c r="A181" t="s">
        <v>435</v>
      </c>
      <c r="B181" t="s">
        <v>425</v>
      </c>
      <c r="C181" s="3">
        <v>46205</v>
      </c>
      <c r="D181" s="8" t="s">
        <v>436</v>
      </c>
      <c r="E181" s="7" t="s">
        <v>14</v>
      </c>
      <c r="F181" s="7" t="s">
        <v>15</v>
      </c>
      <c r="G181" s="7" t="s">
        <v>49</v>
      </c>
      <c r="H181" s="4">
        <v>1062.3800000000001</v>
      </c>
      <c r="I181" s="7" t="s">
        <v>95</v>
      </c>
      <c r="J181" s="7" t="s">
        <v>17</v>
      </c>
      <c r="L181" t="str">
        <f>PROPER(TRIM(SUBSTITUTE(_xlfn.XLOOKUP(B181,Cardholders_Reference!A:A,Cardholders_Reference!B:B),","," ")))</f>
        <v>Adams Aisha</v>
      </c>
      <c r="M181" s="5">
        <f>_xlfn.XLOOKUP(B181,Cardholders_Reference!A:A,Cardholders_Reference!G:G)</f>
        <v>30000</v>
      </c>
      <c r="N181" s="7" t="str">
        <f>_xlfn.XLOOKUP(B181,Cardholders_Reference!A:A,Cardholders_Reference!D:D)</f>
        <v>ABSA</v>
      </c>
      <c r="O181" s="7" t="str">
        <f>_xlfn.XLOOKUP(B181,Cardholders_Reference!A:A,Cardholders_Reference!E:E)</f>
        <v>Visa</v>
      </c>
      <c r="P181" s="6">
        <f t="shared" si="19"/>
        <v>3.5412666666666669E-2</v>
      </c>
      <c r="Q181">
        <f t="shared" si="14"/>
        <v>0</v>
      </c>
      <c r="R181">
        <f t="shared" si="15"/>
        <v>0</v>
      </c>
      <c r="S181">
        <f>IF(COUNTIFS($B$1:$B$738,B180,$C$1:$C$738,#REF!)&gt;2,1,0)</f>
        <v>0</v>
      </c>
      <c r="T181">
        <f t="shared" si="16"/>
        <v>0</v>
      </c>
      <c r="U181">
        <f t="shared" si="17"/>
        <v>0</v>
      </c>
      <c r="V181">
        <f t="shared" si="18"/>
        <v>1</v>
      </c>
      <c r="W181">
        <f t="shared" si="20"/>
        <v>1</v>
      </c>
      <c r="X181" t="str" cm="1">
        <f t="array" ref="X181">_xlfn.IFS(W181&lt;=1,"Low",W181=2,"Medium",W181&gt;=3,"High")</f>
        <v>Low</v>
      </c>
    </row>
    <row r="182" spans="1:24" x14ac:dyDescent="0.3">
      <c r="A182" t="s">
        <v>437</v>
      </c>
      <c r="B182" t="s">
        <v>425</v>
      </c>
      <c r="C182" s="3">
        <v>46041</v>
      </c>
      <c r="D182" s="8" t="s">
        <v>438</v>
      </c>
      <c r="E182" s="7" t="s">
        <v>97</v>
      </c>
      <c r="F182" s="7" t="s">
        <v>53</v>
      </c>
      <c r="G182" s="7" t="s">
        <v>49</v>
      </c>
      <c r="H182" s="4">
        <v>469.07</v>
      </c>
      <c r="I182" s="7" t="s">
        <v>26</v>
      </c>
      <c r="J182" s="7" t="s">
        <v>17</v>
      </c>
      <c r="L182" t="str">
        <f>PROPER(TRIM(SUBSTITUTE(_xlfn.XLOOKUP(B182,Cardholders_Reference!A:A,Cardholders_Reference!B:B),","," ")))</f>
        <v>Adams Aisha</v>
      </c>
      <c r="M182" s="5">
        <f>_xlfn.XLOOKUP(B182,Cardholders_Reference!A:A,Cardholders_Reference!G:G)</f>
        <v>30000</v>
      </c>
      <c r="N182" s="7" t="str">
        <f>_xlfn.XLOOKUP(B182,Cardholders_Reference!A:A,Cardholders_Reference!D:D)</f>
        <v>ABSA</v>
      </c>
      <c r="O182" s="7" t="str">
        <f>_xlfn.XLOOKUP(B182,Cardholders_Reference!A:A,Cardholders_Reference!E:E)</f>
        <v>Visa</v>
      </c>
      <c r="P182" s="6">
        <f t="shared" si="19"/>
        <v>1.5635666666666666E-2</v>
      </c>
      <c r="Q182">
        <f t="shared" si="14"/>
        <v>0</v>
      </c>
      <c r="R182">
        <f t="shared" si="15"/>
        <v>0</v>
      </c>
      <c r="S182">
        <f>IF(COUNTIFS($B$1:$B$738,B181,$C$1:$C$738,#REF!)&gt;2,1,0)</f>
        <v>0</v>
      </c>
      <c r="T182">
        <f t="shared" si="16"/>
        <v>0</v>
      </c>
      <c r="U182">
        <f t="shared" si="17"/>
        <v>0</v>
      </c>
      <c r="V182">
        <f t="shared" si="18"/>
        <v>1</v>
      </c>
      <c r="W182">
        <f t="shared" si="20"/>
        <v>1</v>
      </c>
      <c r="X182" t="str" cm="1">
        <f t="array" ref="X182">_xlfn.IFS(W182&lt;=1,"Low",W182=2,"Medium",W182&gt;=3,"High")</f>
        <v>Low</v>
      </c>
    </row>
    <row r="183" spans="1:24" x14ac:dyDescent="0.3">
      <c r="A183" t="s">
        <v>439</v>
      </c>
      <c r="B183" t="s">
        <v>425</v>
      </c>
      <c r="C183" s="3">
        <v>46301</v>
      </c>
      <c r="D183" s="8" t="s">
        <v>440</v>
      </c>
      <c r="E183" s="7" t="s">
        <v>242</v>
      </c>
      <c r="F183" s="7" t="s">
        <v>15</v>
      </c>
      <c r="G183" s="7" t="s">
        <v>177</v>
      </c>
      <c r="H183" s="4">
        <v>1334.37</v>
      </c>
      <c r="I183" s="7" t="s">
        <v>26</v>
      </c>
      <c r="J183" s="7" t="s">
        <v>17</v>
      </c>
      <c r="L183" t="str">
        <f>PROPER(TRIM(SUBSTITUTE(_xlfn.XLOOKUP(B183,Cardholders_Reference!A:A,Cardholders_Reference!B:B),","," ")))</f>
        <v>Adams Aisha</v>
      </c>
      <c r="M183" s="5">
        <f>_xlfn.XLOOKUP(B183,Cardholders_Reference!A:A,Cardholders_Reference!G:G)</f>
        <v>30000</v>
      </c>
      <c r="N183" s="7" t="str">
        <f>_xlfn.XLOOKUP(B183,Cardholders_Reference!A:A,Cardholders_Reference!D:D)</f>
        <v>ABSA</v>
      </c>
      <c r="O183" s="7" t="str">
        <f>_xlfn.XLOOKUP(B183,Cardholders_Reference!A:A,Cardholders_Reference!E:E)</f>
        <v>Visa</v>
      </c>
      <c r="P183" s="6">
        <f t="shared" si="19"/>
        <v>4.4478999999999998E-2</v>
      </c>
      <c r="Q183">
        <f t="shared" si="14"/>
        <v>0</v>
      </c>
      <c r="R183">
        <f t="shared" si="15"/>
        <v>0</v>
      </c>
      <c r="S183">
        <f>IF(COUNTIFS($B$1:$B$738,B182,$C$1:$C$738,#REF!)&gt;2,1,0)</f>
        <v>0</v>
      </c>
      <c r="T183">
        <f t="shared" si="16"/>
        <v>0</v>
      </c>
      <c r="U183">
        <f t="shared" si="17"/>
        <v>0</v>
      </c>
      <c r="V183">
        <f t="shared" si="18"/>
        <v>1</v>
      </c>
      <c r="W183">
        <f t="shared" si="20"/>
        <v>1</v>
      </c>
      <c r="X183" t="str" cm="1">
        <f t="array" ref="X183">_xlfn.IFS(W183&lt;=1,"Low",W183=2,"Medium",W183&gt;=3,"High")</f>
        <v>Low</v>
      </c>
    </row>
    <row r="184" spans="1:24" x14ac:dyDescent="0.3">
      <c r="A184" t="s">
        <v>441</v>
      </c>
      <c r="B184" t="s">
        <v>425</v>
      </c>
      <c r="C184" s="3">
        <v>45829</v>
      </c>
      <c r="D184" s="8" t="s">
        <v>442</v>
      </c>
      <c r="E184" s="7" t="s">
        <v>377</v>
      </c>
      <c r="F184" s="7" t="s">
        <v>74</v>
      </c>
      <c r="G184" s="7" t="s">
        <v>49</v>
      </c>
      <c r="H184" s="4">
        <v>679.41</v>
      </c>
      <c r="I184" s="7" t="s">
        <v>26</v>
      </c>
      <c r="J184" s="7" t="s">
        <v>41</v>
      </c>
      <c r="L184" t="str">
        <f>PROPER(TRIM(SUBSTITUTE(_xlfn.XLOOKUP(B184,Cardholders_Reference!A:A,Cardholders_Reference!B:B),","," ")))</f>
        <v>Adams Aisha</v>
      </c>
      <c r="M184" s="5">
        <f>_xlfn.XLOOKUP(B184,Cardholders_Reference!A:A,Cardholders_Reference!G:G)</f>
        <v>30000</v>
      </c>
      <c r="N184" s="7" t="str">
        <f>_xlfn.XLOOKUP(B184,Cardholders_Reference!A:A,Cardholders_Reference!D:D)</f>
        <v>ABSA</v>
      </c>
      <c r="O184" s="7" t="str">
        <f>_xlfn.XLOOKUP(B184,Cardholders_Reference!A:A,Cardholders_Reference!E:E)</f>
        <v>Visa</v>
      </c>
      <c r="P184" s="6">
        <f t="shared" si="19"/>
        <v>2.2647E-2</v>
      </c>
      <c r="Q184">
        <f t="shared" si="14"/>
        <v>1</v>
      </c>
      <c r="R184">
        <f t="shared" si="15"/>
        <v>0</v>
      </c>
      <c r="S184">
        <f>IF(COUNTIFS($B$1:$B$738,B183,$C$1:$C$738,#REF!)&gt;2,1,0)</f>
        <v>0</v>
      </c>
      <c r="T184">
        <f t="shared" si="16"/>
        <v>0</v>
      </c>
      <c r="U184">
        <f t="shared" si="17"/>
        <v>0</v>
      </c>
      <c r="V184">
        <f t="shared" si="18"/>
        <v>1</v>
      </c>
      <c r="W184">
        <f t="shared" si="20"/>
        <v>2</v>
      </c>
      <c r="X184" t="str" cm="1">
        <f t="array" ref="X184">_xlfn.IFS(W184&lt;=1,"Low",W184=2,"Medium",W184&gt;=3,"High")</f>
        <v>Medium</v>
      </c>
    </row>
    <row r="185" spans="1:24" x14ac:dyDescent="0.3">
      <c r="A185" t="s">
        <v>443</v>
      </c>
      <c r="B185" t="s">
        <v>425</v>
      </c>
      <c r="C185" s="3">
        <v>45786</v>
      </c>
      <c r="D185" s="8" t="s">
        <v>444</v>
      </c>
      <c r="E185" s="7" t="s">
        <v>156</v>
      </c>
      <c r="F185" s="7" t="s">
        <v>36</v>
      </c>
      <c r="G185" s="7" t="s">
        <v>49</v>
      </c>
      <c r="H185" s="4">
        <v>327.56</v>
      </c>
      <c r="I185" s="7" t="s">
        <v>26</v>
      </c>
      <c r="J185" s="7" t="s">
        <v>17</v>
      </c>
      <c r="L185" t="str">
        <f>PROPER(TRIM(SUBSTITUTE(_xlfn.XLOOKUP(B185,Cardholders_Reference!A:A,Cardholders_Reference!B:B),","," ")))</f>
        <v>Adams Aisha</v>
      </c>
      <c r="M185" s="5">
        <f>_xlfn.XLOOKUP(B185,Cardholders_Reference!A:A,Cardholders_Reference!G:G)</f>
        <v>30000</v>
      </c>
      <c r="N185" s="7" t="str">
        <f>_xlfn.XLOOKUP(B185,Cardholders_Reference!A:A,Cardholders_Reference!D:D)</f>
        <v>ABSA</v>
      </c>
      <c r="O185" s="7" t="str">
        <f>_xlfn.XLOOKUP(B185,Cardholders_Reference!A:A,Cardholders_Reference!E:E)</f>
        <v>Visa</v>
      </c>
      <c r="P185" s="6">
        <f t="shared" si="19"/>
        <v>1.0918666666666667E-2</v>
      </c>
      <c r="Q185">
        <f t="shared" si="14"/>
        <v>0</v>
      </c>
      <c r="R185">
        <f t="shared" si="15"/>
        <v>0</v>
      </c>
      <c r="S185">
        <f>IF(COUNTIFS($B$1:$B$738,B184,$C$1:$C$738,#REF!)&gt;2,1,0)</f>
        <v>0</v>
      </c>
      <c r="T185">
        <f t="shared" si="16"/>
        <v>0</v>
      </c>
      <c r="U185">
        <f t="shared" si="17"/>
        <v>0</v>
      </c>
      <c r="V185">
        <f t="shared" si="18"/>
        <v>1</v>
      </c>
      <c r="W185">
        <f t="shared" si="20"/>
        <v>1</v>
      </c>
      <c r="X185" t="str" cm="1">
        <f t="array" ref="X185">_xlfn.IFS(W185&lt;=1,"Low",W185=2,"Medium",W185&gt;=3,"High")</f>
        <v>Low</v>
      </c>
    </row>
    <row r="186" spans="1:24" x14ac:dyDescent="0.3">
      <c r="A186" t="s">
        <v>445</v>
      </c>
      <c r="B186" t="s">
        <v>446</v>
      </c>
      <c r="C186" s="3">
        <v>45906</v>
      </c>
      <c r="D186" s="8" t="s">
        <v>1439</v>
      </c>
      <c r="E186" s="7" t="s">
        <v>245</v>
      </c>
      <c r="F186" s="7" t="s">
        <v>48</v>
      </c>
      <c r="G186" s="7" t="s">
        <v>264</v>
      </c>
      <c r="H186" s="4">
        <v>557.32000000000005</v>
      </c>
      <c r="I186" s="7" t="s">
        <v>26</v>
      </c>
      <c r="J186" s="7" t="s">
        <v>17</v>
      </c>
      <c r="L186" t="str">
        <f>PROPER(TRIM(SUBSTITUTE(_xlfn.XLOOKUP(B186,Cardholders_Reference!A:A,Cardholders_Reference!B:B),","," ")))</f>
        <v>Nomvula Dlamini</v>
      </c>
      <c r="M186" s="5">
        <f>_xlfn.XLOOKUP(B186,Cardholders_Reference!A:A,Cardholders_Reference!G:G)</f>
        <v>15000</v>
      </c>
      <c r="N186" s="7" t="str">
        <f>_xlfn.XLOOKUP(B186,Cardholders_Reference!A:A,Cardholders_Reference!D:D)</f>
        <v>Capitec</v>
      </c>
      <c r="O186" s="7" t="str">
        <f>_xlfn.XLOOKUP(B186,Cardholders_Reference!A:A,Cardholders_Reference!E:E)</f>
        <v>Mastercard</v>
      </c>
      <c r="P186" s="6">
        <f t="shared" si="19"/>
        <v>3.7154666666666669E-2</v>
      </c>
      <c r="Q186">
        <f t="shared" si="14"/>
        <v>0</v>
      </c>
      <c r="R186">
        <f t="shared" si="15"/>
        <v>1</v>
      </c>
      <c r="S186">
        <f>IF(COUNTIFS($B$1:$B$738,B185,$C$1:$C$738,#REF!)&gt;2,1,0)</f>
        <v>0</v>
      </c>
      <c r="T186">
        <f t="shared" si="16"/>
        <v>0</v>
      </c>
      <c r="U186">
        <f t="shared" si="17"/>
        <v>0</v>
      </c>
      <c r="V186">
        <f t="shared" si="18"/>
        <v>1</v>
      </c>
      <c r="W186">
        <f t="shared" si="20"/>
        <v>2</v>
      </c>
      <c r="X186" t="str" cm="1">
        <f t="array" ref="X186">_xlfn.IFS(W186&lt;=1,"Low",W186=2,"Medium",W186&gt;=3,"High")</f>
        <v>Medium</v>
      </c>
    </row>
    <row r="187" spans="1:24" x14ac:dyDescent="0.3">
      <c r="A187" t="s">
        <v>447</v>
      </c>
      <c r="B187" t="s">
        <v>446</v>
      </c>
      <c r="C187" s="3">
        <v>45916</v>
      </c>
      <c r="D187" s="8" t="s">
        <v>448</v>
      </c>
      <c r="E187" s="7" t="s">
        <v>80</v>
      </c>
      <c r="F187" s="7" t="s">
        <v>81</v>
      </c>
      <c r="G187" s="7" t="s">
        <v>264</v>
      </c>
      <c r="H187" s="4">
        <v>13145.83</v>
      </c>
      <c r="I187" s="7" t="s">
        <v>32</v>
      </c>
      <c r="J187" s="7" t="s">
        <v>17</v>
      </c>
      <c r="L187" t="str">
        <f>PROPER(TRIM(SUBSTITUTE(_xlfn.XLOOKUP(B187,Cardholders_Reference!A:A,Cardholders_Reference!B:B),","," ")))</f>
        <v>Nomvula Dlamini</v>
      </c>
      <c r="M187" s="5">
        <f>_xlfn.XLOOKUP(B187,Cardholders_Reference!A:A,Cardholders_Reference!G:G)</f>
        <v>15000</v>
      </c>
      <c r="N187" s="7" t="str">
        <f>_xlfn.XLOOKUP(B187,Cardholders_Reference!A:A,Cardholders_Reference!D:D)</f>
        <v>Capitec</v>
      </c>
      <c r="O187" s="7" t="str">
        <f>_xlfn.XLOOKUP(B187,Cardholders_Reference!A:A,Cardholders_Reference!E:E)</f>
        <v>Mastercard</v>
      </c>
      <c r="P187" s="6">
        <f t="shared" si="19"/>
        <v>0.8763886666666667</v>
      </c>
      <c r="Q187">
        <f t="shared" si="14"/>
        <v>0</v>
      </c>
      <c r="R187">
        <f t="shared" si="15"/>
        <v>0</v>
      </c>
      <c r="S187">
        <f>IF(COUNTIFS($B$1:$B$738,B186,$C$1:$C$738,#REF!)&gt;2,1,0)</f>
        <v>0</v>
      </c>
      <c r="T187">
        <f t="shared" si="16"/>
        <v>0</v>
      </c>
      <c r="U187">
        <f t="shared" si="17"/>
        <v>0</v>
      </c>
      <c r="V187">
        <f t="shared" si="18"/>
        <v>0</v>
      </c>
      <c r="W187">
        <f t="shared" si="20"/>
        <v>0</v>
      </c>
      <c r="X187" t="str" cm="1">
        <f t="array" ref="X187">_xlfn.IFS(W187&lt;=1,"Low",W187=2,"Medium",W187&gt;=3,"High")</f>
        <v>Low</v>
      </c>
    </row>
    <row r="188" spans="1:24" x14ac:dyDescent="0.3">
      <c r="A188" t="s">
        <v>449</v>
      </c>
      <c r="B188" t="s">
        <v>446</v>
      </c>
      <c r="C188" s="3">
        <v>46099</v>
      </c>
      <c r="D188" s="8" t="s">
        <v>450</v>
      </c>
      <c r="E188" s="7" t="s">
        <v>170</v>
      </c>
      <c r="F188" s="7" t="s">
        <v>91</v>
      </c>
      <c r="G188" s="7" t="s">
        <v>264</v>
      </c>
      <c r="H188" s="4">
        <v>776.78</v>
      </c>
      <c r="I188" s="7" t="s">
        <v>16</v>
      </c>
      <c r="J188" s="7" t="s">
        <v>17</v>
      </c>
      <c r="L188" t="str">
        <f>PROPER(TRIM(SUBSTITUTE(_xlfn.XLOOKUP(B188,Cardholders_Reference!A:A,Cardholders_Reference!B:B),","," ")))</f>
        <v>Nomvula Dlamini</v>
      </c>
      <c r="M188" s="5">
        <f>_xlfn.XLOOKUP(B188,Cardholders_Reference!A:A,Cardholders_Reference!G:G)</f>
        <v>15000</v>
      </c>
      <c r="N188" s="7" t="str">
        <f>_xlfn.XLOOKUP(B188,Cardholders_Reference!A:A,Cardholders_Reference!D:D)</f>
        <v>Capitec</v>
      </c>
      <c r="O188" s="7" t="str">
        <f>_xlfn.XLOOKUP(B188,Cardholders_Reference!A:A,Cardholders_Reference!E:E)</f>
        <v>Mastercard</v>
      </c>
      <c r="P188" s="6">
        <f t="shared" si="19"/>
        <v>5.1785333333333329E-2</v>
      </c>
      <c r="Q188">
        <f t="shared" si="14"/>
        <v>0</v>
      </c>
      <c r="R188">
        <f t="shared" si="15"/>
        <v>0</v>
      </c>
      <c r="S188">
        <f>IF(COUNTIFS($B$1:$B$738,B187,$C$1:$C$738,#REF!)&gt;2,1,0)</f>
        <v>0</v>
      </c>
      <c r="T188">
        <f t="shared" si="16"/>
        <v>1</v>
      </c>
      <c r="U188">
        <f t="shared" si="17"/>
        <v>0</v>
      </c>
      <c r="V188">
        <f t="shared" si="18"/>
        <v>0</v>
      </c>
      <c r="W188">
        <f t="shared" si="20"/>
        <v>1</v>
      </c>
      <c r="X188" t="str" cm="1">
        <f t="array" ref="X188">_xlfn.IFS(W188&lt;=1,"Low",W188=2,"Medium",W188&gt;=3,"High")</f>
        <v>Low</v>
      </c>
    </row>
    <row r="189" spans="1:24" x14ac:dyDescent="0.3">
      <c r="A189" t="s">
        <v>451</v>
      </c>
      <c r="B189" t="s">
        <v>446</v>
      </c>
      <c r="C189" s="3">
        <v>46012</v>
      </c>
      <c r="D189" s="8" t="s">
        <v>452</v>
      </c>
      <c r="E189" s="7" t="s">
        <v>94</v>
      </c>
      <c r="F189" s="7" t="s">
        <v>53</v>
      </c>
      <c r="G189" s="7" t="s">
        <v>264</v>
      </c>
      <c r="H189" s="4">
        <v>1510.39</v>
      </c>
      <c r="I189" s="7" t="s">
        <v>26</v>
      </c>
      <c r="J189" s="7" t="s">
        <v>41</v>
      </c>
      <c r="L189" t="str">
        <f>PROPER(TRIM(SUBSTITUTE(_xlfn.XLOOKUP(B189,Cardholders_Reference!A:A,Cardholders_Reference!B:B),","," ")))</f>
        <v>Nomvula Dlamini</v>
      </c>
      <c r="M189" s="5">
        <f>_xlfn.XLOOKUP(B189,Cardholders_Reference!A:A,Cardholders_Reference!G:G)</f>
        <v>15000</v>
      </c>
      <c r="N189" s="7" t="str">
        <f>_xlfn.XLOOKUP(B189,Cardholders_Reference!A:A,Cardholders_Reference!D:D)</f>
        <v>Capitec</v>
      </c>
      <c r="O189" s="7" t="str">
        <f>_xlfn.XLOOKUP(B189,Cardholders_Reference!A:A,Cardholders_Reference!E:E)</f>
        <v>Mastercard</v>
      </c>
      <c r="P189" s="6">
        <f t="shared" si="19"/>
        <v>0.10069266666666667</v>
      </c>
      <c r="Q189">
        <f t="shared" si="14"/>
        <v>0</v>
      </c>
      <c r="R189">
        <f t="shared" si="15"/>
        <v>0</v>
      </c>
      <c r="S189">
        <f>IF(COUNTIFS($B$1:$B$738,B188,$C$1:$C$738,#REF!)&gt;2,1,0)</f>
        <v>0</v>
      </c>
      <c r="T189">
        <f t="shared" si="16"/>
        <v>0</v>
      </c>
      <c r="U189">
        <f t="shared" si="17"/>
        <v>0</v>
      </c>
      <c r="V189">
        <f t="shared" si="18"/>
        <v>1</v>
      </c>
      <c r="W189">
        <f t="shared" si="20"/>
        <v>1</v>
      </c>
      <c r="X189" t="str" cm="1">
        <f t="array" ref="X189">_xlfn.IFS(W189&lt;=1,"Low",W189=2,"Medium",W189&gt;=3,"High")</f>
        <v>Low</v>
      </c>
    </row>
    <row r="190" spans="1:24" x14ac:dyDescent="0.3">
      <c r="A190" t="s">
        <v>453</v>
      </c>
      <c r="B190" t="s">
        <v>446</v>
      </c>
      <c r="C190" s="3">
        <v>45673</v>
      </c>
      <c r="D190" s="8" t="s">
        <v>454</v>
      </c>
      <c r="E190" s="7" t="s">
        <v>140</v>
      </c>
      <c r="F190" s="7" t="s">
        <v>53</v>
      </c>
      <c r="G190" s="7" t="s">
        <v>145</v>
      </c>
      <c r="H190" s="4">
        <v>361.36</v>
      </c>
      <c r="I190" s="7" t="s">
        <v>26</v>
      </c>
      <c r="J190" s="7" t="s">
        <v>17</v>
      </c>
      <c r="L190" t="str">
        <f>PROPER(TRIM(SUBSTITUTE(_xlfn.XLOOKUP(B190,Cardholders_Reference!A:A,Cardholders_Reference!B:B),","," ")))</f>
        <v>Nomvula Dlamini</v>
      </c>
      <c r="M190" s="5">
        <f>_xlfn.XLOOKUP(B190,Cardholders_Reference!A:A,Cardholders_Reference!G:G)</f>
        <v>15000</v>
      </c>
      <c r="N190" s="7" t="str">
        <f>_xlfn.XLOOKUP(B190,Cardholders_Reference!A:A,Cardholders_Reference!D:D)</f>
        <v>Capitec</v>
      </c>
      <c r="O190" s="7" t="str">
        <f>_xlfn.XLOOKUP(B190,Cardholders_Reference!A:A,Cardholders_Reference!E:E)</f>
        <v>Mastercard</v>
      </c>
      <c r="P190" s="6">
        <f t="shared" si="19"/>
        <v>2.4090666666666666E-2</v>
      </c>
      <c r="Q190">
        <f t="shared" si="14"/>
        <v>0</v>
      </c>
      <c r="R190">
        <f t="shared" si="15"/>
        <v>0</v>
      </c>
      <c r="S190">
        <f>IF(COUNTIFS($B$1:$B$738,B189,$C$1:$C$738,#REF!)&gt;2,1,0)</f>
        <v>0</v>
      </c>
      <c r="T190">
        <f t="shared" si="16"/>
        <v>0</v>
      </c>
      <c r="U190">
        <f t="shared" si="17"/>
        <v>0</v>
      </c>
      <c r="V190">
        <f t="shared" si="18"/>
        <v>1</v>
      </c>
      <c r="W190">
        <f t="shared" si="20"/>
        <v>1</v>
      </c>
      <c r="X190" t="str" cm="1">
        <f t="array" ref="X190">_xlfn.IFS(W190&lt;=1,"Low",W190=2,"Medium",W190&gt;=3,"High")</f>
        <v>Low</v>
      </c>
    </row>
    <row r="191" spans="1:24" x14ac:dyDescent="0.3">
      <c r="A191" t="s">
        <v>455</v>
      </c>
      <c r="B191" t="s">
        <v>446</v>
      </c>
      <c r="C191" s="3">
        <v>46636</v>
      </c>
      <c r="D191" s="8" t="s">
        <v>1439</v>
      </c>
      <c r="E191" s="7" t="s">
        <v>52</v>
      </c>
      <c r="F191" s="7" t="s">
        <v>53</v>
      </c>
      <c r="G191" s="7" t="s">
        <v>250</v>
      </c>
      <c r="H191" s="4">
        <v>1427.72</v>
      </c>
      <c r="I191" s="7" t="s">
        <v>32</v>
      </c>
      <c r="J191" s="7" t="s">
        <v>17</v>
      </c>
      <c r="L191" t="str">
        <f>PROPER(TRIM(SUBSTITUTE(_xlfn.XLOOKUP(B191,Cardholders_Reference!A:A,Cardholders_Reference!B:B),","," ")))</f>
        <v>Nomvula Dlamini</v>
      </c>
      <c r="M191" s="5">
        <f>_xlfn.XLOOKUP(B191,Cardholders_Reference!A:A,Cardholders_Reference!G:G)</f>
        <v>15000</v>
      </c>
      <c r="N191" s="7" t="str">
        <f>_xlfn.XLOOKUP(B191,Cardholders_Reference!A:A,Cardholders_Reference!D:D)</f>
        <v>Capitec</v>
      </c>
      <c r="O191" s="7" t="str">
        <f>_xlfn.XLOOKUP(B191,Cardholders_Reference!A:A,Cardholders_Reference!E:E)</f>
        <v>Mastercard</v>
      </c>
      <c r="P191" s="6">
        <f t="shared" si="19"/>
        <v>9.518133333333334E-2</v>
      </c>
      <c r="Q191">
        <f t="shared" si="14"/>
        <v>1</v>
      </c>
      <c r="R191">
        <f t="shared" si="15"/>
        <v>1</v>
      </c>
      <c r="S191">
        <f>IF(COUNTIFS($B$1:$B$738,B190,$C$1:$C$738,#REF!)&gt;2,1,0)</f>
        <v>0</v>
      </c>
      <c r="T191">
        <f t="shared" si="16"/>
        <v>0</v>
      </c>
      <c r="U191">
        <f t="shared" si="17"/>
        <v>0</v>
      </c>
      <c r="V191">
        <f t="shared" si="18"/>
        <v>0</v>
      </c>
      <c r="W191">
        <f t="shared" si="20"/>
        <v>2</v>
      </c>
      <c r="X191" t="str" cm="1">
        <f t="array" ref="X191">_xlfn.IFS(W191&lt;=1,"Low",W191=2,"Medium",W191&gt;=3,"High")</f>
        <v>Medium</v>
      </c>
    </row>
    <row r="192" spans="1:24" x14ac:dyDescent="0.3">
      <c r="A192" t="s">
        <v>456</v>
      </c>
      <c r="B192" t="s">
        <v>446</v>
      </c>
      <c r="C192" s="3">
        <v>46148</v>
      </c>
      <c r="D192" s="8" t="s">
        <v>430</v>
      </c>
      <c r="E192" s="7" t="s">
        <v>121</v>
      </c>
      <c r="F192" s="7" t="s">
        <v>36</v>
      </c>
      <c r="G192" s="7" t="s">
        <v>264</v>
      </c>
      <c r="H192" s="4">
        <v>135.22</v>
      </c>
      <c r="I192" s="7" t="s">
        <v>26</v>
      </c>
      <c r="J192" s="7" t="s">
        <v>17</v>
      </c>
      <c r="L192" t="str">
        <f>PROPER(TRIM(SUBSTITUTE(_xlfn.XLOOKUP(B192,Cardholders_Reference!A:A,Cardholders_Reference!B:B),","," ")))</f>
        <v>Nomvula Dlamini</v>
      </c>
      <c r="M192" s="5">
        <f>_xlfn.XLOOKUP(B192,Cardholders_Reference!A:A,Cardholders_Reference!G:G)</f>
        <v>15000</v>
      </c>
      <c r="N192" s="7" t="str">
        <f>_xlfn.XLOOKUP(B192,Cardholders_Reference!A:A,Cardholders_Reference!D:D)</f>
        <v>Capitec</v>
      </c>
      <c r="O192" s="7" t="str">
        <f>_xlfn.XLOOKUP(B192,Cardholders_Reference!A:A,Cardholders_Reference!E:E)</f>
        <v>Mastercard</v>
      </c>
      <c r="P192" s="6">
        <f t="shared" si="19"/>
        <v>9.0146666666666674E-3</v>
      </c>
      <c r="Q192">
        <f t="shared" si="14"/>
        <v>1</v>
      </c>
      <c r="R192">
        <f t="shared" si="15"/>
        <v>0</v>
      </c>
      <c r="S192">
        <f>IF(COUNTIFS($B$1:$B$738,B191,$C$1:$C$738,#REF!)&gt;2,1,0)</f>
        <v>0</v>
      </c>
      <c r="T192">
        <f t="shared" si="16"/>
        <v>0</v>
      </c>
      <c r="U192">
        <f t="shared" si="17"/>
        <v>0</v>
      </c>
      <c r="V192">
        <f t="shared" si="18"/>
        <v>1</v>
      </c>
      <c r="W192">
        <f t="shared" si="20"/>
        <v>2</v>
      </c>
      <c r="X192" t="str" cm="1">
        <f t="array" ref="X192">_xlfn.IFS(W192&lt;=1,"Low",W192=2,"Medium",W192&gt;=3,"High")</f>
        <v>Medium</v>
      </c>
    </row>
    <row r="193" spans="1:24" x14ac:dyDescent="0.3">
      <c r="A193" t="s">
        <v>457</v>
      </c>
      <c r="B193" t="s">
        <v>446</v>
      </c>
      <c r="C193" s="3">
        <v>46391</v>
      </c>
      <c r="D193" s="8" t="s">
        <v>101</v>
      </c>
      <c r="E193" s="7" t="s">
        <v>215</v>
      </c>
      <c r="F193" s="7" t="s">
        <v>15</v>
      </c>
      <c r="G193" s="7" t="s">
        <v>264</v>
      </c>
      <c r="H193" s="4">
        <v>2493.8000000000002</v>
      </c>
      <c r="I193" s="7" t="s">
        <v>95</v>
      </c>
      <c r="J193" s="7" t="s">
        <v>17</v>
      </c>
      <c r="L193" t="str">
        <f>PROPER(TRIM(SUBSTITUTE(_xlfn.XLOOKUP(B193,Cardholders_Reference!A:A,Cardholders_Reference!B:B),","," ")))</f>
        <v>Nomvula Dlamini</v>
      </c>
      <c r="M193" s="5">
        <f>_xlfn.XLOOKUP(B193,Cardholders_Reference!A:A,Cardholders_Reference!G:G)</f>
        <v>15000</v>
      </c>
      <c r="N193" s="7" t="str">
        <f>_xlfn.XLOOKUP(B193,Cardholders_Reference!A:A,Cardholders_Reference!D:D)</f>
        <v>Capitec</v>
      </c>
      <c r="O193" s="7" t="str">
        <f>_xlfn.XLOOKUP(B193,Cardholders_Reference!A:A,Cardholders_Reference!E:E)</f>
        <v>Mastercard</v>
      </c>
      <c r="P193" s="6">
        <f t="shared" si="19"/>
        <v>0.16625333333333334</v>
      </c>
      <c r="Q193">
        <f t="shared" si="14"/>
        <v>0</v>
      </c>
      <c r="R193">
        <f t="shared" si="15"/>
        <v>0</v>
      </c>
      <c r="S193">
        <f>IF(COUNTIFS($B$1:$B$738,B192,$C$1:$C$738,#REF!)&gt;2,1,0)</f>
        <v>0</v>
      </c>
      <c r="T193">
        <f t="shared" si="16"/>
        <v>0</v>
      </c>
      <c r="U193">
        <f t="shared" si="17"/>
        <v>0</v>
      </c>
      <c r="V193">
        <f t="shared" si="18"/>
        <v>1</v>
      </c>
      <c r="W193">
        <f t="shared" si="20"/>
        <v>1</v>
      </c>
      <c r="X193" t="str" cm="1">
        <f t="array" ref="X193">_xlfn.IFS(W193&lt;=1,"Low",W193=2,"Medium",W193&gt;=3,"High")</f>
        <v>Low</v>
      </c>
    </row>
    <row r="194" spans="1:24" x14ac:dyDescent="0.3">
      <c r="A194" t="s">
        <v>458</v>
      </c>
      <c r="B194" t="s">
        <v>459</v>
      </c>
      <c r="C194" s="3">
        <v>46633</v>
      </c>
      <c r="D194" s="8" t="s">
        <v>460</v>
      </c>
      <c r="E194" s="7" t="s">
        <v>14</v>
      </c>
      <c r="F194" s="7" t="s">
        <v>15</v>
      </c>
      <c r="G194" s="7" t="s">
        <v>250</v>
      </c>
      <c r="H194" s="4">
        <v>4008.94</v>
      </c>
      <c r="I194" s="7" t="s">
        <v>32</v>
      </c>
      <c r="J194" s="7" t="s">
        <v>17</v>
      </c>
      <c r="L194" t="str">
        <f>PROPER(TRIM(SUBSTITUTE(_xlfn.XLOOKUP(B194,Cardholders_Reference!A:A,Cardholders_Reference!B:B),","," ")))</f>
        <v>Lerato Naidoo</v>
      </c>
      <c r="M194" s="5">
        <f>_xlfn.XLOOKUP(B194,Cardholders_Reference!A:A,Cardholders_Reference!G:G)</f>
        <v>80000</v>
      </c>
      <c r="N194" s="7" t="str">
        <f>_xlfn.XLOOKUP(B194,Cardholders_Reference!A:A,Cardholders_Reference!D:D)</f>
        <v>Standard Bank</v>
      </c>
      <c r="O194" s="7" t="str">
        <f>_xlfn.XLOOKUP(B194,Cardholders_Reference!A:A,Cardholders_Reference!E:E)</f>
        <v>Mastercard</v>
      </c>
      <c r="P194" s="6">
        <f t="shared" si="19"/>
        <v>5.0111750000000004E-2</v>
      </c>
      <c r="Q194">
        <f t="shared" ref="Q194:Q257" si="21">IF(COUNTIFS($B$1:$B$738,B193,$G$1:$G$738,G193)/COUNTIF($B$1:$B$738,B193)&lt;0.5,1,0)</f>
        <v>0</v>
      </c>
      <c r="R194">
        <f t="shared" ref="R194:R257" si="22">IF(D194="Unknown",1,IF(OR(TIMEVALUE(D194)&lt;TIME(5,0,0),TIMEVALUE(D194)&gt;=TIME(23,0,0)),1,0))</f>
        <v>0</v>
      </c>
      <c r="S194">
        <f>IF(COUNTIFS($B$1:$B$738,B193,$C$1:$C$738,#REF!)&gt;2,1,0)</f>
        <v>0</v>
      </c>
      <c r="T194">
        <f t="shared" ref="T194:T257" si="23">IF(P193&gt;0.4,1,0)</f>
        <v>0</v>
      </c>
      <c r="U194">
        <f t="shared" ref="U194:U257" si="24">IF(OR(F193="Gambling",F193="ATM Withdrawal"),1,0)</f>
        <v>0</v>
      </c>
      <c r="V194">
        <f t="shared" ref="V194:V257" si="25">IF(OR(I194="Card Not Present (Phone)",I194="Online"),1,0)</f>
        <v>0</v>
      </c>
      <c r="W194">
        <f t="shared" si="20"/>
        <v>0</v>
      </c>
      <c r="X194" t="str" cm="1">
        <f t="array" ref="X194">_xlfn.IFS(W194&lt;=1,"Low",W194=2,"Medium",W194&gt;=3,"High")</f>
        <v>Low</v>
      </c>
    </row>
    <row r="195" spans="1:24" x14ac:dyDescent="0.3">
      <c r="A195" t="s">
        <v>461</v>
      </c>
      <c r="B195" t="s">
        <v>459</v>
      </c>
      <c r="C195" s="3">
        <v>46206</v>
      </c>
      <c r="D195" s="8" t="s">
        <v>462</v>
      </c>
      <c r="E195" s="7" t="s">
        <v>14</v>
      </c>
      <c r="F195" s="7" t="s">
        <v>15</v>
      </c>
      <c r="G195" s="7" t="s">
        <v>250</v>
      </c>
      <c r="H195" s="4">
        <v>1409.59</v>
      </c>
      <c r="I195" s="7" t="s">
        <v>16</v>
      </c>
      <c r="J195" s="7" t="s">
        <v>17</v>
      </c>
      <c r="L195" t="str">
        <f>PROPER(TRIM(SUBSTITUTE(_xlfn.XLOOKUP(B195,Cardholders_Reference!A:A,Cardholders_Reference!B:B),","," ")))</f>
        <v>Lerato Naidoo</v>
      </c>
      <c r="M195" s="5">
        <f>_xlfn.XLOOKUP(B195,Cardholders_Reference!A:A,Cardholders_Reference!G:G)</f>
        <v>80000</v>
      </c>
      <c r="N195" s="7" t="str">
        <f>_xlfn.XLOOKUP(B195,Cardholders_Reference!A:A,Cardholders_Reference!D:D)</f>
        <v>Standard Bank</v>
      </c>
      <c r="O195" s="7" t="str">
        <f>_xlfn.XLOOKUP(B195,Cardholders_Reference!A:A,Cardholders_Reference!E:E)</f>
        <v>Mastercard</v>
      </c>
      <c r="P195" s="6">
        <f t="shared" ref="P195:P258" si="26">H195/M195</f>
        <v>1.7619875E-2</v>
      </c>
      <c r="Q195">
        <f t="shared" si="21"/>
        <v>0</v>
      </c>
      <c r="R195">
        <f t="shared" si="22"/>
        <v>0</v>
      </c>
      <c r="S195">
        <f>IF(COUNTIFS($B$1:$B$738,B194,$C$1:$C$738,#REF!)&gt;2,1,0)</f>
        <v>0</v>
      </c>
      <c r="T195">
        <f t="shared" si="23"/>
        <v>0</v>
      </c>
      <c r="U195">
        <f t="shared" si="24"/>
        <v>0</v>
      </c>
      <c r="V195">
        <f t="shared" si="25"/>
        <v>0</v>
      </c>
      <c r="W195">
        <f t="shared" ref="W195:W258" si="27">SUM(Q195:V195)</f>
        <v>0</v>
      </c>
      <c r="X195" t="str" cm="1">
        <f t="array" ref="X195">_xlfn.IFS(W195&lt;=1,"Low",W195=2,"Medium",W195&gt;=3,"High")</f>
        <v>Low</v>
      </c>
    </row>
    <row r="196" spans="1:24" x14ac:dyDescent="0.3">
      <c r="A196" t="s">
        <v>463</v>
      </c>
      <c r="B196" t="s">
        <v>459</v>
      </c>
      <c r="C196" s="3">
        <v>45977</v>
      </c>
      <c r="D196" s="8" t="s">
        <v>464</v>
      </c>
      <c r="E196" s="7" t="s">
        <v>331</v>
      </c>
      <c r="F196" s="7" t="s">
        <v>40</v>
      </c>
      <c r="G196" s="7" t="s">
        <v>250</v>
      </c>
      <c r="H196" s="4">
        <v>163.26</v>
      </c>
      <c r="I196" s="7" t="s">
        <v>32</v>
      </c>
      <c r="J196" s="7" t="s">
        <v>17</v>
      </c>
      <c r="L196" t="str">
        <f>PROPER(TRIM(SUBSTITUTE(_xlfn.XLOOKUP(B196,Cardholders_Reference!A:A,Cardholders_Reference!B:B),","," ")))</f>
        <v>Lerato Naidoo</v>
      </c>
      <c r="M196" s="5">
        <f>_xlfn.XLOOKUP(B196,Cardholders_Reference!A:A,Cardholders_Reference!G:G)</f>
        <v>80000</v>
      </c>
      <c r="N196" s="7" t="str">
        <f>_xlfn.XLOOKUP(B196,Cardholders_Reference!A:A,Cardholders_Reference!D:D)</f>
        <v>Standard Bank</v>
      </c>
      <c r="O196" s="7" t="str">
        <f>_xlfn.XLOOKUP(B196,Cardholders_Reference!A:A,Cardholders_Reference!E:E)</f>
        <v>Mastercard</v>
      </c>
      <c r="P196" s="6">
        <f t="shared" si="26"/>
        <v>2.04075E-3</v>
      </c>
      <c r="Q196">
        <f t="shared" si="21"/>
        <v>0</v>
      </c>
      <c r="R196">
        <f t="shared" si="22"/>
        <v>0</v>
      </c>
      <c r="S196">
        <f>IF(COUNTIFS($B$1:$B$738,B195,$C$1:$C$738,#REF!)&gt;2,1,0)</f>
        <v>0</v>
      </c>
      <c r="T196">
        <f t="shared" si="23"/>
        <v>0</v>
      </c>
      <c r="U196">
        <f t="shared" si="24"/>
        <v>0</v>
      </c>
      <c r="V196">
        <f t="shared" si="25"/>
        <v>0</v>
      </c>
      <c r="W196">
        <f t="shared" si="27"/>
        <v>0</v>
      </c>
      <c r="X196" t="str" cm="1">
        <f t="array" ref="X196">_xlfn.IFS(W196&lt;=1,"Low",W196=2,"Medium",W196&gt;=3,"High")</f>
        <v>Low</v>
      </c>
    </row>
    <row r="197" spans="1:24" x14ac:dyDescent="0.3">
      <c r="A197" t="s">
        <v>465</v>
      </c>
      <c r="B197" t="s">
        <v>459</v>
      </c>
      <c r="C197" s="3">
        <v>46056</v>
      </c>
      <c r="D197" s="8" t="s">
        <v>466</v>
      </c>
      <c r="E197" s="7" t="s">
        <v>20</v>
      </c>
      <c r="F197" s="7" t="s">
        <v>21</v>
      </c>
      <c r="G197" s="7" t="s">
        <v>250</v>
      </c>
      <c r="H197" s="4">
        <v>2729.76</v>
      </c>
      <c r="I197" s="7" t="s">
        <v>16</v>
      </c>
      <c r="J197" s="7" t="s">
        <v>41</v>
      </c>
      <c r="L197" t="str">
        <f>PROPER(TRIM(SUBSTITUTE(_xlfn.XLOOKUP(B197,Cardholders_Reference!A:A,Cardholders_Reference!B:B),","," ")))</f>
        <v>Lerato Naidoo</v>
      </c>
      <c r="M197" s="5">
        <f>_xlfn.XLOOKUP(B197,Cardholders_Reference!A:A,Cardholders_Reference!G:G)</f>
        <v>80000</v>
      </c>
      <c r="N197" s="7" t="str">
        <f>_xlfn.XLOOKUP(B197,Cardholders_Reference!A:A,Cardholders_Reference!D:D)</f>
        <v>Standard Bank</v>
      </c>
      <c r="O197" s="7" t="str">
        <f>_xlfn.XLOOKUP(B197,Cardholders_Reference!A:A,Cardholders_Reference!E:E)</f>
        <v>Mastercard</v>
      </c>
      <c r="P197" s="6">
        <f t="shared" si="26"/>
        <v>3.4122E-2</v>
      </c>
      <c r="Q197">
        <f t="shared" si="21"/>
        <v>0</v>
      </c>
      <c r="R197">
        <f t="shared" si="22"/>
        <v>0</v>
      </c>
      <c r="S197">
        <f>IF(COUNTIFS($B$1:$B$738,B196,$C$1:$C$738,#REF!)&gt;2,1,0)</f>
        <v>0</v>
      </c>
      <c r="T197">
        <f t="shared" si="23"/>
        <v>0</v>
      </c>
      <c r="U197">
        <f t="shared" si="24"/>
        <v>0</v>
      </c>
      <c r="V197">
        <f t="shared" si="25"/>
        <v>0</v>
      </c>
      <c r="W197">
        <f t="shared" si="27"/>
        <v>0</v>
      </c>
      <c r="X197" t="str" cm="1">
        <f t="array" ref="X197">_xlfn.IFS(W197&lt;=1,"Low",W197=2,"Medium",W197&gt;=3,"High")</f>
        <v>Low</v>
      </c>
    </row>
    <row r="198" spans="1:24" x14ac:dyDescent="0.3">
      <c r="A198" t="s">
        <v>467</v>
      </c>
      <c r="B198" t="s">
        <v>459</v>
      </c>
      <c r="C198" s="3">
        <v>45879</v>
      </c>
      <c r="D198" s="8" t="s">
        <v>468</v>
      </c>
      <c r="E198" s="7" t="s">
        <v>156</v>
      </c>
      <c r="F198" s="7" t="s">
        <v>36</v>
      </c>
      <c r="G198" s="7" t="s">
        <v>250</v>
      </c>
      <c r="H198" s="4">
        <v>512.82000000000005</v>
      </c>
      <c r="I198" s="7" t="s">
        <v>26</v>
      </c>
      <c r="J198" s="7" t="s">
        <v>17</v>
      </c>
      <c r="L198" t="str">
        <f>PROPER(TRIM(SUBSTITUTE(_xlfn.XLOOKUP(B198,Cardholders_Reference!A:A,Cardholders_Reference!B:B),","," ")))</f>
        <v>Lerato Naidoo</v>
      </c>
      <c r="M198" s="5">
        <f>_xlfn.XLOOKUP(B198,Cardholders_Reference!A:A,Cardholders_Reference!G:G)</f>
        <v>80000</v>
      </c>
      <c r="N198" s="7" t="str">
        <f>_xlfn.XLOOKUP(B198,Cardholders_Reference!A:A,Cardholders_Reference!D:D)</f>
        <v>Standard Bank</v>
      </c>
      <c r="O198" s="7" t="str">
        <f>_xlfn.XLOOKUP(B198,Cardholders_Reference!A:A,Cardholders_Reference!E:E)</f>
        <v>Mastercard</v>
      </c>
      <c r="P198" s="6">
        <f t="shared" si="26"/>
        <v>6.410250000000001E-3</v>
      </c>
      <c r="Q198">
        <f t="shared" si="21"/>
        <v>0</v>
      </c>
      <c r="R198">
        <f t="shared" si="22"/>
        <v>0</v>
      </c>
      <c r="S198">
        <f>IF(COUNTIFS($B$1:$B$738,B197,$C$1:$C$738,#REF!)&gt;2,1,0)</f>
        <v>0</v>
      </c>
      <c r="T198">
        <f t="shared" si="23"/>
        <v>0</v>
      </c>
      <c r="U198">
        <f t="shared" si="24"/>
        <v>1</v>
      </c>
      <c r="V198">
        <f t="shared" si="25"/>
        <v>1</v>
      </c>
      <c r="W198">
        <f t="shared" si="27"/>
        <v>2</v>
      </c>
      <c r="X198" t="str" cm="1">
        <f t="array" ref="X198">_xlfn.IFS(W198&lt;=1,"Low",W198=2,"Medium",W198&gt;=3,"High")</f>
        <v>Medium</v>
      </c>
    </row>
    <row r="199" spans="1:24" x14ac:dyDescent="0.3">
      <c r="A199" t="s">
        <v>469</v>
      </c>
      <c r="B199" t="s">
        <v>459</v>
      </c>
      <c r="C199" s="3">
        <v>45875</v>
      </c>
      <c r="D199" s="8" t="s">
        <v>470</v>
      </c>
      <c r="E199" s="7" t="s">
        <v>377</v>
      </c>
      <c r="F199" s="7" t="s">
        <v>74</v>
      </c>
      <c r="G199" s="7" t="s">
        <v>250</v>
      </c>
      <c r="H199" s="4">
        <v>115.53</v>
      </c>
      <c r="I199" s="7" t="s">
        <v>95</v>
      </c>
      <c r="J199" s="7" t="s">
        <v>41</v>
      </c>
      <c r="L199" t="str">
        <f>PROPER(TRIM(SUBSTITUTE(_xlfn.XLOOKUP(B199,Cardholders_Reference!A:A,Cardholders_Reference!B:B),","," ")))</f>
        <v>Lerato Naidoo</v>
      </c>
      <c r="M199" s="5">
        <f>_xlfn.XLOOKUP(B199,Cardholders_Reference!A:A,Cardholders_Reference!G:G)</f>
        <v>80000</v>
      </c>
      <c r="N199" s="7" t="str">
        <f>_xlfn.XLOOKUP(B199,Cardholders_Reference!A:A,Cardholders_Reference!D:D)</f>
        <v>Standard Bank</v>
      </c>
      <c r="O199" s="7" t="str">
        <f>_xlfn.XLOOKUP(B199,Cardholders_Reference!A:A,Cardholders_Reference!E:E)</f>
        <v>Mastercard</v>
      </c>
      <c r="P199" s="6">
        <f t="shared" si="26"/>
        <v>1.4441250000000001E-3</v>
      </c>
      <c r="Q199">
        <f t="shared" si="21"/>
        <v>0</v>
      </c>
      <c r="R199">
        <f t="shared" si="22"/>
        <v>0</v>
      </c>
      <c r="S199">
        <f>IF(COUNTIFS($B$1:$B$738,B198,$C$1:$C$738,#REF!)&gt;2,1,0)</f>
        <v>0</v>
      </c>
      <c r="T199">
        <f t="shared" si="23"/>
        <v>0</v>
      </c>
      <c r="U199">
        <f t="shared" si="24"/>
        <v>0</v>
      </c>
      <c r="V199">
        <f t="shared" si="25"/>
        <v>1</v>
      </c>
      <c r="W199">
        <f t="shared" si="27"/>
        <v>1</v>
      </c>
      <c r="X199" t="str" cm="1">
        <f t="array" ref="X199">_xlfn.IFS(W199&lt;=1,"Low",W199=2,"Medium",W199&gt;=3,"High")</f>
        <v>Low</v>
      </c>
    </row>
    <row r="200" spans="1:24" x14ac:dyDescent="0.3">
      <c r="A200" t="s">
        <v>471</v>
      </c>
      <c r="B200" t="s">
        <v>459</v>
      </c>
      <c r="C200" s="3">
        <v>46067</v>
      </c>
      <c r="D200" s="8" t="s">
        <v>279</v>
      </c>
      <c r="E200" s="7" t="s">
        <v>64</v>
      </c>
      <c r="F200" s="7" t="s">
        <v>65</v>
      </c>
      <c r="G200" s="7" t="s">
        <v>250</v>
      </c>
      <c r="H200" s="4">
        <v>3271.63</v>
      </c>
      <c r="I200" s="7" t="s">
        <v>26</v>
      </c>
      <c r="J200" s="7" t="s">
        <v>17</v>
      </c>
      <c r="L200" t="str">
        <f>PROPER(TRIM(SUBSTITUTE(_xlfn.XLOOKUP(B200,Cardholders_Reference!A:A,Cardholders_Reference!B:B),","," ")))</f>
        <v>Lerato Naidoo</v>
      </c>
      <c r="M200" s="5">
        <f>_xlfn.XLOOKUP(B200,Cardholders_Reference!A:A,Cardholders_Reference!G:G)</f>
        <v>80000</v>
      </c>
      <c r="N200" s="7" t="str">
        <f>_xlfn.XLOOKUP(B200,Cardholders_Reference!A:A,Cardholders_Reference!D:D)</f>
        <v>Standard Bank</v>
      </c>
      <c r="O200" s="7" t="str">
        <f>_xlfn.XLOOKUP(B200,Cardholders_Reference!A:A,Cardholders_Reference!E:E)</f>
        <v>Mastercard</v>
      </c>
      <c r="P200" s="6">
        <f t="shared" si="26"/>
        <v>4.0895375000000005E-2</v>
      </c>
      <c r="Q200">
        <f t="shared" si="21"/>
        <v>0</v>
      </c>
      <c r="R200">
        <f t="shared" si="22"/>
        <v>0</v>
      </c>
      <c r="S200">
        <f>IF(COUNTIFS($B$1:$B$738,B199,$C$1:$C$738,#REF!)&gt;2,1,0)</f>
        <v>0</v>
      </c>
      <c r="T200">
        <f t="shared" si="23"/>
        <v>0</v>
      </c>
      <c r="U200">
        <f t="shared" si="24"/>
        <v>0</v>
      </c>
      <c r="V200">
        <f t="shared" si="25"/>
        <v>1</v>
      </c>
      <c r="W200">
        <f t="shared" si="27"/>
        <v>1</v>
      </c>
      <c r="X200" t="str" cm="1">
        <f t="array" ref="X200">_xlfn.IFS(W200&lt;=1,"Low",W200=2,"Medium",W200&gt;=3,"High")</f>
        <v>Low</v>
      </c>
    </row>
    <row r="201" spans="1:24" x14ac:dyDescent="0.3">
      <c r="A201" t="s">
        <v>472</v>
      </c>
      <c r="B201" t="s">
        <v>459</v>
      </c>
      <c r="C201" s="3">
        <v>45804</v>
      </c>
      <c r="D201" s="8" t="s">
        <v>473</v>
      </c>
      <c r="E201" s="7" t="s">
        <v>60</v>
      </c>
      <c r="F201" s="7" t="s">
        <v>61</v>
      </c>
      <c r="G201" s="7" t="s">
        <v>250</v>
      </c>
      <c r="H201" s="4">
        <v>7170.61</v>
      </c>
      <c r="I201" s="7" t="s">
        <v>95</v>
      </c>
      <c r="J201" s="7" t="s">
        <v>17</v>
      </c>
      <c r="L201" t="str">
        <f>PROPER(TRIM(SUBSTITUTE(_xlfn.XLOOKUP(B201,Cardholders_Reference!A:A,Cardholders_Reference!B:B),","," ")))</f>
        <v>Lerato Naidoo</v>
      </c>
      <c r="M201" s="5">
        <f>_xlfn.XLOOKUP(B201,Cardholders_Reference!A:A,Cardholders_Reference!G:G)</f>
        <v>80000</v>
      </c>
      <c r="N201" s="7" t="str">
        <f>_xlfn.XLOOKUP(B201,Cardholders_Reference!A:A,Cardholders_Reference!D:D)</f>
        <v>Standard Bank</v>
      </c>
      <c r="O201" s="7" t="str">
        <f>_xlfn.XLOOKUP(B201,Cardholders_Reference!A:A,Cardholders_Reference!E:E)</f>
        <v>Mastercard</v>
      </c>
      <c r="P201" s="6">
        <f t="shared" si="26"/>
        <v>8.9632624999999994E-2</v>
      </c>
      <c r="Q201">
        <f t="shared" si="21"/>
        <v>0</v>
      </c>
      <c r="R201">
        <f t="shared" si="22"/>
        <v>0</v>
      </c>
      <c r="S201">
        <f>IF(COUNTIFS($B$1:$B$738,B200,$C$1:$C$738,#REF!)&gt;2,1,0)</f>
        <v>0</v>
      </c>
      <c r="T201">
        <f t="shared" si="23"/>
        <v>0</v>
      </c>
      <c r="U201">
        <f t="shared" si="24"/>
        <v>1</v>
      </c>
      <c r="V201">
        <f t="shared" si="25"/>
        <v>1</v>
      </c>
      <c r="W201">
        <f t="shared" si="27"/>
        <v>2</v>
      </c>
      <c r="X201" t="str" cm="1">
        <f t="array" ref="X201">_xlfn.IFS(W201&lt;=1,"Low",W201=2,"Medium",W201&gt;=3,"High")</f>
        <v>Medium</v>
      </c>
    </row>
    <row r="202" spans="1:24" x14ac:dyDescent="0.3">
      <c r="A202" t="s">
        <v>474</v>
      </c>
      <c r="B202" t="s">
        <v>459</v>
      </c>
      <c r="C202" s="3">
        <v>46163</v>
      </c>
      <c r="D202" s="8" t="s">
        <v>318</v>
      </c>
      <c r="E202" s="7" t="s">
        <v>31</v>
      </c>
      <c r="F202" s="7" t="s">
        <v>25</v>
      </c>
      <c r="G202" s="7" t="s">
        <v>250</v>
      </c>
      <c r="H202" s="4">
        <v>617.52</v>
      </c>
      <c r="I202" s="7" t="s">
        <v>32</v>
      </c>
      <c r="J202" s="7" t="s">
        <v>17</v>
      </c>
      <c r="L202" t="str">
        <f>PROPER(TRIM(SUBSTITUTE(_xlfn.XLOOKUP(B202,Cardholders_Reference!A:A,Cardholders_Reference!B:B),","," ")))</f>
        <v>Lerato Naidoo</v>
      </c>
      <c r="M202" s="5">
        <f>_xlfn.XLOOKUP(B202,Cardholders_Reference!A:A,Cardholders_Reference!G:G)</f>
        <v>80000</v>
      </c>
      <c r="N202" s="7" t="str">
        <f>_xlfn.XLOOKUP(B202,Cardholders_Reference!A:A,Cardholders_Reference!D:D)</f>
        <v>Standard Bank</v>
      </c>
      <c r="O202" s="7" t="str">
        <f>_xlfn.XLOOKUP(B202,Cardholders_Reference!A:A,Cardholders_Reference!E:E)</f>
        <v>Mastercard</v>
      </c>
      <c r="P202" s="6">
        <f t="shared" si="26"/>
        <v>7.7190000000000002E-3</v>
      </c>
      <c r="Q202">
        <f t="shared" si="21"/>
        <v>0</v>
      </c>
      <c r="R202">
        <f t="shared" si="22"/>
        <v>0</v>
      </c>
      <c r="S202">
        <f>IF(COUNTIFS($B$1:$B$738,B201,$C$1:$C$738,#REF!)&gt;2,1,0)</f>
        <v>0</v>
      </c>
      <c r="T202">
        <f t="shared" si="23"/>
        <v>0</v>
      </c>
      <c r="U202">
        <f t="shared" si="24"/>
        <v>0</v>
      </c>
      <c r="V202">
        <f t="shared" si="25"/>
        <v>0</v>
      </c>
      <c r="W202">
        <f t="shared" si="27"/>
        <v>0</v>
      </c>
      <c r="X202" t="str" cm="1">
        <f t="array" ref="X202">_xlfn.IFS(W202&lt;=1,"Low",W202=2,"Medium",W202&gt;=3,"High")</f>
        <v>Low</v>
      </c>
    </row>
    <row r="203" spans="1:24" x14ac:dyDescent="0.3">
      <c r="A203" t="s">
        <v>475</v>
      </c>
      <c r="B203" t="s">
        <v>459</v>
      </c>
      <c r="C203" s="3">
        <v>46113</v>
      </c>
      <c r="D203" s="8" t="s">
        <v>476</v>
      </c>
      <c r="E203" s="7" t="s">
        <v>121</v>
      </c>
      <c r="F203" s="7" t="s">
        <v>36</v>
      </c>
      <c r="G203" s="7" t="s">
        <v>250</v>
      </c>
      <c r="H203" s="4">
        <v>148.35</v>
      </c>
      <c r="I203" s="7" t="s">
        <v>16</v>
      </c>
      <c r="J203" s="7" t="s">
        <v>17</v>
      </c>
      <c r="L203" t="str">
        <f>PROPER(TRIM(SUBSTITUTE(_xlfn.XLOOKUP(B203,Cardholders_Reference!A:A,Cardholders_Reference!B:B),","," ")))</f>
        <v>Lerato Naidoo</v>
      </c>
      <c r="M203" s="5">
        <f>_xlfn.XLOOKUP(B203,Cardholders_Reference!A:A,Cardholders_Reference!G:G)</f>
        <v>80000</v>
      </c>
      <c r="N203" s="7" t="str">
        <f>_xlfn.XLOOKUP(B203,Cardholders_Reference!A:A,Cardholders_Reference!D:D)</f>
        <v>Standard Bank</v>
      </c>
      <c r="O203" s="7" t="str">
        <f>_xlfn.XLOOKUP(B203,Cardholders_Reference!A:A,Cardholders_Reference!E:E)</f>
        <v>Mastercard</v>
      </c>
      <c r="P203" s="6">
        <f t="shared" si="26"/>
        <v>1.8543749999999999E-3</v>
      </c>
      <c r="Q203">
        <f t="shared" si="21"/>
        <v>0</v>
      </c>
      <c r="R203">
        <f t="shared" si="22"/>
        <v>0</v>
      </c>
      <c r="S203">
        <f>IF(COUNTIFS($B$1:$B$738,B202,$C$1:$C$738,#REF!)&gt;2,1,0)</f>
        <v>0</v>
      </c>
      <c r="T203">
        <f t="shared" si="23"/>
        <v>0</v>
      </c>
      <c r="U203">
        <f t="shared" si="24"/>
        <v>0</v>
      </c>
      <c r="V203">
        <f t="shared" si="25"/>
        <v>0</v>
      </c>
      <c r="W203">
        <f t="shared" si="27"/>
        <v>0</v>
      </c>
      <c r="X203" t="str" cm="1">
        <f t="array" ref="X203">_xlfn.IFS(W203&lt;=1,"Low",W203=2,"Medium",W203&gt;=3,"High")</f>
        <v>Low</v>
      </c>
    </row>
    <row r="204" spans="1:24" x14ac:dyDescent="0.3">
      <c r="A204" t="s">
        <v>477</v>
      </c>
      <c r="B204" t="s">
        <v>478</v>
      </c>
      <c r="C204" s="3">
        <v>45705</v>
      </c>
      <c r="D204" s="8" t="s">
        <v>479</v>
      </c>
      <c r="E204" s="7" t="s">
        <v>14</v>
      </c>
      <c r="F204" s="7" t="s">
        <v>15</v>
      </c>
      <c r="G204" s="7" t="s">
        <v>264</v>
      </c>
      <c r="H204" s="4">
        <v>2669.71</v>
      </c>
      <c r="I204" s="7" t="s">
        <v>95</v>
      </c>
      <c r="J204" s="7" t="s">
        <v>17</v>
      </c>
      <c r="L204" t="str">
        <f>PROPER(TRIM(SUBSTITUTE(_xlfn.XLOOKUP(B204,Cardholders_Reference!A:A,Cardholders_Reference!B:B),","," ")))</f>
        <v>Aisha Govender</v>
      </c>
      <c r="M204" s="5">
        <f>_xlfn.XLOOKUP(B204,Cardholders_Reference!A:A,Cardholders_Reference!G:G)</f>
        <v>20000</v>
      </c>
      <c r="N204" s="7" t="str">
        <f>_xlfn.XLOOKUP(B204,Cardholders_Reference!A:A,Cardholders_Reference!D:D)</f>
        <v>FNB</v>
      </c>
      <c r="O204" s="7" t="str">
        <f>_xlfn.XLOOKUP(B204,Cardholders_Reference!A:A,Cardholders_Reference!E:E)</f>
        <v>Visa</v>
      </c>
      <c r="P204" s="6">
        <f t="shared" si="26"/>
        <v>0.13348550000000001</v>
      </c>
      <c r="Q204">
        <f t="shared" si="21"/>
        <v>0</v>
      </c>
      <c r="R204">
        <f t="shared" si="22"/>
        <v>0</v>
      </c>
      <c r="S204">
        <f>IF(COUNTIFS($B$1:$B$738,B203,$C$1:$C$738,#REF!)&gt;2,1,0)</f>
        <v>0</v>
      </c>
      <c r="T204">
        <f t="shared" si="23"/>
        <v>0</v>
      </c>
      <c r="U204">
        <f t="shared" si="24"/>
        <v>0</v>
      </c>
      <c r="V204">
        <f t="shared" si="25"/>
        <v>1</v>
      </c>
      <c r="W204">
        <f t="shared" si="27"/>
        <v>1</v>
      </c>
      <c r="X204" t="str" cm="1">
        <f t="array" ref="X204">_xlfn.IFS(W204&lt;=1,"Low",W204=2,"Medium",W204&gt;=3,"High")</f>
        <v>Low</v>
      </c>
    </row>
    <row r="205" spans="1:24" x14ac:dyDescent="0.3">
      <c r="A205" t="s">
        <v>480</v>
      </c>
      <c r="B205" t="s">
        <v>478</v>
      </c>
      <c r="C205" s="3">
        <v>45822</v>
      </c>
      <c r="D205" s="8" t="s">
        <v>481</v>
      </c>
      <c r="E205" s="7" t="s">
        <v>104</v>
      </c>
      <c r="F205" s="7" t="s">
        <v>65</v>
      </c>
      <c r="G205" s="7" t="s">
        <v>264</v>
      </c>
      <c r="H205" s="4">
        <v>4786.92</v>
      </c>
      <c r="I205" s="7" t="s">
        <v>32</v>
      </c>
      <c r="J205" s="7" t="s">
        <v>17</v>
      </c>
      <c r="L205" t="str">
        <f>PROPER(TRIM(SUBSTITUTE(_xlfn.XLOOKUP(B205,Cardholders_Reference!A:A,Cardholders_Reference!B:B),","," ")))</f>
        <v>Aisha Govender</v>
      </c>
      <c r="M205" s="5">
        <f>_xlfn.XLOOKUP(B205,Cardholders_Reference!A:A,Cardholders_Reference!G:G)</f>
        <v>20000</v>
      </c>
      <c r="N205" s="7" t="str">
        <f>_xlfn.XLOOKUP(B205,Cardholders_Reference!A:A,Cardholders_Reference!D:D)</f>
        <v>FNB</v>
      </c>
      <c r="O205" s="7" t="str">
        <f>_xlfn.XLOOKUP(B205,Cardholders_Reference!A:A,Cardholders_Reference!E:E)</f>
        <v>Visa</v>
      </c>
      <c r="P205" s="6">
        <f t="shared" si="26"/>
        <v>0.239346</v>
      </c>
      <c r="Q205">
        <f t="shared" si="21"/>
        <v>0</v>
      </c>
      <c r="R205">
        <f t="shared" si="22"/>
        <v>0</v>
      </c>
      <c r="S205">
        <f>IF(COUNTIFS($B$1:$B$738,B204,$C$1:$C$738,#REF!)&gt;2,1,0)</f>
        <v>0</v>
      </c>
      <c r="T205">
        <f t="shared" si="23"/>
        <v>0</v>
      </c>
      <c r="U205">
        <f t="shared" si="24"/>
        <v>0</v>
      </c>
      <c r="V205">
        <f t="shared" si="25"/>
        <v>0</v>
      </c>
      <c r="W205">
        <f t="shared" si="27"/>
        <v>0</v>
      </c>
      <c r="X205" t="str" cm="1">
        <f t="array" ref="X205">_xlfn.IFS(W205&lt;=1,"Low",W205=2,"Medium",W205&gt;=3,"High")</f>
        <v>Low</v>
      </c>
    </row>
    <row r="206" spans="1:24" x14ac:dyDescent="0.3">
      <c r="A206" t="s">
        <v>482</v>
      </c>
      <c r="B206" t="s">
        <v>478</v>
      </c>
      <c r="C206" s="3">
        <v>46512</v>
      </c>
      <c r="D206" s="8" t="s">
        <v>483</v>
      </c>
      <c r="E206" s="7" t="s">
        <v>57</v>
      </c>
      <c r="F206" s="7" t="s">
        <v>36</v>
      </c>
      <c r="G206" s="7" t="s">
        <v>264</v>
      </c>
      <c r="H206" s="4">
        <v>132.65</v>
      </c>
      <c r="I206" s="7" t="s">
        <v>95</v>
      </c>
      <c r="J206" s="7" t="s">
        <v>17</v>
      </c>
      <c r="L206" t="str">
        <f>PROPER(TRIM(SUBSTITUTE(_xlfn.XLOOKUP(B206,Cardholders_Reference!A:A,Cardholders_Reference!B:B),","," ")))</f>
        <v>Aisha Govender</v>
      </c>
      <c r="M206" s="5">
        <f>_xlfn.XLOOKUP(B206,Cardholders_Reference!A:A,Cardholders_Reference!G:G)</f>
        <v>20000</v>
      </c>
      <c r="N206" s="7" t="str">
        <f>_xlfn.XLOOKUP(B206,Cardholders_Reference!A:A,Cardholders_Reference!D:D)</f>
        <v>FNB</v>
      </c>
      <c r="O206" s="7" t="str">
        <f>_xlfn.XLOOKUP(B206,Cardholders_Reference!A:A,Cardholders_Reference!E:E)</f>
        <v>Visa</v>
      </c>
      <c r="P206" s="6">
        <f t="shared" si="26"/>
        <v>6.6325000000000004E-3</v>
      </c>
      <c r="Q206">
        <f t="shared" si="21"/>
        <v>0</v>
      </c>
      <c r="R206">
        <f t="shared" si="22"/>
        <v>0</v>
      </c>
      <c r="S206">
        <f>IF(COUNTIFS($B$1:$B$738,B205,$C$1:$C$738,#REF!)&gt;2,1,0)</f>
        <v>0</v>
      </c>
      <c r="T206">
        <f t="shared" si="23"/>
        <v>0</v>
      </c>
      <c r="U206">
        <f t="shared" si="24"/>
        <v>1</v>
      </c>
      <c r="V206">
        <f t="shared" si="25"/>
        <v>1</v>
      </c>
      <c r="W206">
        <f t="shared" si="27"/>
        <v>2</v>
      </c>
      <c r="X206" t="str" cm="1">
        <f t="array" ref="X206">_xlfn.IFS(W206&lt;=1,"Low",W206=2,"Medium",W206&gt;=3,"High")</f>
        <v>Medium</v>
      </c>
    </row>
    <row r="207" spans="1:24" x14ac:dyDescent="0.3">
      <c r="A207" t="s">
        <v>484</v>
      </c>
      <c r="B207" t="s">
        <v>478</v>
      </c>
      <c r="C207" s="3">
        <v>45792</v>
      </c>
      <c r="D207" s="8" t="s">
        <v>485</v>
      </c>
      <c r="E207" s="7" t="s">
        <v>486</v>
      </c>
      <c r="F207" s="7" t="s">
        <v>21</v>
      </c>
      <c r="G207" s="7" t="s">
        <v>264</v>
      </c>
      <c r="H207" s="4">
        <v>2449.77</v>
      </c>
      <c r="I207" s="7" t="s">
        <v>16</v>
      </c>
      <c r="J207" s="7" t="s">
        <v>17</v>
      </c>
      <c r="L207" t="str">
        <f>PROPER(TRIM(SUBSTITUTE(_xlfn.XLOOKUP(B207,Cardholders_Reference!A:A,Cardholders_Reference!B:B),","," ")))</f>
        <v>Aisha Govender</v>
      </c>
      <c r="M207" s="5">
        <f>_xlfn.XLOOKUP(B207,Cardholders_Reference!A:A,Cardholders_Reference!G:G)</f>
        <v>20000</v>
      </c>
      <c r="N207" s="7" t="str">
        <f>_xlfn.XLOOKUP(B207,Cardholders_Reference!A:A,Cardholders_Reference!D:D)</f>
        <v>FNB</v>
      </c>
      <c r="O207" s="7" t="str">
        <f>_xlfn.XLOOKUP(B207,Cardholders_Reference!A:A,Cardholders_Reference!E:E)</f>
        <v>Visa</v>
      </c>
      <c r="P207" s="6">
        <f t="shared" si="26"/>
        <v>0.1224885</v>
      </c>
      <c r="Q207">
        <f t="shared" si="21"/>
        <v>0</v>
      </c>
      <c r="R207">
        <f t="shared" si="22"/>
        <v>0</v>
      </c>
      <c r="S207">
        <f>IF(COUNTIFS($B$1:$B$738,B206,$C$1:$C$738,#REF!)&gt;2,1,0)</f>
        <v>0</v>
      </c>
      <c r="T207">
        <f t="shared" si="23"/>
        <v>0</v>
      </c>
      <c r="U207">
        <f t="shared" si="24"/>
        <v>0</v>
      </c>
      <c r="V207">
        <f t="shared" si="25"/>
        <v>0</v>
      </c>
      <c r="W207">
        <f t="shared" si="27"/>
        <v>0</v>
      </c>
      <c r="X207" t="str" cm="1">
        <f t="array" ref="X207">_xlfn.IFS(W207&lt;=1,"Low",W207=2,"Medium",W207&gt;=3,"High")</f>
        <v>Low</v>
      </c>
    </row>
    <row r="208" spans="1:24" x14ac:dyDescent="0.3">
      <c r="A208" t="s">
        <v>487</v>
      </c>
      <c r="B208" t="s">
        <v>478</v>
      </c>
      <c r="C208" s="3">
        <v>46274</v>
      </c>
      <c r="D208" s="8" t="s">
        <v>488</v>
      </c>
      <c r="E208" s="7" t="s">
        <v>14</v>
      </c>
      <c r="F208" s="7" t="s">
        <v>15</v>
      </c>
      <c r="G208" s="7" t="s">
        <v>264</v>
      </c>
      <c r="H208" s="4">
        <v>1306.23</v>
      </c>
      <c r="I208" s="7" t="s">
        <v>32</v>
      </c>
      <c r="J208" s="7" t="s">
        <v>17</v>
      </c>
      <c r="L208" t="str">
        <f>PROPER(TRIM(SUBSTITUTE(_xlfn.XLOOKUP(B208,Cardholders_Reference!A:A,Cardholders_Reference!B:B),","," ")))</f>
        <v>Aisha Govender</v>
      </c>
      <c r="M208" s="5">
        <f>_xlfn.XLOOKUP(B208,Cardholders_Reference!A:A,Cardholders_Reference!G:G)</f>
        <v>20000</v>
      </c>
      <c r="N208" s="7" t="str">
        <f>_xlfn.XLOOKUP(B208,Cardholders_Reference!A:A,Cardholders_Reference!D:D)</f>
        <v>FNB</v>
      </c>
      <c r="O208" s="7" t="str">
        <f>_xlfn.XLOOKUP(B208,Cardholders_Reference!A:A,Cardholders_Reference!E:E)</f>
        <v>Visa</v>
      </c>
      <c r="P208" s="6">
        <f t="shared" si="26"/>
        <v>6.5311499999999995E-2</v>
      </c>
      <c r="Q208">
        <f t="shared" si="21"/>
        <v>0</v>
      </c>
      <c r="R208">
        <f t="shared" si="22"/>
        <v>0</v>
      </c>
      <c r="S208">
        <f>IF(COUNTIFS($B$1:$B$738,B207,$C$1:$C$738,#REF!)&gt;2,1,0)</f>
        <v>0</v>
      </c>
      <c r="T208">
        <f t="shared" si="23"/>
        <v>0</v>
      </c>
      <c r="U208">
        <f t="shared" si="24"/>
        <v>1</v>
      </c>
      <c r="V208">
        <f t="shared" si="25"/>
        <v>0</v>
      </c>
      <c r="W208">
        <f t="shared" si="27"/>
        <v>1</v>
      </c>
      <c r="X208" t="str" cm="1">
        <f t="array" ref="X208">_xlfn.IFS(W208&lt;=1,"Low",W208=2,"Medium",W208&gt;=3,"High")</f>
        <v>Low</v>
      </c>
    </row>
    <row r="209" spans="1:24" x14ac:dyDescent="0.3">
      <c r="A209" t="s">
        <v>489</v>
      </c>
      <c r="B209" t="s">
        <v>478</v>
      </c>
      <c r="C209" s="3">
        <v>46026</v>
      </c>
      <c r="D209" s="8" t="s">
        <v>490</v>
      </c>
      <c r="E209" s="7" t="s">
        <v>206</v>
      </c>
      <c r="F209" s="7" t="s">
        <v>61</v>
      </c>
      <c r="G209" s="7" t="s">
        <v>264</v>
      </c>
      <c r="H209" s="4">
        <v>11741.81</v>
      </c>
      <c r="I209" s="7" t="s">
        <v>95</v>
      </c>
      <c r="J209" s="7" t="s">
        <v>17</v>
      </c>
      <c r="L209" t="str">
        <f>PROPER(TRIM(SUBSTITUTE(_xlfn.XLOOKUP(B209,Cardholders_Reference!A:A,Cardholders_Reference!B:B),","," ")))</f>
        <v>Aisha Govender</v>
      </c>
      <c r="M209" s="5">
        <f>_xlfn.XLOOKUP(B209,Cardholders_Reference!A:A,Cardholders_Reference!G:G)</f>
        <v>20000</v>
      </c>
      <c r="N209" s="7" t="str">
        <f>_xlfn.XLOOKUP(B209,Cardholders_Reference!A:A,Cardholders_Reference!D:D)</f>
        <v>FNB</v>
      </c>
      <c r="O209" s="7" t="str">
        <f>_xlfn.XLOOKUP(B209,Cardholders_Reference!A:A,Cardholders_Reference!E:E)</f>
        <v>Visa</v>
      </c>
      <c r="P209" s="6">
        <f t="shared" si="26"/>
        <v>0.58709049999999996</v>
      </c>
      <c r="Q209">
        <f t="shared" si="21"/>
        <v>0</v>
      </c>
      <c r="R209">
        <f t="shared" si="22"/>
        <v>0</v>
      </c>
      <c r="S209">
        <f>IF(COUNTIFS($B$1:$B$738,B208,$C$1:$C$738,#REF!)&gt;2,1,0)</f>
        <v>0</v>
      </c>
      <c r="T209">
        <f t="shared" si="23"/>
        <v>0</v>
      </c>
      <c r="U209">
        <f t="shared" si="24"/>
        <v>0</v>
      </c>
      <c r="V209">
        <f t="shared" si="25"/>
        <v>1</v>
      </c>
      <c r="W209">
        <f t="shared" si="27"/>
        <v>1</v>
      </c>
      <c r="X209" t="str" cm="1">
        <f t="array" ref="X209">_xlfn.IFS(W209&lt;=1,"Low",W209=2,"Medium",W209&gt;=3,"High")</f>
        <v>Low</v>
      </c>
    </row>
    <row r="210" spans="1:24" x14ac:dyDescent="0.3">
      <c r="A210" t="s">
        <v>491</v>
      </c>
      <c r="B210" t="s">
        <v>478</v>
      </c>
      <c r="C210" s="3">
        <v>45717</v>
      </c>
      <c r="D210" s="8" t="s">
        <v>1439</v>
      </c>
      <c r="E210" s="7" t="s">
        <v>97</v>
      </c>
      <c r="F210" s="7" t="s">
        <v>53</v>
      </c>
      <c r="G210" s="7" t="s">
        <v>264</v>
      </c>
      <c r="H210" s="4">
        <v>1219.81</v>
      </c>
      <c r="I210" s="7" t="s">
        <v>26</v>
      </c>
      <c r="J210" s="7" t="s">
        <v>17</v>
      </c>
      <c r="L210" t="str">
        <f>PROPER(TRIM(SUBSTITUTE(_xlfn.XLOOKUP(B210,Cardholders_Reference!A:A,Cardholders_Reference!B:B),","," ")))</f>
        <v>Aisha Govender</v>
      </c>
      <c r="M210" s="5">
        <f>_xlfn.XLOOKUP(B210,Cardholders_Reference!A:A,Cardholders_Reference!G:G)</f>
        <v>20000</v>
      </c>
      <c r="N210" s="7" t="str">
        <f>_xlfn.XLOOKUP(B210,Cardholders_Reference!A:A,Cardholders_Reference!D:D)</f>
        <v>FNB</v>
      </c>
      <c r="O210" s="7" t="str">
        <f>_xlfn.XLOOKUP(B210,Cardholders_Reference!A:A,Cardholders_Reference!E:E)</f>
        <v>Visa</v>
      </c>
      <c r="P210" s="6">
        <f t="shared" si="26"/>
        <v>6.0990499999999996E-2</v>
      </c>
      <c r="Q210">
        <f t="shared" si="21"/>
        <v>0</v>
      </c>
      <c r="R210">
        <f t="shared" si="22"/>
        <v>1</v>
      </c>
      <c r="S210">
        <f>IF(COUNTIFS($B$1:$B$738,B209,$C$1:$C$738,#REF!)&gt;2,1,0)</f>
        <v>0</v>
      </c>
      <c r="T210">
        <f t="shared" si="23"/>
        <v>1</v>
      </c>
      <c r="U210">
        <f t="shared" si="24"/>
        <v>0</v>
      </c>
      <c r="V210">
        <f t="shared" si="25"/>
        <v>1</v>
      </c>
      <c r="W210">
        <f t="shared" si="27"/>
        <v>3</v>
      </c>
      <c r="X210" t="str" cm="1">
        <f t="array" ref="X210">_xlfn.IFS(W210&lt;=1,"Low",W210=2,"Medium",W210&gt;=3,"High")</f>
        <v>High</v>
      </c>
    </row>
    <row r="211" spans="1:24" x14ac:dyDescent="0.3">
      <c r="A211" t="s">
        <v>492</v>
      </c>
      <c r="B211" t="s">
        <v>478</v>
      </c>
      <c r="C211" s="3">
        <v>46164</v>
      </c>
      <c r="D211" s="8" t="s">
        <v>493</v>
      </c>
      <c r="E211" s="7" t="s">
        <v>245</v>
      </c>
      <c r="F211" s="7" t="s">
        <v>48</v>
      </c>
      <c r="G211" s="7" t="s">
        <v>264</v>
      </c>
      <c r="H211" s="4">
        <v>1303.33</v>
      </c>
      <c r="I211" s="7" t="s">
        <v>16</v>
      </c>
      <c r="J211" s="7" t="s">
        <v>41</v>
      </c>
      <c r="L211" t="str">
        <f>PROPER(TRIM(SUBSTITUTE(_xlfn.XLOOKUP(B211,Cardholders_Reference!A:A,Cardholders_Reference!B:B),","," ")))</f>
        <v>Aisha Govender</v>
      </c>
      <c r="M211" s="5">
        <f>_xlfn.XLOOKUP(B211,Cardholders_Reference!A:A,Cardholders_Reference!G:G)</f>
        <v>20000</v>
      </c>
      <c r="N211" s="7" t="str">
        <f>_xlfn.XLOOKUP(B211,Cardholders_Reference!A:A,Cardholders_Reference!D:D)</f>
        <v>FNB</v>
      </c>
      <c r="O211" s="7" t="str">
        <f>_xlfn.XLOOKUP(B211,Cardholders_Reference!A:A,Cardholders_Reference!E:E)</f>
        <v>Visa</v>
      </c>
      <c r="P211" s="6">
        <f t="shared" si="26"/>
        <v>6.5166500000000002E-2</v>
      </c>
      <c r="Q211">
        <f t="shared" si="21"/>
        <v>0</v>
      </c>
      <c r="R211">
        <f t="shared" si="22"/>
        <v>0</v>
      </c>
      <c r="S211">
        <f>IF(COUNTIFS($B$1:$B$738,B210,$C$1:$C$738,#REF!)&gt;2,1,0)</f>
        <v>0</v>
      </c>
      <c r="T211">
        <f t="shared" si="23"/>
        <v>0</v>
      </c>
      <c r="U211">
        <f t="shared" si="24"/>
        <v>0</v>
      </c>
      <c r="V211">
        <f t="shared" si="25"/>
        <v>0</v>
      </c>
      <c r="W211">
        <f t="shared" si="27"/>
        <v>0</v>
      </c>
      <c r="X211" t="str" cm="1">
        <f t="array" ref="X211">_xlfn.IFS(W211&lt;=1,"Low",W211=2,"Medium",W211&gt;=3,"High")</f>
        <v>Low</v>
      </c>
    </row>
    <row r="212" spans="1:24" x14ac:dyDescent="0.3">
      <c r="A212" t="s">
        <v>494</v>
      </c>
      <c r="B212" t="s">
        <v>478</v>
      </c>
      <c r="C212" s="3">
        <v>45669</v>
      </c>
      <c r="D212" s="8" t="s">
        <v>359</v>
      </c>
      <c r="E212" s="7" t="s">
        <v>44</v>
      </c>
      <c r="F212" s="7" t="s">
        <v>25</v>
      </c>
      <c r="G212" s="7" t="s">
        <v>264</v>
      </c>
      <c r="H212" s="4">
        <v>353</v>
      </c>
      <c r="I212" s="7" t="s">
        <v>32</v>
      </c>
      <c r="J212" s="7" t="s">
        <v>17</v>
      </c>
      <c r="L212" t="str">
        <f>PROPER(TRIM(SUBSTITUTE(_xlfn.XLOOKUP(B212,Cardholders_Reference!A:A,Cardholders_Reference!B:B),","," ")))</f>
        <v>Aisha Govender</v>
      </c>
      <c r="M212" s="5">
        <f>_xlfn.XLOOKUP(B212,Cardholders_Reference!A:A,Cardholders_Reference!G:G)</f>
        <v>20000</v>
      </c>
      <c r="N212" s="7" t="str">
        <f>_xlfn.XLOOKUP(B212,Cardholders_Reference!A:A,Cardholders_Reference!D:D)</f>
        <v>FNB</v>
      </c>
      <c r="O212" s="7" t="str">
        <f>_xlfn.XLOOKUP(B212,Cardholders_Reference!A:A,Cardholders_Reference!E:E)</f>
        <v>Visa</v>
      </c>
      <c r="P212" s="6">
        <f t="shared" si="26"/>
        <v>1.7649999999999999E-2</v>
      </c>
      <c r="Q212">
        <f t="shared" si="21"/>
        <v>0</v>
      </c>
      <c r="R212">
        <f t="shared" si="22"/>
        <v>0</v>
      </c>
      <c r="S212">
        <f>IF(COUNTIFS($B$1:$B$738,B211,$C$1:$C$738,#REF!)&gt;2,1,0)</f>
        <v>0</v>
      </c>
      <c r="T212">
        <f t="shared" si="23"/>
        <v>0</v>
      </c>
      <c r="U212">
        <f t="shared" si="24"/>
        <v>0</v>
      </c>
      <c r="V212">
        <f t="shared" si="25"/>
        <v>0</v>
      </c>
      <c r="W212">
        <f t="shared" si="27"/>
        <v>0</v>
      </c>
      <c r="X212" t="str" cm="1">
        <f t="array" ref="X212">_xlfn.IFS(W212&lt;=1,"Low",W212=2,"Medium",W212&gt;=3,"High")</f>
        <v>Low</v>
      </c>
    </row>
    <row r="213" spans="1:24" x14ac:dyDescent="0.3">
      <c r="A213" t="s">
        <v>495</v>
      </c>
      <c r="B213" t="s">
        <v>478</v>
      </c>
      <c r="C213" s="3">
        <v>45875</v>
      </c>
      <c r="D213" s="8" t="s">
        <v>496</v>
      </c>
      <c r="E213" s="7" t="s">
        <v>129</v>
      </c>
      <c r="F213" s="7" t="s">
        <v>25</v>
      </c>
      <c r="G213" s="7" t="s">
        <v>264</v>
      </c>
      <c r="H213" s="4">
        <v>963.15</v>
      </c>
      <c r="I213" s="7" t="s">
        <v>26</v>
      </c>
      <c r="J213" s="7" t="s">
        <v>17</v>
      </c>
      <c r="L213" t="str">
        <f>PROPER(TRIM(SUBSTITUTE(_xlfn.XLOOKUP(B213,Cardholders_Reference!A:A,Cardholders_Reference!B:B),","," ")))</f>
        <v>Aisha Govender</v>
      </c>
      <c r="M213" s="5">
        <f>_xlfn.XLOOKUP(B213,Cardholders_Reference!A:A,Cardholders_Reference!G:G)</f>
        <v>20000</v>
      </c>
      <c r="N213" s="7" t="str">
        <f>_xlfn.XLOOKUP(B213,Cardholders_Reference!A:A,Cardholders_Reference!D:D)</f>
        <v>FNB</v>
      </c>
      <c r="O213" s="7" t="str">
        <f>_xlfn.XLOOKUP(B213,Cardholders_Reference!A:A,Cardholders_Reference!E:E)</f>
        <v>Visa</v>
      </c>
      <c r="P213" s="6">
        <f t="shared" si="26"/>
        <v>4.8157499999999999E-2</v>
      </c>
      <c r="Q213">
        <f t="shared" si="21"/>
        <v>0</v>
      </c>
      <c r="R213">
        <f t="shared" si="22"/>
        <v>0</v>
      </c>
      <c r="S213">
        <f>IF(COUNTIFS($B$1:$B$738,B212,$C$1:$C$738,#REF!)&gt;2,1,0)</f>
        <v>0</v>
      </c>
      <c r="T213">
        <f t="shared" si="23"/>
        <v>0</v>
      </c>
      <c r="U213">
        <f t="shared" si="24"/>
        <v>0</v>
      </c>
      <c r="V213">
        <f t="shared" si="25"/>
        <v>1</v>
      </c>
      <c r="W213">
        <f t="shared" si="27"/>
        <v>1</v>
      </c>
      <c r="X213" t="str" cm="1">
        <f t="array" ref="X213">_xlfn.IFS(W213&lt;=1,"Low",W213=2,"Medium",W213&gt;=3,"High")</f>
        <v>Low</v>
      </c>
    </row>
    <row r="214" spans="1:24" x14ac:dyDescent="0.3">
      <c r="A214" t="s">
        <v>497</v>
      </c>
      <c r="B214" t="s">
        <v>478</v>
      </c>
      <c r="C214" s="3">
        <v>46427</v>
      </c>
      <c r="D214" s="8" t="s">
        <v>498</v>
      </c>
      <c r="E214" s="7" t="s">
        <v>242</v>
      </c>
      <c r="F214" s="7" t="s">
        <v>15</v>
      </c>
      <c r="G214" s="7" t="s">
        <v>177</v>
      </c>
      <c r="H214" s="4">
        <v>3864.56</v>
      </c>
      <c r="I214" s="7" t="s">
        <v>26</v>
      </c>
      <c r="J214" s="7" t="s">
        <v>17</v>
      </c>
      <c r="L214" t="str">
        <f>PROPER(TRIM(SUBSTITUTE(_xlfn.XLOOKUP(B214,Cardholders_Reference!A:A,Cardholders_Reference!B:B),","," ")))</f>
        <v>Aisha Govender</v>
      </c>
      <c r="M214" s="5">
        <f>_xlfn.XLOOKUP(B214,Cardholders_Reference!A:A,Cardholders_Reference!G:G)</f>
        <v>20000</v>
      </c>
      <c r="N214" s="7" t="str">
        <f>_xlfn.XLOOKUP(B214,Cardholders_Reference!A:A,Cardholders_Reference!D:D)</f>
        <v>FNB</v>
      </c>
      <c r="O214" s="7" t="str">
        <f>_xlfn.XLOOKUP(B214,Cardholders_Reference!A:A,Cardholders_Reference!E:E)</f>
        <v>Visa</v>
      </c>
      <c r="P214" s="6">
        <f t="shared" si="26"/>
        <v>0.19322800000000001</v>
      </c>
      <c r="Q214">
        <f t="shared" si="21"/>
        <v>0</v>
      </c>
      <c r="R214">
        <f t="shared" si="22"/>
        <v>0</v>
      </c>
      <c r="S214">
        <f>IF(COUNTIFS($B$1:$B$738,B213,$C$1:$C$738,#REF!)&gt;2,1,0)</f>
        <v>0</v>
      </c>
      <c r="T214">
        <f t="shared" si="23"/>
        <v>0</v>
      </c>
      <c r="U214">
        <f t="shared" si="24"/>
        <v>0</v>
      </c>
      <c r="V214">
        <f t="shared" si="25"/>
        <v>1</v>
      </c>
      <c r="W214">
        <f t="shared" si="27"/>
        <v>1</v>
      </c>
      <c r="X214" t="str" cm="1">
        <f t="array" ref="X214">_xlfn.IFS(W214&lt;=1,"Low",W214=2,"Medium",W214&gt;=3,"High")</f>
        <v>Low</v>
      </c>
    </row>
    <row r="215" spans="1:24" x14ac:dyDescent="0.3">
      <c r="A215" t="s">
        <v>499</v>
      </c>
      <c r="B215" t="s">
        <v>478</v>
      </c>
      <c r="C215" s="3">
        <v>45968</v>
      </c>
      <c r="D215" s="8" t="s">
        <v>500</v>
      </c>
      <c r="E215" s="7" t="s">
        <v>230</v>
      </c>
      <c r="F215" s="7" t="s">
        <v>81</v>
      </c>
      <c r="G215" s="7" t="s">
        <v>264</v>
      </c>
      <c r="H215" s="4">
        <v>5499.03</v>
      </c>
      <c r="I215" s="7" t="s">
        <v>26</v>
      </c>
      <c r="J215" s="7" t="s">
        <v>17</v>
      </c>
      <c r="L215" t="str">
        <f>PROPER(TRIM(SUBSTITUTE(_xlfn.XLOOKUP(B215,Cardholders_Reference!A:A,Cardholders_Reference!B:B),","," ")))</f>
        <v>Aisha Govender</v>
      </c>
      <c r="M215" s="5">
        <f>_xlfn.XLOOKUP(B215,Cardholders_Reference!A:A,Cardholders_Reference!G:G)</f>
        <v>20000</v>
      </c>
      <c r="N215" s="7" t="str">
        <f>_xlfn.XLOOKUP(B215,Cardholders_Reference!A:A,Cardholders_Reference!D:D)</f>
        <v>FNB</v>
      </c>
      <c r="O215" s="7" t="str">
        <f>_xlfn.XLOOKUP(B215,Cardholders_Reference!A:A,Cardholders_Reference!E:E)</f>
        <v>Visa</v>
      </c>
      <c r="P215" s="6">
        <f t="shared" si="26"/>
        <v>0.27495149999999996</v>
      </c>
      <c r="Q215">
        <f t="shared" si="21"/>
        <v>1</v>
      </c>
      <c r="R215">
        <f t="shared" si="22"/>
        <v>0</v>
      </c>
      <c r="S215">
        <f>IF(COUNTIFS($B$1:$B$738,B214,$C$1:$C$738,#REF!)&gt;2,1,0)</f>
        <v>0</v>
      </c>
      <c r="T215">
        <f t="shared" si="23"/>
        <v>0</v>
      </c>
      <c r="U215">
        <f t="shared" si="24"/>
        <v>0</v>
      </c>
      <c r="V215">
        <f t="shared" si="25"/>
        <v>1</v>
      </c>
      <c r="W215">
        <f t="shared" si="27"/>
        <v>2</v>
      </c>
      <c r="X215" t="str" cm="1">
        <f t="array" ref="X215">_xlfn.IFS(W215&lt;=1,"Low",W215=2,"Medium",W215&gt;=3,"High")</f>
        <v>Medium</v>
      </c>
    </row>
    <row r="216" spans="1:24" x14ac:dyDescent="0.3">
      <c r="A216" t="s">
        <v>501</v>
      </c>
      <c r="B216" t="s">
        <v>478</v>
      </c>
      <c r="C216" s="3">
        <v>45730</v>
      </c>
      <c r="D216" s="8" t="s">
        <v>502</v>
      </c>
      <c r="E216" s="7" t="s">
        <v>47</v>
      </c>
      <c r="F216" s="7" t="s">
        <v>48</v>
      </c>
      <c r="G216" s="7" t="s">
        <v>264</v>
      </c>
      <c r="H216" s="4">
        <v>279.22000000000003</v>
      </c>
      <c r="I216" s="7" t="s">
        <v>16</v>
      </c>
      <c r="J216" s="7" t="s">
        <v>17</v>
      </c>
      <c r="L216" t="str">
        <f>PROPER(TRIM(SUBSTITUTE(_xlfn.XLOOKUP(B216,Cardholders_Reference!A:A,Cardholders_Reference!B:B),","," ")))</f>
        <v>Aisha Govender</v>
      </c>
      <c r="M216" s="5">
        <f>_xlfn.XLOOKUP(B216,Cardholders_Reference!A:A,Cardholders_Reference!G:G)</f>
        <v>20000</v>
      </c>
      <c r="N216" s="7" t="str">
        <f>_xlfn.XLOOKUP(B216,Cardholders_Reference!A:A,Cardholders_Reference!D:D)</f>
        <v>FNB</v>
      </c>
      <c r="O216" s="7" t="str">
        <f>_xlfn.XLOOKUP(B216,Cardholders_Reference!A:A,Cardholders_Reference!E:E)</f>
        <v>Visa</v>
      </c>
      <c r="P216" s="6">
        <f t="shared" si="26"/>
        <v>1.3961000000000001E-2</v>
      </c>
      <c r="Q216">
        <f t="shared" si="21"/>
        <v>0</v>
      </c>
      <c r="R216">
        <f t="shared" si="22"/>
        <v>0</v>
      </c>
      <c r="S216">
        <f>IF(COUNTIFS($B$1:$B$738,B215,$C$1:$C$738,#REF!)&gt;2,1,0)</f>
        <v>0</v>
      </c>
      <c r="T216">
        <f t="shared" si="23"/>
        <v>0</v>
      </c>
      <c r="U216">
        <f t="shared" si="24"/>
        <v>0</v>
      </c>
      <c r="V216">
        <f t="shared" si="25"/>
        <v>0</v>
      </c>
      <c r="W216">
        <f t="shared" si="27"/>
        <v>0</v>
      </c>
      <c r="X216" t="str" cm="1">
        <f t="array" ref="X216">_xlfn.IFS(W216&lt;=1,"Low",W216=2,"Medium",W216&gt;=3,"High")</f>
        <v>Low</v>
      </c>
    </row>
    <row r="217" spans="1:24" x14ac:dyDescent="0.3">
      <c r="A217" t="s">
        <v>503</v>
      </c>
      <c r="B217" t="s">
        <v>504</v>
      </c>
      <c r="C217" s="3">
        <v>45942</v>
      </c>
      <c r="D217" s="8" t="s">
        <v>505</v>
      </c>
      <c r="E217" s="7" t="s">
        <v>321</v>
      </c>
      <c r="F217" s="7" t="s">
        <v>61</v>
      </c>
      <c r="G217" s="7" t="s">
        <v>177</v>
      </c>
      <c r="H217" s="4">
        <v>1838.95</v>
      </c>
      <c r="I217" s="7" t="s">
        <v>16</v>
      </c>
      <c r="J217" s="7" t="s">
        <v>17</v>
      </c>
      <c r="L217" t="str">
        <f>PROPER(TRIM(SUBSTITUTE(_xlfn.XLOOKUP(B217,Cardholders_Reference!A:A,Cardholders_Reference!B:B),","," ")))</f>
        <v>Pieter Zulu</v>
      </c>
      <c r="M217" s="5">
        <f>_xlfn.XLOOKUP(B217,Cardholders_Reference!A:A,Cardholders_Reference!G:G)</f>
        <v>15000</v>
      </c>
      <c r="N217" s="7" t="str">
        <f>_xlfn.XLOOKUP(B217,Cardholders_Reference!A:A,Cardholders_Reference!D:D)</f>
        <v>FNB</v>
      </c>
      <c r="O217" s="7" t="str">
        <f>_xlfn.XLOOKUP(B217,Cardholders_Reference!A:A,Cardholders_Reference!E:E)</f>
        <v>Mastercard</v>
      </c>
      <c r="P217" s="6">
        <f t="shared" si="26"/>
        <v>0.12259666666666667</v>
      </c>
      <c r="Q217">
        <f t="shared" si="21"/>
        <v>0</v>
      </c>
      <c r="R217">
        <f t="shared" si="22"/>
        <v>0</v>
      </c>
      <c r="S217">
        <f>IF(COUNTIFS($B$1:$B$738,B216,$C$1:$C$738,#REF!)&gt;2,1,0)</f>
        <v>0</v>
      </c>
      <c r="T217">
        <f t="shared" si="23"/>
        <v>0</v>
      </c>
      <c r="U217">
        <f t="shared" si="24"/>
        <v>0</v>
      </c>
      <c r="V217">
        <f t="shared" si="25"/>
        <v>0</v>
      </c>
      <c r="W217">
        <f t="shared" si="27"/>
        <v>0</v>
      </c>
      <c r="X217" t="str" cm="1">
        <f t="array" ref="X217">_xlfn.IFS(W217&lt;=1,"Low",W217=2,"Medium",W217&gt;=3,"High")</f>
        <v>Low</v>
      </c>
    </row>
    <row r="218" spans="1:24" x14ac:dyDescent="0.3">
      <c r="A218" t="s">
        <v>506</v>
      </c>
      <c r="B218" t="s">
        <v>504</v>
      </c>
      <c r="C218" s="3">
        <v>46132</v>
      </c>
      <c r="D218" s="8" t="s">
        <v>507</v>
      </c>
      <c r="E218" s="7" t="s">
        <v>377</v>
      </c>
      <c r="F218" s="7" t="s">
        <v>74</v>
      </c>
      <c r="G218" s="7" t="s">
        <v>177</v>
      </c>
      <c r="H218" s="4">
        <v>70.459999999999994</v>
      </c>
      <c r="I218" s="7" t="s">
        <v>16</v>
      </c>
      <c r="J218" s="7" t="s">
        <v>17</v>
      </c>
      <c r="L218" t="str">
        <f>PROPER(TRIM(SUBSTITUTE(_xlfn.XLOOKUP(B218,Cardholders_Reference!A:A,Cardholders_Reference!B:B),","," ")))</f>
        <v>Pieter Zulu</v>
      </c>
      <c r="M218" s="5">
        <f>_xlfn.XLOOKUP(B218,Cardholders_Reference!A:A,Cardholders_Reference!G:G)</f>
        <v>15000</v>
      </c>
      <c r="N218" s="7" t="str">
        <f>_xlfn.XLOOKUP(B218,Cardholders_Reference!A:A,Cardholders_Reference!D:D)</f>
        <v>FNB</v>
      </c>
      <c r="O218" s="7" t="str">
        <f>_xlfn.XLOOKUP(B218,Cardholders_Reference!A:A,Cardholders_Reference!E:E)</f>
        <v>Mastercard</v>
      </c>
      <c r="P218" s="6">
        <f t="shared" si="26"/>
        <v>4.6973333333333329E-3</v>
      </c>
      <c r="Q218">
        <f t="shared" si="21"/>
        <v>0</v>
      </c>
      <c r="R218">
        <f t="shared" si="22"/>
        <v>0</v>
      </c>
      <c r="S218">
        <f>IF(COUNTIFS($B$1:$B$738,B217,$C$1:$C$738,#REF!)&gt;2,1,0)</f>
        <v>0</v>
      </c>
      <c r="T218">
        <f t="shared" si="23"/>
        <v>0</v>
      </c>
      <c r="U218">
        <f t="shared" si="24"/>
        <v>0</v>
      </c>
      <c r="V218">
        <f t="shared" si="25"/>
        <v>0</v>
      </c>
      <c r="W218">
        <f t="shared" si="27"/>
        <v>0</v>
      </c>
      <c r="X218" t="str" cm="1">
        <f t="array" ref="X218">_xlfn.IFS(W218&lt;=1,"Low",W218=2,"Medium",W218&gt;=3,"High")</f>
        <v>Low</v>
      </c>
    </row>
    <row r="219" spans="1:24" x14ac:dyDescent="0.3">
      <c r="A219" t="s">
        <v>508</v>
      </c>
      <c r="B219" t="s">
        <v>504</v>
      </c>
      <c r="C219" s="3">
        <v>46048</v>
      </c>
      <c r="D219" s="8" t="s">
        <v>509</v>
      </c>
      <c r="E219" s="7" t="s">
        <v>215</v>
      </c>
      <c r="F219" s="7" t="s">
        <v>15</v>
      </c>
      <c r="G219" s="7" t="s">
        <v>177</v>
      </c>
      <c r="H219" s="4">
        <v>2776.89</v>
      </c>
      <c r="I219" s="7" t="s">
        <v>95</v>
      </c>
      <c r="J219" s="7" t="s">
        <v>17</v>
      </c>
      <c r="L219" t="str">
        <f>PROPER(TRIM(SUBSTITUTE(_xlfn.XLOOKUP(B219,Cardholders_Reference!A:A,Cardholders_Reference!B:B),","," ")))</f>
        <v>Pieter Zulu</v>
      </c>
      <c r="M219" s="5">
        <f>_xlfn.XLOOKUP(B219,Cardholders_Reference!A:A,Cardholders_Reference!G:G)</f>
        <v>15000</v>
      </c>
      <c r="N219" s="7" t="str">
        <f>_xlfn.XLOOKUP(B219,Cardholders_Reference!A:A,Cardholders_Reference!D:D)</f>
        <v>FNB</v>
      </c>
      <c r="O219" s="7" t="str">
        <f>_xlfn.XLOOKUP(B219,Cardholders_Reference!A:A,Cardholders_Reference!E:E)</f>
        <v>Mastercard</v>
      </c>
      <c r="P219" s="6">
        <f t="shared" si="26"/>
        <v>0.18512599999999999</v>
      </c>
      <c r="Q219">
        <f t="shared" si="21"/>
        <v>0</v>
      </c>
      <c r="R219">
        <f t="shared" si="22"/>
        <v>0</v>
      </c>
      <c r="S219">
        <f>IF(COUNTIFS($B$1:$B$738,B218,$C$1:$C$738,#REF!)&gt;2,1,0)</f>
        <v>0</v>
      </c>
      <c r="T219">
        <f t="shared" si="23"/>
        <v>0</v>
      </c>
      <c r="U219">
        <f t="shared" si="24"/>
        <v>0</v>
      </c>
      <c r="V219">
        <f t="shared" si="25"/>
        <v>1</v>
      </c>
      <c r="W219">
        <f t="shared" si="27"/>
        <v>1</v>
      </c>
      <c r="X219" t="str" cm="1">
        <f t="array" ref="X219">_xlfn.IFS(W219&lt;=1,"Low",W219=2,"Medium",W219&gt;=3,"High")</f>
        <v>Low</v>
      </c>
    </row>
    <row r="220" spans="1:24" x14ac:dyDescent="0.3">
      <c r="A220" t="s">
        <v>510</v>
      </c>
      <c r="B220" t="s">
        <v>504</v>
      </c>
      <c r="C220" s="3">
        <v>45802</v>
      </c>
      <c r="D220" s="8" t="s">
        <v>511</v>
      </c>
      <c r="E220" s="7" t="s">
        <v>47</v>
      </c>
      <c r="F220" s="7" t="s">
        <v>48</v>
      </c>
      <c r="G220" s="7" t="s">
        <v>177</v>
      </c>
      <c r="H220" s="4">
        <v>164.43</v>
      </c>
      <c r="I220" s="7" t="s">
        <v>95</v>
      </c>
      <c r="J220" s="7" t="s">
        <v>17</v>
      </c>
      <c r="L220" t="str">
        <f>PROPER(TRIM(SUBSTITUTE(_xlfn.XLOOKUP(B220,Cardholders_Reference!A:A,Cardholders_Reference!B:B),","," ")))</f>
        <v>Pieter Zulu</v>
      </c>
      <c r="M220" s="5">
        <f>_xlfn.XLOOKUP(B220,Cardholders_Reference!A:A,Cardholders_Reference!G:G)</f>
        <v>15000</v>
      </c>
      <c r="N220" s="7" t="str">
        <f>_xlfn.XLOOKUP(B220,Cardholders_Reference!A:A,Cardholders_Reference!D:D)</f>
        <v>FNB</v>
      </c>
      <c r="O220" s="7" t="str">
        <f>_xlfn.XLOOKUP(B220,Cardholders_Reference!A:A,Cardholders_Reference!E:E)</f>
        <v>Mastercard</v>
      </c>
      <c r="P220" s="6">
        <f t="shared" si="26"/>
        <v>1.0962000000000001E-2</v>
      </c>
      <c r="Q220">
        <f t="shared" si="21"/>
        <v>0</v>
      </c>
      <c r="R220">
        <f t="shared" si="22"/>
        <v>0</v>
      </c>
      <c r="S220">
        <f>IF(COUNTIFS($B$1:$B$738,B219,$C$1:$C$738,#REF!)&gt;2,1,0)</f>
        <v>0</v>
      </c>
      <c r="T220">
        <f t="shared" si="23"/>
        <v>0</v>
      </c>
      <c r="U220">
        <f t="shared" si="24"/>
        <v>0</v>
      </c>
      <c r="V220">
        <f t="shared" si="25"/>
        <v>1</v>
      </c>
      <c r="W220">
        <f t="shared" si="27"/>
        <v>1</v>
      </c>
      <c r="X220" t="str" cm="1">
        <f t="array" ref="X220">_xlfn.IFS(W220&lt;=1,"Low",W220=2,"Medium",W220&gt;=3,"High")</f>
        <v>Low</v>
      </c>
    </row>
    <row r="221" spans="1:24" x14ac:dyDescent="0.3">
      <c r="A221" t="s">
        <v>512</v>
      </c>
      <c r="B221" t="s">
        <v>504</v>
      </c>
      <c r="C221" s="3">
        <v>45707</v>
      </c>
      <c r="D221" s="8" t="s">
        <v>513</v>
      </c>
      <c r="E221" s="7" t="s">
        <v>80</v>
      </c>
      <c r="F221" s="7" t="s">
        <v>81</v>
      </c>
      <c r="G221" s="7" t="s">
        <v>177</v>
      </c>
      <c r="H221" s="4">
        <v>10646.26</v>
      </c>
      <c r="I221" s="7" t="s">
        <v>32</v>
      </c>
      <c r="J221" s="7" t="s">
        <v>17</v>
      </c>
      <c r="L221" t="str">
        <f>PROPER(TRIM(SUBSTITUTE(_xlfn.XLOOKUP(B221,Cardholders_Reference!A:A,Cardholders_Reference!B:B),","," ")))</f>
        <v>Pieter Zulu</v>
      </c>
      <c r="M221" s="5">
        <f>_xlfn.XLOOKUP(B221,Cardholders_Reference!A:A,Cardholders_Reference!G:G)</f>
        <v>15000</v>
      </c>
      <c r="N221" s="7" t="str">
        <f>_xlfn.XLOOKUP(B221,Cardholders_Reference!A:A,Cardholders_Reference!D:D)</f>
        <v>FNB</v>
      </c>
      <c r="O221" s="7" t="str">
        <f>_xlfn.XLOOKUP(B221,Cardholders_Reference!A:A,Cardholders_Reference!E:E)</f>
        <v>Mastercard</v>
      </c>
      <c r="P221" s="6">
        <f t="shared" si="26"/>
        <v>0.70975066666666664</v>
      </c>
      <c r="Q221">
        <f t="shared" si="21"/>
        <v>0</v>
      </c>
      <c r="R221">
        <f t="shared" si="22"/>
        <v>0</v>
      </c>
      <c r="S221">
        <f>IF(COUNTIFS($B$1:$B$738,B220,$C$1:$C$738,#REF!)&gt;2,1,0)</f>
        <v>0</v>
      </c>
      <c r="T221">
        <f t="shared" si="23"/>
        <v>0</v>
      </c>
      <c r="U221">
        <f t="shared" si="24"/>
        <v>0</v>
      </c>
      <c r="V221">
        <f t="shared" si="25"/>
        <v>0</v>
      </c>
      <c r="W221">
        <f t="shared" si="27"/>
        <v>0</v>
      </c>
      <c r="X221" t="str" cm="1">
        <f t="array" ref="X221">_xlfn.IFS(W221&lt;=1,"Low",W221=2,"Medium",W221&gt;=3,"High")</f>
        <v>Low</v>
      </c>
    </row>
    <row r="222" spans="1:24" x14ac:dyDescent="0.3">
      <c r="A222" t="s">
        <v>514</v>
      </c>
      <c r="B222" t="s">
        <v>504</v>
      </c>
      <c r="C222" s="3">
        <v>46117</v>
      </c>
      <c r="D222" s="8" t="s">
        <v>515</v>
      </c>
      <c r="E222" s="7" t="s">
        <v>77</v>
      </c>
      <c r="F222" s="7" t="s">
        <v>15</v>
      </c>
      <c r="G222" s="7" t="s">
        <v>177</v>
      </c>
      <c r="H222" s="4">
        <v>2762.96</v>
      </c>
      <c r="I222" s="7" t="s">
        <v>16</v>
      </c>
      <c r="J222" s="7" t="s">
        <v>41</v>
      </c>
      <c r="L222" t="str">
        <f>PROPER(TRIM(SUBSTITUTE(_xlfn.XLOOKUP(B222,Cardholders_Reference!A:A,Cardholders_Reference!B:B),","," ")))</f>
        <v>Pieter Zulu</v>
      </c>
      <c r="M222" s="5">
        <f>_xlfn.XLOOKUP(B222,Cardholders_Reference!A:A,Cardholders_Reference!G:G)</f>
        <v>15000</v>
      </c>
      <c r="N222" s="7" t="str">
        <f>_xlfn.XLOOKUP(B222,Cardholders_Reference!A:A,Cardholders_Reference!D:D)</f>
        <v>FNB</v>
      </c>
      <c r="O222" s="7" t="str">
        <f>_xlfn.XLOOKUP(B222,Cardholders_Reference!A:A,Cardholders_Reference!E:E)</f>
        <v>Mastercard</v>
      </c>
      <c r="P222" s="6">
        <f t="shared" si="26"/>
        <v>0.18419733333333332</v>
      </c>
      <c r="Q222">
        <f t="shared" si="21"/>
        <v>0</v>
      </c>
      <c r="R222">
        <f t="shared" si="22"/>
        <v>0</v>
      </c>
      <c r="S222">
        <f>IF(COUNTIFS($B$1:$B$738,B221,$C$1:$C$738,#REF!)&gt;2,1,0)</f>
        <v>0</v>
      </c>
      <c r="T222">
        <f t="shared" si="23"/>
        <v>1</v>
      </c>
      <c r="U222">
        <f t="shared" si="24"/>
        <v>0</v>
      </c>
      <c r="V222">
        <f t="shared" si="25"/>
        <v>0</v>
      </c>
      <c r="W222">
        <f t="shared" si="27"/>
        <v>1</v>
      </c>
      <c r="X222" t="str" cm="1">
        <f t="array" ref="X222">_xlfn.IFS(W222&lt;=1,"Low",W222=2,"Medium",W222&gt;=3,"High")</f>
        <v>Low</v>
      </c>
    </row>
    <row r="223" spans="1:24" x14ac:dyDescent="0.3">
      <c r="A223" t="s">
        <v>516</v>
      </c>
      <c r="B223" t="s">
        <v>504</v>
      </c>
      <c r="C223" s="3">
        <v>46603</v>
      </c>
      <c r="D223" s="8" t="s">
        <v>302</v>
      </c>
      <c r="E223" s="7" t="s">
        <v>64</v>
      </c>
      <c r="F223" s="7" t="s">
        <v>65</v>
      </c>
      <c r="G223" s="7" t="s">
        <v>177</v>
      </c>
      <c r="H223" s="4">
        <v>544.86</v>
      </c>
      <c r="I223" s="7" t="s">
        <v>95</v>
      </c>
      <c r="J223" s="7" t="s">
        <v>17</v>
      </c>
      <c r="L223" t="str">
        <f>PROPER(TRIM(SUBSTITUTE(_xlfn.XLOOKUP(B223,Cardholders_Reference!A:A,Cardholders_Reference!B:B),","," ")))</f>
        <v>Pieter Zulu</v>
      </c>
      <c r="M223" s="5">
        <f>_xlfn.XLOOKUP(B223,Cardholders_Reference!A:A,Cardholders_Reference!G:G)</f>
        <v>15000</v>
      </c>
      <c r="N223" s="7" t="str">
        <f>_xlfn.XLOOKUP(B223,Cardholders_Reference!A:A,Cardholders_Reference!D:D)</f>
        <v>FNB</v>
      </c>
      <c r="O223" s="7" t="str">
        <f>_xlfn.XLOOKUP(B223,Cardholders_Reference!A:A,Cardholders_Reference!E:E)</f>
        <v>Mastercard</v>
      </c>
      <c r="P223" s="6">
        <f t="shared" si="26"/>
        <v>3.6324000000000002E-2</v>
      </c>
      <c r="Q223">
        <f t="shared" si="21"/>
        <v>0</v>
      </c>
      <c r="R223">
        <f t="shared" si="22"/>
        <v>0</v>
      </c>
      <c r="S223">
        <f>IF(COUNTIFS($B$1:$B$738,B222,$C$1:$C$738,#REF!)&gt;2,1,0)</f>
        <v>0</v>
      </c>
      <c r="T223">
        <f t="shared" si="23"/>
        <v>0</v>
      </c>
      <c r="U223">
        <f t="shared" si="24"/>
        <v>0</v>
      </c>
      <c r="V223">
        <f t="shared" si="25"/>
        <v>1</v>
      </c>
      <c r="W223">
        <f t="shared" si="27"/>
        <v>1</v>
      </c>
      <c r="X223" t="str" cm="1">
        <f t="array" ref="X223">_xlfn.IFS(W223&lt;=1,"Low",W223=2,"Medium",W223&gt;=3,"High")</f>
        <v>Low</v>
      </c>
    </row>
    <row r="224" spans="1:24" x14ac:dyDescent="0.3">
      <c r="A224" t="s">
        <v>517</v>
      </c>
      <c r="B224" t="s">
        <v>504</v>
      </c>
      <c r="C224" s="3">
        <v>45918</v>
      </c>
      <c r="D224" s="8" t="s">
        <v>518</v>
      </c>
      <c r="E224" s="7" t="s">
        <v>104</v>
      </c>
      <c r="F224" s="7" t="s">
        <v>65</v>
      </c>
      <c r="G224" s="7" t="s">
        <v>177</v>
      </c>
      <c r="H224" s="4">
        <v>3759.36</v>
      </c>
      <c r="I224" s="7" t="s">
        <v>26</v>
      </c>
      <c r="J224" s="7" t="s">
        <v>41</v>
      </c>
      <c r="L224" t="str">
        <f>PROPER(TRIM(SUBSTITUTE(_xlfn.XLOOKUP(B224,Cardholders_Reference!A:A,Cardholders_Reference!B:B),","," ")))</f>
        <v>Pieter Zulu</v>
      </c>
      <c r="M224" s="5">
        <f>_xlfn.XLOOKUP(B224,Cardholders_Reference!A:A,Cardholders_Reference!G:G)</f>
        <v>15000</v>
      </c>
      <c r="N224" s="7" t="str">
        <f>_xlfn.XLOOKUP(B224,Cardholders_Reference!A:A,Cardholders_Reference!D:D)</f>
        <v>FNB</v>
      </c>
      <c r="O224" s="7" t="str">
        <f>_xlfn.XLOOKUP(B224,Cardholders_Reference!A:A,Cardholders_Reference!E:E)</f>
        <v>Mastercard</v>
      </c>
      <c r="P224" s="6">
        <f t="shared" si="26"/>
        <v>0.25062400000000001</v>
      </c>
      <c r="Q224">
        <f t="shared" si="21"/>
        <v>0</v>
      </c>
      <c r="R224">
        <f t="shared" si="22"/>
        <v>0</v>
      </c>
      <c r="S224">
        <f>IF(COUNTIFS($B$1:$B$738,B223,$C$1:$C$738,#REF!)&gt;2,1,0)</f>
        <v>0</v>
      </c>
      <c r="T224">
        <f t="shared" si="23"/>
        <v>0</v>
      </c>
      <c r="U224">
        <f t="shared" si="24"/>
        <v>1</v>
      </c>
      <c r="V224">
        <f t="shared" si="25"/>
        <v>1</v>
      </c>
      <c r="W224">
        <f t="shared" si="27"/>
        <v>2</v>
      </c>
      <c r="X224" t="str" cm="1">
        <f t="array" ref="X224">_xlfn.IFS(W224&lt;=1,"Low",W224=2,"Medium",W224&gt;=3,"High")</f>
        <v>Medium</v>
      </c>
    </row>
    <row r="225" spans="1:24" x14ac:dyDescent="0.3">
      <c r="A225" t="s">
        <v>519</v>
      </c>
      <c r="B225" t="s">
        <v>504</v>
      </c>
      <c r="C225" s="3">
        <v>45844</v>
      </c>
      <c r="D225" s="8" t="s">
        <v>520</v>
      </c>
      <c r="E225" s="7" t="s">
        <v>340</v>
      </c>
      <c r="F225" s="7" t="s">
        <v>65</v>
      </c>
      <c r="G225" s="7" t="s">
        <v>118</v>
      </c>
      <c r="H225" s="4">
        <v>4123.57</v>
      </c>
      <c r="I225" s="7" t="s">
        <v>16</v>
      </c>
      <c r="J225" s="7" t="s">
        <v>17</v>
      </c>
      <c r="L225" t="str">
        <f>PROPER(TRIM(SUBSTITUTE(_xlfn.XLOOKUP(B225,Cardholders_Reference!A:A,Cardholders_Reference!B:B),","," ")))</f>
        <v>Pieter Zulu</v>
      </c>
      <c r="M225" s="5">
        <f>_xlfn.XLOOKUP(B225,Cardholders_Reference!A:A,Cardholders_Reference!G:G)</f>
        <v>15000</v>
      </c>
      <c r="N225" s="7" t="str">
        <f>_xlfn.XLOOKUP(B225,Cardholders_Reference!A:A,Cardholders_Reference!D:D)</f>
        <v>FNB</v>
      </c>
      <c r="O225" s="7" t="str">
        <f>_xlfn.XLOOKUP(B225,Cardholders_Reference!A:A,Cardholders_Reference!E:E)</f>
        <v>Mastercard</v>
      </c>
      <c r="P225" s="6">
        <f t="shared" si="26"/>
        <v>0.27490466666666663</v>
      </c>
      <c r="Q225">
        <f t="shared" si="21"/>
        <v>0</v>
      </c>
      <c r="R225">
        <f t="shared" si="22"/>
        <v>0</v>
      </c>
      <c r="S225">
        <f>IF(COUNTIFS($B$1:$B$738,B224,$C$1:$C$738,#REF!)&gt;2,1,0)</f>
        <v>0</v>
      </c>
      <c r="T225">
        <f t="shared" si="23"/>
        <v>0</v>
      </c>
      <c r="U225">
        <f t="shared" si="24"/>
        <v>1</v>
      </c>
      <c r="V225">
        <f t="shared" si="25"/>
        <v>0</v>
      </c>
      <c r="W225">
        <f t="shared" si="27"/>
        <v>1</v>
      </c>
      <c r="X225" t="str" cm="1">
        <f t="array" ref="X225">_xlfn.IFS(W225&lt;=1,"Low",W225=2,"Medium",W225&gt;=3,"High")</f>
        <v>Low</v>
      </c>
    </row>
    <row r="226" spans="1:24" x14ac:dyDescent="0.3">
      <c r="A226" t="s">
        <v>521</v>
      </c>
      <c r="B226" t="s">
        <v>504</v>
      </c>
      <c r="C226" s="3">
        <v>45707</v>
      </c>
      <c r="D226" s="8" t="s">
        <v>522</v>
      </c>
      <c r="E226" s="7" t="s">
        <v>321</v>
      </c>
      <c r="F226" s="7" t="s">
        <v>61</v>
      </c>
      <c r="G226" s="7" t="s">
        <v>192</v>
      </c>
      <c r="H226" s="4">
        <v>1461.15</v>
      </c>
      <c r="I226" s="7" t="s">
        <v>16</v>
      </c>
      <c r="J226" s="7" t="s">
        <v>17</v>
      </c>
      <c r="L226" t="str">
        <f>PROPER(TRIM(SUBSTITUTE(_xlfn.XLOOKUP(B226,Cardholders_Reference!A:A,Cardholders_Reference!B:B),","," ")))</f>
        <v>Pieter Zulu</v>
      </c>
      <c r="M226" s="5">
        <f>_xlfn.XLOOKUP(B226,Cardholders_Reference!A:A,Cardholders_Reference!G:G)</f>
        <v>15000</v>
      </c>
      <c r="N226" s="7" t="str">
        <f>_xlfn.XLOOKUP(B226,Cardholders_Reference!A:A,Cardholders_Reference!D:D)</f>
        <v>FNB</v>
      </c>
      <c r="O226" s="7" t="str">
        <f>_xlfn.XLOOKUP(B226,Cardholders_Reference!A:A,Cardholders_Reference!E:E)</f>
        <v>Mastercard</v>
      </c>
      <c r="P226" s="6">
        <f t="shared" si="26"/>
        <v>9.741000000000001E-2</v>
      </c>
      <c r="Q226">
        <f t="shared" si="21"/>
        <v>1</v>
      </c>
      <c r="R226">
        <f t="shared" si="22"/>
        <v>0</v>
      </c>
      <c r="S226">
        <f>IF(COUNTIFS($B$1:$B$738,B225,$C$1:$C$738,#REF!)&gt;2,1,0)</f>
        <v>0</v>
      </c>
      <c r="T226">
        <f t="shared" si="23"/>
        <v>0</v>
      </c>
      <c r="U226">
        <f t="shared" si="24"/>
        <v>1</v>
      </c>
      <c r="V226">
        <f t="shared" si="25"/>
        <v>0</v>
      </c>
      <c r="W226">
        <f t="shared" si="27"/>
        <v>2</v>
      </c>
      <c r="X226" t="str" cm="1">
        <f t="array" ref="X226">_xlfn.IFS(W226&lt;=1,"Low",W226=2,"Medium",W226&gt;=3,"High")</f>
        <v>Medium</v>
      </c>
    </row>
    <row r="227" spans="1:24" x14ac:dyDescent="0.3">
      <c r="A227" t="s">
        <v>523</v>
      </c>
      <c r="B227" t="s">
        <v>504</v>
      </c>
      <c r="C227" s="3">
        <v>46697</v>
      </c>
      <c r="D227" s="8" t="s">
        <v>524</v>
      </c>
      <c r="E227" s="7" t="s">
        <v>126</v>
      </c>
      <c r="F227" s="7" t="s">
        <v>53</v>
      </c>
      <c r="G227" s="7" t="s">
        <v>49</v>
      </c>
      <c r="H227" s="4">
        <v>515.44000000000005</v>
      </c>
      <c r="I227" s="7" t="s">
        <v>32</v>
      </c>
      <c r="J227" s="7" t="s">
        <v>41</v>
      </c>
      <c r="L227" t="str">
        <f>PROPER(TRIM(SUBSTITUTE(_xlfn.XLOOKUP(B227,Cardholders_Reference!A:A,Cardholders_Reference!B:B),","," ")))</f>
        <v>Pieter Zulu</v>
      </c>
      <c r="M227" s="5">
        <f>_xlfn.XLOOKUP(B227,Cardholders_Reference!A:A,Cardholders_Reference!G:G)</f>
        <v>15000</v>
      </c>
      <c r="N227" s="7" t="str">
        <f>_xlfn.XLOOKUP(B227,Cardholders_Reference!A:A,Cardholders_Reference!D:D)</f>
        <v>FNB</v>
      </c>
      <c r="O227" s="7" t="str">
        <f>_xlfn.XLOOKUP(B227,Cardholders_Reference!A:A,Cardholders_Reference!E:E)</f>
        <v>Mastercard</v>
      </c>
      <c r="P227" s="6">
        <f t="shared" si="26"/>
        <v>3.4362666666666673E-2</v>
      </c>
      <c r="Q227">
        <f t="shared" si="21"/>
        <v>1</v>
      </c>
      <c r="R227">
        <f t="shared" si="22"/>
        <v>0</v>
      </c>
      <c r="S227">
        <f>IF(COUNTIFS($B$1:$B$738,B226,$C$1:$C$738,#REF!)&gt;2,1,0)</f>
        <v>0</v>
      </c>
      <c r="T227">
        <f t="shared" si="23"/>
        <v>0</v>
      </c>
      <c r="U227">
        <f t="shared" si="24"/>
        <v>0</v>
      </c>
      <c r="V227">
        <f t="shared" si="25"/>
        <v>0</v>
      </c>
      <c r="W227">
        <f t="shared" si="27"/>
        <v>1</v>
      </c>
      <c r="X227" t="str" cm="1">
        <f t="array" ref="X227">_xlfn.IFS(W227&lt;=1,"Low",W227=2,"Medium",W227&gt;=3,"High")</f>
        <v>Low</v>
      </c>
    </row>
    <row r="228" spans="1:24" x14ac:dyDescent="0.3">
      <c r="A228" t="s">
        <v>525</v>
      </c>
      <c r="B228" t="s">
        <v>504</v>
      </c>
      <c r="C228" s="3">
        <v>45832</v>
      </c>
      <c r="D228" s="8" t="s">
        <v>526</v>
      </c>
      <c r="E228" s="7" t="s">
        <v>44</v>
      </c>
      <c r="F228" s="7" t="s">
        <v>25</v>
      </c>
      <c r="G228" s="7" t="s">
        <v>177</v>
      </c>
      <c r="H228" s="4">
        <v>613.94000000000005</v>
      </c>
      <c r="I228" s="7" t="s">
        <v>16</v>
      </c>
      <c r="J228" s="7" t="s">
        <v>41</v>
      </c>
      <c r="L228" t="str">
        <f>PROPER(TRIM(SUBSTITUTE(_xlfn.XLOOKUP(B228,Cardholders_Reference!A:A,Cardholders_Reference!B:B),","," ")))</f>
        <v>Pieter Zulu</v>
      </c>
      <c r="M228" s="5">
        <f>_xlfn.XLOOKUP(B228,Cardholders_Reference!A:A,Cardholders_Reference!G:G)</f>
        <v>15000</v>
      </c>
      <c r="N228" s="7" t="str">
        <f>_xlfn.XLOOKUP(B228,Cardholders_Reference!A:A,Cardholders_Reference!D:D)</f>
        <v>FNB</v>
      </c>
      <c r="O228" s="7" t="str">
        <f>_xlfn.XLOOKUP(B228,Cardholders_Reference!A:A,Cardholders_Reference!E:E)</f>
        <v>Mastercard</v>
      </c>
      <c r="P228" s="6">
        <f t="shared" si="26"/>
        <v>4.0929333333333338E-2</v>
      </c>
      <c r="Q228">
        <f t="shared" si="21"/>
        <v>1</v>
      </c>
      <c r="R228">
        <f t="shared" si="22"/>
        <v>0</v>
      </c>
      <c r="S228">
        <f>IF(COUNTIFS($B$1:$B$738,B227,$C$1:$C$738,#REF!)&gt;2,1,0)</f>
        <v>0</v>
      </c>
      <c r="T228">
        <f t="shared" si="23"/>
        <v>0</v>
      </c>
      <c r="U228">
        <f t="shared" si="24"/>
        <v>0</v>
      </c>
      <c r="V228">
        <f t="shared" si="25"/>
        <v>0</v>
      </c>
      <c r="W228">
        <f t="shared" si="27"/>
        <v>1</v>
      </c>
      <c r="X228" t="str" cm="1">
        <f t="array" ref="X228">_xlfn.IFS(W228&lt;=1,"Low",W228=2,"Medium",W228&gt;=3,"High")</f>
        <v>Low</v>
      </c>
    </row>
    <row r="229" spans="1:24" x14ac:dyDescent="0.3">
      <c r="A229" t="s">
        <v>527</v>
      </c>
      <c r="B229" t="s">
        <v>504</v>
      </c>
      <c r="C229" s="3">
        <v>46096</v>
      </c>
      <c r="D229" s="8" t="s">
        <v>528</v>
      </c>
      <c r="E229" s="7" t="s">
        <v>368</v>
      </c>
      <c r="F229" s="7" t="s">
        <v>21</v>
      </c>
      <c r="G229" s="7" t="s">
        <v>22</v>
      </c>
      <c r="H229" s="4">
        <v>1217.3699999999999</v>
      </c>
      <c r="I229" s="7" t="s">
        <v>16</v>
      </c>
      <c r="J229" s="7" t="s">
        <v>17</v>
      </c>
      <c r="L229" t="str">
        <f>PROPER(TRIM(SUBSTITUTE(_xlfn.XLOOKUP(B229,Cardholders_Reference!A:A,Cardholders_Reference!B:B),","," ")))</f>
        <v>Pieter Zulu</v>
      </c>
      <c r="M229" s="5">
        <f>_xlfn.XLOOKUP(B229,Cardholders_Reference!A:A,Cardholders_Reference!G:G)</f>
        <v>15000</v>
      </c>
      <c r="N229" s="7" t="str">
        <f>_xlfn.XLOOKUP(B229,Cardholders_Reference!A:A,Cardholders_Reference!D:D)</f>
        <v>FNB</v>
      </c>
      <c r="O229" s="7" t="str">
        <f>_xlfn.XLOOKUP(B229,Cardholders_Reference!A:A,Cardholders_Reference!E:E)</f>
        <v>Mastercard</v>
      </c>
      <c r="P229" s="6">
        <f t="shared" si="26"/>
        <v>8.1157999999999994E-2</v>
      </c>
      <c r="Q229">
        <f t="shared" si="21"/>
        <v>0</v>
      </c>
      <c r="R229">
        <f t="shared" si="22"/>
        <v>0</v>
      </c>
      <c r="S229">
        <f>IF(COUNTIFS($B$1:$B$738,B228,$C$1:$C$738,#REF!)&gt;2,1,0)</f>
        <v>0</v>
      </c>
      <c r="T229">
        <f t="shared" si="23"/>
        <v>0</v>
      </c>
      <c r="U229">
        <f t="shared" si="24"/>
        <v>0</v>
      </c>
      <c r="V229">
        <f t="shared" si="25"/>
        <v>0</v>
      </c>
      <c r="W229">
        <f t="shared" si="27"/>
        <v>0</v>
      </c>
      <c r="X229" t="str" cm="1">
        <f t="array" ref="X229">_xlfn.IFS(W229&lt;=1,"Low",W229=2,"Medium",W229&gt;=3,"High")</f>
        <v>Low</v>
      </c>
    </row>
    <row r="230" spans="1:24" x14ac:dyDescent="0.3">
      <c r="A230" t="s">
        <v>529</v>
      </c>
      <c r="B230" t="s">
        <v>504</v>
      </c>
      <c r="C230" s="3">
        <v>45853</v>
      </c>
      <c r="D230" s="8" t="s">
        <v>370</v>
      </c>
      <c r="E230" s="7" t="s">
        <v>97</v>
      </c>
      <c r="F230" s="7" t="s">
        <v>53</v>
      </c>
      <c r="G230" s="7" t="s">
        <v>177</v>
      </c>
      <c r="H230" s="4">
        <v>671.92</v>
      </c>
      <c r="I230" s="7" t="s">
        <v>16</v>
      </c>
      <c r="J230" s="7" t="s">
        <v>17</v>
      </c>
      <c r="L230" t="str">
        <f>PROPER(TRIM(SUBSTITUTE(_xlfn.XLOOKUP(B230,Cardholders_Reference!A:A,Cardholders_Reference!B:B),","," ")))</f>
        <v>Pieter Zulu</v>
      </c>
      <c r="M230" s="5">
        <f>_xlfn.XLOOKUP(B230,Cardholders_Reference!A:A,Cardholders_Reference!G:G)</f>
        <v>15000</v>
      </c>
      <c r="N230" s="7" t="str">
        <f>_xlfn.XLOOKUP(B230,Cardholders_Reference!A:A,Cardholders_Reference!D:D)</f>
        <v>FNB</v>
      </c>
      <c r="O230" s="7" t="str">
        <f>_xlfn.XLOOKUP(B230,Cardholders_Reference!A:A,Cardholders_Reference!E:E)</f>
        <v>Mastercard</v>
      </c>
      <c r="P230" s="6">
        <f t="shared" si="26"/>
        <v>4.4794666666666663E-2</v>
      </c>
      <c r="Q230">
        <f t="shared" si="21"/>
        <v>1</v>
      </c>
      <c r="R230">
        <f t="shared" si="22"/>
        <v>0</v>
      </c>
      <c r="S230">
        <f>IF(COUNTIFS($B$1:$B$738,B229,$C$1:$C$738,#REF!)&gt;2,1,0)</f>
        <v>0</v>
      </c>
      <c r="T230">
        <f t="shared" si="23"/>
        <v>0</v>
      </c>
      <c r="U230">
        <f t="shared" si="24"/>
        <v>1</v>
      </c>
      <c r="V230">
        <f t="shared" si="25"/>
        <v>0</v>
      </c>
      <c r="W230">
        <f t="shared" si="27"/>
        <v>2</v>
      </c>
      <c r="X230" t="str" cm="1">
        <f t="array" ref="X230">_xlfn.IFS(W230&lt;=1,"Low",W230=2,"Medium",W230&gt;=3,"High")</f>
        <v>Medium</v>
      </c>
    </row>
    <row r="231" spans="1:24" x14ac:dyDescent="0.3">
      <c r="A231" t="s">
        <v>530</v>
      </c>
      <c r="B231" t="s">
        <v>504</v>
      </c>
      <c r="C231" s="3">
        <v>46156</v>
      </c>
      <c r="D231" s="8" t="s">
        <v>79</v>
      </c>
      <c r="E231" s="7" t="s">
        <v>52</v>
      </c>
      <c r="F231" s="7" t="s">
        <v>53</v>
      </c>
      <c r="G231" s="7" t="s">
        <v>145</v>
      </c>
      <c r="H231" s="4">
        <v>523.33000000000004</v>
      </c>
      <c r="I231" s="7" t="s">
        <v>16</v>
      </c>
      <c r="J231" s="7" t="s">
        <v>41</v>
      </c>
      <c r="L231" t="str">
        <f>PROPER(TRIM(SUBSTITUTE(_xlfn.XLOOKUP(B231,Cardholders_Reference!A:A,Cardholders_Reference!B:B),","," ")))</f>
        <v>Pieter Zulu</v>
      </c>
      <c r="M231" s="5">
        <f>_xlfn.XLOOKUP(B231,Cardholders_Reference!A:A,Cardholders_Reference!G:G)</f>
        <v>15000</v>
      </c>
      <c r="N231" s="7" t="str">
        <f>_xlfn.XLOOKUP(B231,Cardholders_Reference!A:A,Cardholders_Reference!D:D)</f>
        <v>FNB</v>
      </c>
      <c r="O231" s="7" t="str">
        <f>_xlfn.XLOOKUP(B231,Cardholders_Reference!A:A,Cardholders_Reference!E:E)</f>
        <v>Mastercard</v>
      </c>
      <c r="P231" s="6">
        <f t="shared" si="26"/>
        <v>3.4888666666666672E-2</v>
      </c>
      <c r="Q231">
        <f t="shared" si="21"/>
        <v>0</v>
      </c>
      <c r="R231">
        <f t="shared" si="22"/>
        <v>0</v>
      </c>
      <c r="S231">
        <f>IF(COUNTIFS($B$1:$B$738,B230,$C$1:$C$738,#REF!)&gt;2,1,0)</f>
        <v>0</v>
      </c>
      <c r="T231">
        <f t="shared" si="23"/>
        <v>0</v>
      </c>
      <c r="U231">
        <f t="shared" si="24"/>
        <v>0</v>
      </c>
      <c r="V231">
        <f t="shared" si="25"/>
        <v>0</v>
      </c>
      <c r="W231">
        <f t="shared" si="27"/>
        <v>0</v>
      </c>
      <c r="X231" t="str" cm="1">
        <f t="array" ref="X231">_xlfn.IFS(W231&lt;=1,"Low",W231=2,"Medium",W231&gt;=3,"High")</f>
        <v>Low</v>
      </c>
    </row>
    <row r="232" spans="1:24" x14ac:dyDescent="0.3">
      <c r="A232" t="s">
        <v>531</v>
      </c>
      <c r="B232" t="s">
        <v>504</v>
      </c>
      <c r="C232" s="3">
        <v>46162</v>
      </c>
      <c r="D232" s="8" t="s">
        <v>532</v>
      </c>
      <c r="E232" s="7" t="s">
        <v>35</v>
      </c>
      <c r="F232" s="7" t="s">
        <v>36</v>
      </c>
      <c r="G232" s="7" t="s">
        <v>192</v>
      </c>
      <c r="H232" s="4">
        <v>622.66</v>
      </c>
      <c r="I232" s="7" t="s">
        <v>95</v>
      </c>
      <c r="J232" s="7" t="s">
        <v>17</v>
      </c>
      <c r="L232" t="str">
        <f>PROPER(TRIM(SUBSTITUTE(_xlfn.XLOOKUP(B232,Cardholders_Reference!A:A,Cardholders_Reference!B:B),","," ")))</f>
        <v>Pieter Zulu</v>
      </c>
      <c r="M232" s="5">
        <f>_xlfn.XLOOKUP(B232,Cardholders_Reference!A:A,Cardholders_Reference!G:G)</f>
        <v>15000</v>
      </c>
      <c r="N232" s="7" t="str">
        <f>_xlfn.XLOOKUP(B232,Cardholders_Reference!A:A,Cardholders_Reference!D:D)</f>
        <v>FNB</v>
      </c>
      <c r="O232" s="7" t="str">
        <f>_xlfn.XLOOKUP(B232,Cardholders_Reference!A:A,Cardholders_Reference!E:E)</f>
        <v>Mastercard</v>
      </c>
      <c r="P232" s="6">
        <f t="shared" si="26"/>
        <v>4.1510666666666668E-2</v>
      </c>
      <c r="Q232">
        <f t="shared" si="21"/>
        <v>1</v>
      </c>
      <c r="R232">
        <f t="shared" si="22"/>
        <v>0</v>
      </c>
      <c r="S232">
        <f>IF(COUNTIFS($B$1:$B$738,B231,$C$1:$C$738,#REF!)&gt;2,1,0)</f>
        <v>0</v>
      </c>
      <c r="T232">
        <f t="shared" si="23"/>
        <v>0</v>
      </c>
      <c r="U232">
        <f t="shared" si="24"/>
        <v>0</v>
      </c>
      <c r="V232">
        <f t="shared" si="25"/>
        <v>1</v>
      </c>
      <c r="W232">
        <f t="shared" si="27"/>
        <v>2</v>
      </c>
      <c r="X232" t="str" cm="1">
        <f t="array" ref="X232">_xlfn.IFS(W232&lt;=1,"Low",W232=2,"Medium",W232&gt;=3,"High")</f>
        <v>Medium</v>
      </c>
    </row>
    <row r="233" spans="1:24" x14ac:dyDescent="0.3">
      <c r="A233" t="s">
        <v>533</v>
      </c>
      <c r="B233" t="s">
        <v>534</v>
      </c>
      <c r="C233" s="3">
        <v>45835</v>
      </c>
      <c r="D233" s="8" t="s">
        <v>535</v>
      </c>
      <c r="E233" s="7" t="s">
        <v>114</v>
      </c>
      <c r="F233" s="7" t="s">
        <v>81</v>
      </c>
      <c r="G233" s="7" t="s">
        <v>22</v>
      </c>
      <c r="H233" s="4">
        <v>9431.59</v>
      </c>
      <c r="I233" s="7" t="s">
        <v>26</v>
      </c>
      <c r="J233" s="7" t="s">
        <v>17</v>
      </c>
      <c r="L233" t="str">
        <f>PROPER(TRIM(SUBSTITUTE(_xlfn.XLOOKUP(B233,Cardholders_Reference!A:A,Cardholders_Reference!B:B),","," ")))</f>
        <v>Rachel Khumalo</v>
      </c>
      <c r="M233" s="5">
        <f>_xlfn.XLOOKUP(B233,Cardholders_Reference!A:A,Cardholders_Reference!G:G)</f>
        <v>80000</v>
      </c>
      <c r="N233" s="7" t="str">
        <f>_xlfn.XLOOKUP(B233,Cardholders_Reference!A:A,Cardholders_Reference!D:D)</f>
        <v>Nedbank</v>
      </c>
      <c r="O233" s="7" t="str">
        <f>_xlfn.XLOOKUP(B233,Cardholders_Reference!A:A,Cardholders_Reference!E:E)</f>
        <v>Visa</v>
      </c>
      <c r="P233" s="6">
        <f t="shared" si="26"/>
        <v>0.117894875</v>
      </c>
      <c r="Q233">
        <f t="shared" si="21"/>
        <v>1</v>
      </c>
      <c r="R233">
        <f t="shared" si="22"/>
        <v>0</v>
      </c>
      <c r="S233">
        <f>IF(COUNTIFS($B$1:$B$738,B232,$C$1:$C$738,#REF!)&gt;2,1,0)</f>
        <v>0</v>
      </c>
      <c r="T233">
        <f t="shared" si="23"/>
        <v>0</v>
      </c>
      <c r="U233">
        <f t="shared" si="24"/>
        <v>0</v>
      </c>
      <c r="V233">
        <f t="shared" si="25"/>
        <v>1</v>
      </c>
      <c r="W233">
        <f t="shared" si="27"/>
        <v>2</v>
      </c>
      <c r="X233" t="str" cm="1">
        <f t="array" ref="X233">_xlfn.IFS(W233&lt;=1,"Low",W233=2,"Medium",W233&gt;=3,"High")</f>
        <v>Medium</v>
      </c>
    </row>
    <row r="234" spans="1:24" x14ac:dyDescent="0.3">
      <c r="A234" t="s">
        <v>536</v>
      </c>
      <c r="B234" t="s">
        <v>534</v>
      </c>
      <c r="C234" s="3">
        <v>45904</v>
      </c>
      <c r="D234" s="8" t="s">
        <v>537</v>
      </c>
      <c r="E234" s="7" t="s">
        <v>77</v>
      </c>
      <c r="F234" s="7" t="s">
        <v>15</v>
      </c>
      <c r="G234" s="7" t="s">
        <v>22</v>
      </c>
      <c r="H234" s="4">
        <v>4397.71</v>
      </c>
      <c r="I234" s="7" t="s">
        <v>95</v>
      </c>
      <c r="J234" s="7" t="s">
        <v>17</v>
      </c>
      <c r="L234" t="str">
        <f>PROPER(TRIM(SUBSTITUTE(_xlfn.XLOOKUP(B234,Cardholders_Reference!A:A,Cardholders_Reference!B:B),","," ")))</f>
        <v>Rachel Khumalo</v>
      </c>
      <c r="M234" s="5">
        <f>_xlfn.XLOOKUP(B234,Cardholders_Reference!A:A,Cardholders_Reference!G:G)</f>
        <v>80000</v>
      </c>
      <c r="N234" s="7" t="str">
        <f>_xlfn.XLOOKUP(B234,Cardholders_Reference!A:A,Cardholders_Reference!D:D)</f>
        <v>Nedbank</v>
      </c>
      <c r="O234" s="7" t="str">
        <f>_xlfn.XLOOKUP(B234,Cardholders_Reference!A:A,Cardholders_Reference!E:E)</f>
        <v>Visa</v>
      </c>
      <c r="P234" s="6">
        <f t="shared" si="26"/>
        <v>5.4971375000000003E-2</v>
      </c>
      <c r="Q234">
        <f t="shared" si="21"/>
        <v>0</v>
      </c>
      <c r="R234">
        <f t="shared" si="22"/>
        <v>0</v>
      </c>
      <c r="S234">
        <f>IF(COUNTIFS($B$1:$B$738,B233,$C$1:$C$738,#REF!)&gt;2,1,0)</f>
        <v>0</v>
      </c>
      <c r="T234">
        <f t="shared" si="23"/>
        <v>0</v>
      </c>
      <c r="U234">
        <f t="shared" si="24"/>
        <v>0</v>
      </c>
      <c r="V234">
        <f t="shared" si="25"/>
        <v>1</v>
      </c>
      <c r="W234">
        <f t="shared" si="27"/>
        <v>1</v>
      </c>
      <c r="X234" t="str" cm="1">
        <f t="array" ref="X234">_xlfn.IFS(W234&lt;=1,"Low",W234=2,"Medium",W234&gt;=3,"High")</f>
        <v>Low</v>
      </c>
    </row>
    <row r="235" spans="1:24" x14ac:dyDescent="0.3">
      <c r="A235" t="s">
        <v>538</v>
      </c>
      <c r="B235" t="s">
        <v>534</v>
      </c>
      <c r="C235" s="3">
        <v>45764</v>
      </c>
      <c r="D235" s="8" t="s">
        <v>1439</v>
      </c>
      <c r="E235" s="7" t="s">
        <v>111</v>
      </c>
      <c r="F235" s="7" t="s">
        <v>48</v>
      </c>
      <c r="G235" s="7" t="s">
        <v>22</v>
      </c>
      <c r="H235" s="4">
        <v>274.49</v>
      </c>
      <c r="I235" s="7" t="s">
        <v>32</v>
      </c>
      <c r="J235" s="7" t="s">
        <v>17</v>
      </c>
      <c r="K235" t="s">
        <v>141</v>
      </c>
      <c r="L235" t="str">
        <f>PROPER(TRIM(SUBSTITUTE(_xlfn.XLOOKUP(B235,Cardholders_Reference!A:A,Cardholders_Reference!B:B),","," ")))</f>
        <v>Rachel Khumalo</v>
      </c>
      <c r="M235" s="5">
        <f>_xlfn.XLOOKUP(B235,Cardholders_Reference!A:A,Cardholders_Reference!G:G)</f>
        <v>80000</v>
      </c>
      <c r="N235" s="7" t="str">
        <f>_xlfn.XLOOKUP(B235,Cardholders_Reference!A:A,Cardholders_Reference!D:D)</f>
        <v>Nedbank</v>
      </c>
      <c r="O235" s="7" t="str">
        <f>_xlfn.XLOOKUP(B235,Cardholders_Reference!A:A,Cardholders_Reference!E:E)</f>
        <v>Visa</v>
      </c>
      <c r="P235" s="6">
        <f t="shared" si="26"/>
        <v>3.4311250000000001E-3</v>
      </c>
      <c r="Q235">
        <f t="shared" si="21"/>
        <v>0</v>
      </c>
      <c r="R235">
        <f t="shared" si="22"/>
        <v>1</v>
      </c>
      <c r="S235">
        <f>IF(COUNTIFS($B$1:$B$738,B234,$C$1:$C$738,#REF!)&gt;2,1,0)</f>
        <v>0</v>
      </c>
      <c r="T235">
        <f t="shared" si="23"/>
        <v>0</v>
      </c>
      <c r="U235">
        <f t="shared" si="24"/>
        <v>0</v>
      </c>
      <c r="V235">
        <f t="shared" si="25"/>
        <v>0</v>
      </c>
      <c r="W235">
        <f t="shared" si="27"/>
        <v>1</v>
      </c>
      <c r="X235" t="str" cm="1">
        <f t="array" ref="X235">_xlfn.IFS(W235&lt;=1,"Low",W235=2,"Medium",W235&gt;=3,"High")</f>
        <v>Low</v>
      </c>
    </row>
    <row r="236" spans="1:24" x14ac:dyDescent="0.3">
      <c r="A236" t="s">
        <v>539</v>
      </c>
      <c r="B236" t="s">
        <v>534</v>
      </c>
      <c r="C236" s="3">
        <v>45672</v>
      </c>
      <c r="D236" s="8" t="s">
        <v>540</v>
      </c>
      <c r="E236" s="7" t="s">
        <v>87</v>
      </c>
      <c r="F236" s="7" t="s">
        <v>48</v>
      </c>
      <c r="G236" s="7" t="s">
        <v>22</v>
      </c>
      <c r="H236" s="4">
        <v>408.25</v>
      </c>
      <c r="I236" s="7" t="s">
        <v>26</v>
      </c>
      <c r="J236" s="7" t="s">
        <v>17</v>
      </c>
      <c r="L236" t="str">
        <f>PROPER(TRIM(SUBSTITUTE(_xlfn.XLOOKUP(B236,Cardholders_Reference!A:A,Cardholders_Reference!B:B),","," ")))</f>
        <v>Rachel Khumalo</v>
      </c>
      <c r="M236" s="5">
        <f>_xlfn.XLOOKUP(B236,Cardholders_Reference!A:A,Cardholders_Reference!G:G)</f>
        <v>80000</v>
      </c>
      <c r="N236" s="7" t="str">
        <f>_xlfn.XLOOKUP(B236,Cardholders_Reference!A:A,Cardholders_Reference!D:D)</f>
        <v>Nedbank</v>
      </c>
      <c r="O236" s="7" t="str">
        <f>_xlfn.XLOOKUP(B236,Cardholders_Reference!A:A,Cardholders_Reference!E:E)</f>
        <v>Visa</v>
      </c>
      <c r="P236" s="6">
        <f t="shared" si="26"/>
        <v>5.103125E-3</v>
      </c>
      <c r="Q236">
        <f t="shared" si="21"/>
        <v>0</v>
      </c>
      <c r="R236">
        <f t="shared" si="22"/>
        <v>0</v>
      </c>
      <c r="S236">
        <f>IF(COUNTIFS($B$1:$B$738,B235,$C$1:$C$738,#REF!)&gt;2,1,0)</f>
        <v>0</v>
      </c>
      <c r="T236">
        <f t="shared" si="23"/>
        <v>0</v>
      </c>
      <c r="U236">
        <f t="shared" si="24"/>
        <v>0</v>
      </c>
      <c r="V236">
        <f t="shared" si="25"/>
        <v>1</v>
      </c>
      <c r="W236">
        <f t="shared" si="27"/>
        <v>1</v>
      </c>
      <c r="X236" t="str" cm="1">
        <f t="array" ref="X236">_xlfn.IFS(W236&lt;=1,"Low",W236=2,"Medium",W236&gt;=3,"High")</f>
        <v>Low</v>
      </c>
    </row>
    <row r="237" spans="1:24" x14ac:dyDescent="0.3">
      <c r="A237" t="s">
        <v>541</v>
      </c>
      <c r="B237" t="s">
        <v>534</v>
      </c>
      <c r="C237" s="3">
        <v>45839</v>
      </c>
      <c r="D237" s="8" t="s">
        <v>542</v>
      </c>
      <c r="E237" s="7" t="s">
        <v>220</v>
      </c>
      <c r="F237" s="7" t="s">
        <v>91</v>
      </c>
      <c r="G237" s="7" t="s">
        <v>22</v>
      </c>
      <c r="H237" s="4">
        <v>3195.47</v>
      </c>
      <c r="I237" s="7" t="s">
        <v>26</v>
      </c>
      <c r="J237" s="7" t="s">
        <v>41</v>
      </c>
      <c r="L237" t="str">
        <f>PROPER(TRIM(SUBSTITUTE(_xlfn.XLOOKUP(B237,Cardholders_Reference!A:A,Cardholders_Reference!B:B),","," ")))</f>
        <v>Rachel Khumalo</v>
      </c>
      <c r="M237" s="5">
        <f>_xlfn.XLOOKUP(B237,Cardholders_Reference!A:A,Cardholders_Reference!G:G)</f>
        <v>80000</v>
      </c>
      <c r="N237" s="7" t="str">
        <f>_xlfn.XLOOKUP(B237,Cardholders_Reference!A:A,Cardholders_Reference!D:D)</f>
        <v>Nedbank</v>
      </c>
      <c r="O237" s="7" t="str">
        <f>_xlfn.XLOOKUP(B237,Cardholders_Reference!A:A,Cardholders_Reference!E:E)</f>
        <v>Visa</v>
      </c>
      <c r="P237" s="6">
        <f t="shared" si="26"/>
        <v>3.9943374999999996E-2</v>
      </c>
      <c r="Q237">
        <f t="shared" si="21"/>
        <v>0</v>
      </c>
      <c r="R237">
        <f t="shared" si="22"/>
        <v>0</v>
      </c>
      <c r="S237">
        <f>IF(COUNTIFS($B$1:$B$738,B236,$C$1:$C$738,#REF!)&gt;2,1,0)</f>
        <v>0</v>
      </c>
      <c r="T237">
        <f t="shared" si="23"/>
        <v>0</v>
      </c>
      <c r="U237">
        <f t="shared" si="24"/>
        <v>0</v>
      </c>
      <c r="V237">
        <f t="shared" si="25"/>
        <v>1</v>
      </c>
      <c r="W237">
        <f t="shared" si="27"/>
        <v>1</v>
      </c>
      <c r="X237" t="str" cm="1">
        <f t="array" ref="X237">_xlfn.IFS(W237&lt;=1,"Low",W237=2,"Medium",W237&gt;=3,"High")</f>
        <v>Low</v>
      </c>
    </row>
    <row r="238" spans="1:24" x14ac:dyDescent="0.3">
      <c r="A238" t="s">
        <v>543</v>
      </c>
      <c r="B238" t="s">
        <v>534</v>
      </c>
      <c r="C238" s="3">
        <v>45665</v>
      </c>
      <c r="D238" s="8" t="s">
        <v>544</v>
      </c>
      <c r="E238" s="7" t="s">
        <v>126</v>
      </c>
      <c r="F238" s="7" t="s">
        <v>53</v>
      </c>
      <c r="G238" s="7" t="s">
        <v>22</v>
      </c>
      <c r="H238" s="4">
        <v>757.26</v>
      </c>
      <c r="I238" s="7" t="s">
        <v>26</v>
      </c>
      <c r="J238" s="7" t="s">
        <v>17</v>
      </c>
      <c r="K238" t="s">
        <v>141</v>
      </c>
      <c r="L238" t="str">
        <f>PROPER(TRIM(SUBSTITUTE(_xlfn.XLOOKUP(B238,Cardholders_Reference!A:A,Cardholders_Reference!B:B),","," ")))</f>
        <v>Rachel Khumalo</v>
      </c>
      <c r="M238" s="5">
        <f>_xlfn.XLOOKUP(B238,Cardholders_Reference!A:A,Cardholders_Reference!G:G)</f>
        <v>80000</v>
      </c>
      <c r="N238" s="7" t="str">
        <f>_xlfn.XLOOKUP(B238,Cardholders_Reference!A:A,Cardholders_Reference!D:D)</f>
        <v>Nedbank</v>
      </c>
      <c r="O238" s="7" t="str">
        <f>_xlfn.XLOOKUP(B238,Cardholders_Reference!A:A,Cardholders_Reference!E:E)</f>
        <v>Visa</v>
      </c>
      <c r="P238" s="6">
        <f t="shared" si="26"/>
        <v>9.4657500000000002E-3</v>
      </c>
      <c r="Q238">
        <f t="shared" si="21"/>
        <v>0</v>
      </c>
      <c r="R238">
        <f t="shared" si="22"/>
        <v>0</v>
      </c>
      <c r="S238">
        <f>IF(COUNTIFS($B$1:$B$738,B237,$C$1:$C$738,#REF!)&gt;2,1,0)</f>
        <v>0</v>
      </c>
      <c r="T238">
        <f t="shared" si="23"/>
        <v>0</v>
      </c>
      <c r="U238">
        <f t="shared" si="24"/>
        <v>0</v>
      </c>
      <c r="V238">
        <f t="shared" si="25"/>
        <v>1</v>
      </c>
      <c r="W238">
        <f t="shared" si="27"/>
        <v>1</v>
      </c>
      <c r="X238" t="str" cm="1">
        <f t="array" ref="X238">_xlfn.IFS(W238&lt;=1,"Low",W238=2,"Medium",W238&gt;=3,"High")</f>
        <v>Low</v>
      </c>
    </row>
    <row r="239" spans="1:24" x14ac:dyDescent="0.3">
      <c r="A239" t="s">
        <v>545</v>
      </c>
      <c r="B239" t="s">
        <v>534</v>
      </c>
      <c r="C239" s="3">
        <v>46144</v>
      </c>
      <c r="D239" s="8" t="s">
        <v>546</v>
      </c>
      <c r="E239" s="7" t="s">
        <v>97</v>
      </c>
      <c r="F239" s="7" t="s">
        <v>53</v>
      </c>
      <c r="G239" s="7" t="s">
        <v>22</v>
      </c>
      <c r="H239" s="4">
        <v>484.63</v>
      </c>
      <c r="I239" s="7" t="s">
        <v>26</v>
      </c>
      <c r="J239" s="7" t="s">
        <v>17</v>
      </c>
      <c r="L239" t="str">
        <f>PROPER(TRIM(SUBSTITUTE(_xlfn.XLOOKUP(B239,Cardholders_Reference!A:A,Cardholders_Reference!B:B),","," ")))</f>
        <v>Rachel Khumalo</v>
      </c>
      <c r="M239" s="5">
        <f>_xlfn.XLOOKUP(B239,Cardholders_Reference!A:A,Cardholders_Reference!G:G)</f>
        <v>80000</v>
      </c>
      <c r="N239" s="7" t="str">
        <f>_xlfn.XLOOKUP(B239,Cardholders_Reference!A:A,Cardholders_Reference!D:D)</f>
        <v>Nedbank</v>
      </c>
      <c r="O239" s="7" t="str">
        <f>_xlfn.XLOOKUP(B239,Cardholders_Reference!A:A,Cardholders_Reference!E:E)</f>
        <v>Visa</v>
      </c>
      <c r="P239" s="6">
        <f t="shared" si="26"/>
        <v>6.0578749999999999E-3</v>
      </c>
      <c r="Q239">
        <f t="shared" si="21"/>
        <v>0</v>
      </c>
      <c r="R239">
        <f t="shared" si="22"/>
        <v>0</v>
      </c>
      <c r="S239">
        <f>IF(COUNTIFS($B$1:$B$738,B238,$C$1:$C$738,#REF!)&gt;2,1,0)</f>
        <v>0</v>
      </c>
      <c r="T239">
        <f t="shared" si="23"/>
        <v>0</v>
      </c>
      <c r="U239">
        <f t="shared" si="24"/>
        <v>0</v>
      </c>
      <c r="V239">
        <f t="shared" si="25"/>
        <v>1</v>
      </c>
      <c r="W239">
        <f t="shared" si="27"/>
        <v>1</v>
      </c>
      <c r="X239" t="str" cm="1">
        <f t="array" ref="X239">_xlfn.IFS(W239&lt;=1,"Low",W239=2,"Medium",W239&gt;=3,"High")</f>
        <v>Low</v>
      </c>
    </row>
    <row r="240" spans="1:24" x14ac:dyDescent="0.3">
      <c r="A240" t="s">
        <v>547</v>
      </c>
      <c r="B240" t="s">
        <v>534</v>
      </c>
      <c r="C240" s="3">
        <v>45715</v>
      </c>
      <c r="D240" s="8" t="s">
        <v>1439</v>
      </c>
      <c r="E240" s="7" t="s">
        <v>548</v>
      </c>
      <c r="F240" s="7" t="s">
        <v>40</v>
      </c>
      <c r="G240" s="7" t="s">
        <v>22</v>
      </c>
      <c r="H240" s="4">
        <v>114.23</v>
      </c>
      <c r="I240" s="7" t="s">
        <v>26</v>
      </c>
      <c r="J240" s="7" t="s">
        <v>17</v>
      </c>
      <c r="L240" t="str">
        <f>PROPER(TRIM(SUBSTITUTE(_xlfn.XLOOKUP(B240,Cardholders_Reference!A:A,Cardholders_Reference!B:B),","," ")))</f>
        <v>Rachel Khumalo</v>
      </c>
      <c r="M240" s="5">
        <f>_xlfn.XLOOKUP(B240,Cardholders_Reference!A:A,Cardholders_Reference!G:G)</f>
        <v>80000</v>
      </c>
      <c r="N240" s="7" t="str">
        <f>_xlfn.XLOOKUP(B240,Cardholders_Reference!A:A,Cardholders_Reference!D:D)</f>
        <v>Nedbank</v>
      </c>
      <c r="O240" s="7" t="str">
        <f>_xlfn.XLOOKUP(B240,Cardholders_Reference!A:A,Cardholders_Reference!E:E)</f>
        <v>Visa</v>
      </c>
      <c r="P240" s="6">
        <f t="shared" si="26"/>
        <v>1.4278750000000001E-3</v>
      </c>
      <c r="Q240">
        <f t="shared" si="21"/>
        <v>0</v>
      </c>
      <c r="R240">
        <f t="shared" si="22"/>
        <v>1</v>
      </c>
      <c r="S240">
        <f>IF(COUNTIFS($B$1:$B$738,B239,$C$1:$C$738,#REF!)&gt;2,1,0)</f>
        <v>0</v>
      </c>
      <c r="T240">
        <f t="shared" si="23"/>
        <v>0</v>
      </c>
      <c r="U240">
        <f t="shared" si="24"/>
        <v>0</v>
      </c>
      <c r="V240">
        <f t="shared" si="25"/>
        <v>1</v>
      </c>
      <c r="W240">
        <f t="shared" si="27"/>
        <v>2</v>
      </c>
      <c r="X240" t="str" cm="1">
        <f t="array" ref="X240">_xlfn.IFS(W240&lt;=1,"Low",W240=2,"Medium",W240&gt;=3,"High")</f>
        <v>Medium</v>
      </c>
    </row>
    <row r="241" spans="1:24" x14ac:dyDescent="0.3">
      <c r="A241" t="s">
        <v>549</v>
      </c>
      <c r="B241" t="s">
        <v>534</v>
      </c>
      <c r="C241" s="3">
        <v>45873</v>
      </c>
      <c r="D241" s="8" t="s">
        <v>550</v>
      </c>
      <c r="E241" s="7" t="s">
        <v>14</v>
      </c>
      <c r="F241" s="7" t="s">
        <v>15</v>
      </c>
      <c r="G241" s="7" t="s">
        <v>22</v>
      </c>
      <c r="H241" s="4">
        <v>1328.63</v>
      </c>
      <c r="I241" s="7" t="s">
        <v>16</v>
      </c>
      <c r="J241" s="7" t="s">
        <v>17</v>
      </c>
      <c r="L241" t="str">
        <f>PROPER(TRIM(SUBSTITUTE(_xlfn.XLOOKUP(B241,Cardholders_Reference!A:A,Cardholders_Reference!B:B),","," ")))</f>
        <v>Rachel Khumalo</v>
      </c>
      <c r="M241" s="5">
        <f>_xlfn.XLOOKUP(B241,Cardholders_Reference!A:A,Cardholders_Reference!G:G)</f>
        <v>80000</v>
      </c>
      <c r="N241" s="7" t="str">
        <f>_xlfn.XLOOKUP(B241,Cardholders_Reference!A:A,Cardholders_Reference!D:D)</f>
        <v>Nedbank</v>
      </c>
      <c r="O241" s="7" t="str">
        <f>_xlfn.XLOOKUP(B241,Cardholders_Reference!A:A,Cardholders_Reference!E:E)</f>
        <v>Visa</v>
      </c>
      <c r="P241" s="6">
        <f t="shared" si="26"/>
        <v>1.6607875000000001E-2</v>
      </c>
      <c r="Q241">
        <f t="shared" si="21"/>
        <v>0</v>
      </c>
      <c r="R241">
        <f t="shared" si="22"/>
        <v>0</v>
      </c>
      <c r="S241">
        <f>IF(COUNTIFS($B$1:$B$738,B240,$C$1:$C$738,#REF!)&gt;2,1,0)</f>
        <v>0</v>
      </c>
      <c r="T241">
        <f t="shared" si="23"/>
        <v>0</v>
      </c>
      <c r="U241">
        <f t="shared" si="24"/>
        <v>0</v>
      </c>
      <c r="V241">
        <f t="shared" si="25"/>
        <v>0</v>
      </c>
      <c r="W241">
        <f t="shared" si="27"/>
        <v>0</v>
      </c>
      <c r="X241" t="str" cm="1">
        <f t="array" ref="X241">_xlfn.IFS(W241&lt;=1,"Low",W241=2,"Medium",W241&gt;=3,"High")</f>
        <v>Low</v>
      </c>
    </row>
    <row r="242" spans="1:24" x14ac:dyDescent="0.3">
      <c r="A242" t="s">
        <v>551</v>
      </c>
      <c r="B242" t="s">
        <v>534</v>
      </c>
      <c r="C242" s="3">
        <v>46040</v>
      </c>
      <c r="D242" s="8" t="s">
        <v>552</v>
      </c>
      <c r="E242" s="7" t="s">
        <v>80</v>
      </c>
      <c r="F242" s="7" t="s">
        <v>81</v>
      </c>
      <c r="G242" s="7" t="s">
        <v>22</v>
      </c>
      <c r="H242" s="4">
        <v>17624.12</v>
      </c>
      <c r="I242" s="7" t="s">
        <v>16</v>
      </c>
      <c r="J242" s="7" t="s">
        <v>17</v>
      </c>
      <c r="L242" t="str">
        <f>PROPER(TRIM(SUBSTITUTE(_xlfn.XLOOKUP(B242,Cardholders_Reference!A:A,Cardholders_Reference!B:B),","," ")))</f>
        <v>Rachel Khumalo</v>
      </c>
      <c r="M242" s="5">
        <f>_xlfn.XLOOKUP(B242,Cardholders_Reference!A:A,Cardholders_Reference!G:G)</f>
        <v>80000</v>
      </c>
      <c r="N242" s="7" t="str">
        <f>_xlfn.XLOOKUP(B242,Cardholders_Reference!A:A,Cardholders_Reference!D:D)</f>
        <v>Nedbank</v>
      </c>
      <c r="O242" s="7" t="str">
        <f>_xlfn.XLOOKUP(B242,Cardholders_Reference!A:A,Cardholders_Reference!E:E)</f>
        <v>Visa</v>
      </c>
      <c r="P242" s="6">
        <f t="shared" si="26"/>
        <v>0.22030149999999998</v>
      </c>
      <c r="Q242">
        <f t="shared" si="21"/>
        <v>0</v>
      </c>
      <c r="R242">
        <f t="shared" si="22"/>
        <v>0</v>
      </c>
      <c r="S242">
        <f>IF(COUNTIFS($B$1:$B$738,B241,$C$1:$C$738,#REF!)&gt;2,1,0)</f>
        <v>0</v>
      </c>
      <c r="T242">
        <f t="shared" si="23"/>
        <v>0</v>
      </c>
      <c r="U242">
        <f t="shared" si="24"/>
        <v>0</v>
      </c>
      <c r="V242">
        <f t="shared" si="25"/>
        <v>0</v>
      </c>
      <c r="W242">
        <f t="shared" si="27"/>
        <v>0</v>
      </c>
      <c r="X242" t="str" cm="1">
        <f t="array" ref="X242">_xlfn.IFS(W242&lt;=1,"Low",W242=2,"Medium",W242&gt;=3,"High")</f>
        <v>Low</v>
      </c>
    </row>
    <row r="243" spans="1:24" x14ac:dyDescent="0.3">
      <c r="A243" t="s">
        <v>553</v>
      </c>
      <c r="B243" t="s">
        <v>534</v>
      </c>
      <c r="C243" s="3">
        <v>46065</v>
      </c>
      <c r="D243" s="8" t="s">
        <v>554</v>
      </c>
      <c r="E243" s="7" t="s">
        <v>126</v>
      </c>
      <c r="F243" s="7" t="s">
        <v>53</v>
      </c>
      <c r="G243" s="7" t="s">
        <v>108</v>
      </c>
      <c r="H243" s="4">
        <v>430.58</v>
      </c>
      <c r="I243" s="7" t="s">
        <v>32</v>
      </c>
      <c r="J243" s="7" t="s">
        <v>41</v>
      </c>
      <c r="L243" t="str">
        <f>PROPER(TRIM(SUBSTITUTE(_xlfn.XLOOKUP(B243,Cardholders_Reference!A:A,Cardholders_Reference!B:B),","," ")))</f>
        <v>Rachel Khumalo</v>
      </c>
      <c r="M243" s="5">
        <f>_xlfn.XLOOKUP(B243,Cardholders_Reference!A:A,Cardholders_Reference!G:G)</f>
        <v>80000</v>
      </c>
      <c r="N243" s="7" t="str">
        <f>_xlfn.XLOOKUP(B243,Cardholders_Reference!A:A,Cardholders_Reference!D:D)</f>
        <v>Nedbank</v>
      </c>
      <c r="O243" s="7" t="str">
        <f>_xlfn.XLOOKUP(B243,Cardholders_Reference!A:A,Cardholders_Reference!E:E)</f>
        <v>Visa</v>
      </c>
      <c r="P243" s="6">
        <f t="shared" si="26"/>
        <v>5.3822499999999999E-3</v>
      </c>
      <c r="Q243">
        <f t="shared" si="21"/>
        <v>0</v>
      </c>
      <c r="R243">
        <f t="shared" si="22"/>
        <v>0</v>
      </c>
      <c r="S243">
        <f>IF(COUNTIFS($B$1:$B$738,B242,$C$1:$C$738,#REF!)&gt;2,1,0)</f>
        <v>0</v>
      </c>
      <c r="T243">
        <f t="shared" si="23"/>
        <v>0</v>
      </c>
      <c r="U243">
        <f t="shared" si="24"/>
        <v>0</v>
      </c>
      <c r="V243">
        <f t="shared" si="25"/>
        <v>0</v>
      </c>
      <c r="W243">
        <f t="shared" si="27"/>
        <v>0</v>
      </c>
      <c r="X243" t="str" cm="1">
        <f t="array" ref="X243">_xlfn.IFS(W243&lt;=1,"Low",W243=2,"Medium",W243&gt;=3,"High")</f>
        <v>Low</v>
      </c>
    </row>
    <row r="244" spans="1:24" x14ac:dyDescent="0.3">
      <c r="A244" t="s">
        <v>555</v>
      </c>
      <c r="B244" t="s">
        <v>534</v>
      </c>
      <c r="C244" s="3">
        <v>46430</v>
      </c>
      <c r="D244" s="8" t="s">
        <v>556</v>
      </c>
      <c r="E244" s="7" t="s">
        <v>94</v>
      </c>
      <c r="F244" s="7" t="s">
        <v>53</v>
      </c>
      <c r="G244" s="7" t="s">
        <v>22</v>
      </c>
      <c r="H244" s="4">
        <v>189.77</v>
      </c>
      <c r="I244" s="7" t="s">
        <v>26</v>
      </c>
      <c r="J244" s="7" t="s">
        <v>41</v>
      </c>
      <c r="L244" t="str">
        <f>PROPER(TRIM(SUBSTITUTE(_xlfn.XLOOKUP(B244,Cardholders_Reference!A:A,Cardholders_Reference!B:B),","," ")))</f>
        <v>Rachel Khumalo</v>
      </c>
      <c r="M244" s="5">
        <f>_xlfn.XLOOKUP(B244,Cardholders_Reference!A:A,Cardholders_Reference!G:G)</f>
        <v>80000</v>
      </c>
      <c r="N244" s="7" t="str">
        <f>_xlfn.XLOOKUP(B244,Cardholders_Reference!A:A,Cardholders_Reference!D:D)</f>
        <v>Nedbank</v>
      </c>
      <c r="O244" s="7" t="str">
        <f>_xlfn.XLOOKUP(B244,Cardholders_Reference!A:A,Cardholders_Reference!E:E)</f>
        <v>Visa</v>
      </c>
      <c r="P244" s="6">
        <f t="shared" si="26"/>
        <v>2.3721250000000001E-3</v>
      </c>
      <c r="Q244">
        <f t="shared" si="21"/>
        <v>1</v>
      </c>
      <c r="R244">
        <f t="shared" si="22"/>
        <v>0</v>
      </c>
      <c r="S244">
        <f>IF(COUNTIFS($B$1:$B$738,B243,$C$1:$C$738,#REF!)&gt;2,1,0)</f>
        <v>0</v>
      </c>
      <c r="T244">
        <f t="shared" si="23"/>
        <v>0</v>
      </c>
      <c r="U244">
        <f t="shared" si="24"/>
        <v>0</v>
      </c>
      <c r="V244">
        <f t="shared" si="25"/>
        <v>1</v>
      </c>
      <c r="W244">
        <f t="shared" si="27"/>
        <v>2</v>
      </c>
      <c r="X244" t="str" cm="1">
        <f t="array" ref="X244">_xlfn.IFS(W244&lt;=1,"Low",W244=2,"Medium",W244&gt;=3,"High")</f>
        <v>Medium</v>
      </c>
    </row>
    <row r="245" spans="1:24" x14ac:dyDescent="0.3">
      <c r="A245" t="s">
        <v>557</v>
      </c>
      <c r="B245" t="s">
        <v>534</v>
      </c>
      <c r="C245" s="3">
        <v>46143</v>
      </c>
      <c r="D245" s="8" t="s">
        <v>558</v>
      </c>
      <c r="E245" s="7" t="s">
        <v>377</v>
      </c>
      <c r="F245" s="7" t="s">
        <v>74</v>
      </c>
      <c r="G245" s="7" t="s">
        <v>49</v>
      </c>
      <c r="H245" s="4">
        <v>754.72</v>
      </c>
      <c r="I245" s="7" t="s">
        <v>95</v>
      </c>
      <c r="J245" s="7" t="s">
        <v>17</v>
      </c>
      <c r="L245" t="str">
        <f>PROPER(TRIM(SUBSTITUTE(_xlfn.XLOOKUP(B245,Cardholders_Reference!A:A,Cardholders_Reference!B:B),","," ")))</f>
        <v>Rachel Khumalo</v>
      </c>
      <c r="M245" s="5">
        <f>_xlfn.XLOOKUP(B245,Cardholders_Reference!A:A,Cardholders_Reference!G:G)</f>
        <v>80000</v>
      </c>
      <c r="N245" s="7" t="str">
        <f>_xlfn.XLOOKUP(B245,Cardholders_Reference!A:A,Cardholders_Reference!D:D)</f>
        <v>Nedbank</v>
      </c>
      <c r="O245" s="7" t="str">
        <f>_xlfn.XLOOKUP(B245,Cardholders_Reference!A:A,Cardholders_Reference!E:E)</f>
        <v>Visa</v>
      </c>
      <c r="P245" s="6">
        <f t="shared" si="26"/>
        <v>9.4339999999999997E-3</v>
      </c>
      <c r="Q245">
        <f t="shared" si="21"/>
        <v>0</v>
      </c>
      <c r="R245">
        <f t="shared" si="22"/>
        <v>0</v>
      </c>
      <c r="S245">
        <f>IF(COUNTIFS($B$1:$B$738,B244,$C$1:$C$738,#REF!)&gt;2,1,0)</f>
        <v>0</v>
      </c>
      <c r="T245">
        <f t="shared" si="23"/>
        <v>0</v>
      </c>
      <c r="U245">
        <f t="shared" si="24"/>
        <v>0</v>
      </c>
      <c r="V245">
        <f t="shared" si="25"/>
        <v>1</v>
      </c>
      <c r="W245">
        <f t="shared" si="27"/>
        <v>1</v>
      </c>
      <c r="X245" t="str" cm="1">
        <f t="array" ref="X245">_xlfn.IFS(W245&lt;=1,"Low",W245=2,"Medium",W245&gt;=3,"High")</f>
        <v>Low</v>
      </c>
    </row>
    <row r="246" spans="1:24" x14ac:dyDescent="0.3">
      <c r="A246" t="s">
        <v>559</v>
      </c>
      <c r="B246" t="s">
        <v>534</v>
      </c>
      <c r="C246" s="3">
        <v>46145</v>
      </c>
      <c r="D246" s="8" t="s">
        <v>560</v>
      </c>
      <c r="E246" s="7" t="s">
        <v>114</v>
      </c>
      <c r="F246" s="7" t="s">
        <v>81</v>
      </c>
      <c r="G246" s="7" t="s">
        <v>22</v>
      </c>
      <c r="H246" s="4">
        <v>5795.36</v>
      </c>
      <c r="I246" s="7" t="s">
        <v>16</v>
      </c>
      <c r="J246" s="7" t="s">
        <v>41</v>
      </c>
      <c r="L246" t="str">
        <f>PROPER(TRIM(SUBSTITUTE(_xlfn.XLOOKUP(B246,Cardholders_Reference!A:A,Cardholders_Reference!B:B),","," ")))</f>
        <v>Rachel Khumalo</v>
      </c>
      <c r="M246" s="5">
        <f>_xlfn.XLOOKUP(B246,Cardholders_Reference!A:A,Cardholders_Reference!G:G)</f>
        <v>80000</v>
      </c>
      <c r="N246" s="7" t="str">
        <f>_xlfn.XLOOKUP(B246,Cardholders_Reference!A:A,Cardholders_Reference!D:D)</f>
        <v>Nedbank</v>
      </c>
      <c r="O246" s="7" t="str">
        <f>_xlfn.XLOOKUP(B246,Cardholders_Reference!A:A,Cardholders_Reference!E:E)</f>
        <v>Visa</v>
      </c>
      <c r="P246" s="6">
        <f t="shared" si="26"/>
        <v>7.2441999999999993E-2</v>
      </c>
      <c r="Q246">
        <f t="shared" si="21"/>
        <v>1</v>
      </c>
      <c r="R246">
        <f t="shared" si="22"/>
        <v>0</v>
      </c>
      <c r="S246">
        <f>IF(COUNTIFS($B$1:$B$738,B245,$C$1:$C$738,#REF!)&gt;2,1,0)</f>
        <v>0</v>
      </c>
      <c r="T246">
        <f t="shared" si="23"/>
        <v>0</v>
      </c>
      <c r="U246">
        <f t="shared" si="24"/>
        <v>0</v>
      </c>
      <c r="V246">
        <f t="shared" si="25"/>
        <v>0</v>
      </c>
      <c r="W246">
        <f t="shared" si="27"/>
        <v>1</v>
      </c>
      <c r="X246" t="str" cm="1">
        <f t="array" ref="X246">_xlfn.IFS(W246&lt;=1,"Low",W246=2,"Medium",W246&gt;=3,"High")</f>
        <v>Low</v>
      </c>
    </row>
    <row r="247" spans="1:24" x14ac:dyDescent="0.3">
      <c r="A247" t="s">
        <v>561</v>
      </c>
      <c r="B247" t="s">
        <v>534</v>
      </c>
      <c r="C247" s="3">
        <v>45741</v>
      </c>
      <c r="D247" s="8" t="s">
        <v>236</v>
      </c>
      <c r="E247" s="7" t="s">
        <v>90</v>
      </c>
      <c r="F247" s="7" t="s">
        <v>91</v>
      </c>
      <c r="G247" s="7" t="s">
        <v>118</v>
      </c>
      <c r="H247" s="4">
        <v>1683.53</v>
      </c>
      <c r="I247" s="7" t="s">
        <v>16</v>
      </c>
      <c r="J247" s="7" t="s">
        <v>17</v>
      </c>
      <c r="L247" t="str">
        <f>PROPER(TRIM(SUBSTITUTE(_xlfn.XLOOKUP(B247,Cardholders_Reference!A:A,Cardholders_Reference!B:B),","," ")))</f>
        <v>Rachel Khumalo</v>
      </c>
      <c r="M247" s="5">
        <f>_xlfn.XLOOKUP(B247,Cardholders_Reference!A:A,Cardholders_Reference!G:G)</f>
        <v>80000</v>
      </c>
      <c r="N247" s="7" t="str">
        <f>_xlfn.XLOOKUP(B247,Cardholders_Reference!A:A,Cardholders_Reference!D:D)</f>
        <v>Nedbank</v>
      </c>
      <c r="O247" s="7" t="str">
        <f>_xlfn.XLOOKUP(B247,Cardholders_Reference!A:A,Cardholders_Reference!E:E)</f>
        <v>Visa</v>
      </c>
      <c r="P247" s="6">
        <f t="shared" si="26"/>
        <v>2.1044125E-2</v>
      </c>
      <c r="Q247">
        <f t="shared" si="21"/>
        <v>0</v>
      </c>
      <c r="R247">
        <f t="shared" si="22"/>
        <v>0</v>
      </c>
      <c r="S247">
        <f>IF(COUNTIFS($B$1:$B$738,B246,$C$1:$C$738,#REF!)&gt;2,1,0)</f>
        <v>0</v>
      </c>
      <c r="T247">
        <f t="shared" si="23"/>
        <v>0</v>
      </c>
      <c r="U247">
        <f t="shared" si="24"/>
        <v>0</v>
      </c>
      <c r="V247">
        <f t="shared" si="25"/>
        <v>0</v>
      </c>
      <c r="W247">
        <f t="shared" si="27"/>
        <v>0</v>
      </c>
      <c r="X247" t="str" cm="1">
        <f t="array" ref="X247">_xlfn.IFS(W247&lt;=1,"Low",W247=2,"Medium",W247&gt;=3,"High")</f>
        <v>Low</v>
      </c>
    </row>
    <row r="248" spans="1:24" x14ac:dyDescent="0.3">
      <c r="A248" t="s">
        <v>562</v>
      </c>
      <c r="B248" t="s">
        <v>534</v>
      </c>
      <c r="C248" s="3">
        <v>45752</v>
      </c>
      <c r="D248" s="8" t="s">
        <v>263</v>
      </c>
      <c r="E248" s="7" t="s">
        <v>80</v>
      </c>
      <c r="F248" s="7" t="s">
        <v>81</v>
      </c>
      <c r="G248" s="7" t="s">
        <v>22</v>
      </c>
      <c r="H248" s="4">
        <v>11174.71</v>
      </c>
      <c r="I248" s="7" t="s">
        <v>32</v>
      </c>
      <c r="J248" s="7" t="s">
        <v>41</v>
      </c>
      <c r="L248" t="str">
        <f>PROPER(TRIM(SUBSTITUTE(_xlfn.XLOOKUP(B248,Cardholders_Reference!A:A,Cardholders_Reference!B:B),","," ")))</f>
        <v>Rachel Khumalo</v>
      </c>
      <c r="M248" s="5">
        <f>_xlfn.XLOOKUP(B248,Cardholders_Reference!A:A,Cardholders_Reference!G:G)</f>
        <v>80000</v>
      </c>
      <c r="N248" s="7" t="str">
        <f>_xlfn.XLOOKUP(B248,Cardholders_Reference!A:A,Cardholders_Reference!D:D)</f>
        <v>Nedbank</v>
      </c>
      <c r="O248" s="7" t="str">
        <f>_xlfn.XLOOKUP(B248,Cardholders_Reference!A:A,Cardholders_Reference!E:E)</f>
        <v>Visa</v>
      </c>
      <c r="P248" s="6">
        <f t="shared" si="26"/>
        <v>0.13968387499999999</v>
      </c>
      <c r="Q248">
        <f t="shared" si="21"/>
        <v>1</v>
      </c>
      <c r="R248">
        <f t="shared" si="22"/>
        <v>0</v>
      </c>
      <c r="S248">
        <f>IF(COUNTIFS($B$1:$B$738,B247,$C$1:$C$738,#REF!)&gt;2,1,0)</f>
        <v>0</v>
      </c>
      <c r="T248">
        <f t="shared" si="23"/>
        <v>0</v>
      </c>
      <c r="U248">
        <f t="shared" si="24"/>
        <v>0</v>
      </c>
      <c r="V248">
        <f t="shared" si="25"/>
        <v>0</v>
      </c>
      <c r="W248">
        <f t="shared" si="27"/>
        <v>1</v>
      </c>
      <c r="X248" t="str" cm="1">
        <f t="array" ref="X248">_xlfn.IFS(W248&lt;=1,"Low",W248=2,"Medium",W248&gt;=3,"High")</f>
        <v>Low</v>
      </c>
    </row>
    <row r="249" spans="1:24" x14ac:dyDescent="0.3">
      <c r="A249" t="s">
        <v>563</v>
      </c>
      <c r="B249" t="s">
        <v>564</v>
      </c>
      <c r="C249" s="3">
        <v>45689</v>
      </c>
      <c r="D249" s="8" t="s">
        <v>565</v>
      </c>
      <c r="E249" s="7" t="s">
        <v>230</v>
      </c>
      <c r="F249" s="7" t="s">
        <v>81</v>
      </c>
      <c r="G249" s="7" t="s">
        <v>22</v>
      </c>
      <c r="H249" s="4">
        <v>5040.71</v>
      </c>
      <c r="I249" s="7" t="s">
        <v>16</v>
      </c>
      <c r="J249" s="7" t="s">
        <v>17</v>
      </c>
      <c r="L249" t="str">
        <f>PROPER(TRIM(SUBSTITUTE(_xlfn.XLOOKUP(B249,Cardholders_Reference!A:A,Cardholders_Reference!B:B),","," ")))</f>
        <v>Andries Mahlangu</v>
      </c>
      <c r="M249" s="5">
        <f>_xlfn.XLOOKUP(B249,Cardholders_Reference!A:A,Cardholders_Reference!G:G)</f>
        <v>40000</v>
      </c>
      <c r="N249" s="7" t="str">
        <f>_xlfn.XLOOKUP(B249,Cardholders_Reference!A:A,Cardholders_Reference!D:D)</f>
        <v>Nedbank</v>
      </c>
      <c r="O249" s="7" t="str">
        <f>_xlfn.XLOOKUP(B249,Cardholders_Reference!A:A,Cardholders_Reference!E:E)</f>
        <v>Visa</v>
      </c>
      <c r="P249" s="6">
        <f t="shared" si="26"/>
        <v>0.12601775000000001</v>
      </c>
      <c r="Q249">
        <f t="shared" si="21"/>
        <v>0</v>
      </c>
      <c r="R249">
        <f t="shared" si="22"/>
        <v>0</v>
      </c>
      <c r="S249">
        <f>IF(COUNTIFS($B$1:$B$738,B248,$C$1:$C$738,#REF!)&gt;2,1,0)</f>
        <v>0</v>
      </c>
      <c r="T249">
        <f t="shared" si="23"/>
        <v>0</v>
      </c>
      <c r="U249">
        <f t="shared" si="24"/>
        <v>0</v>
      </c>
      <c r="V249">
        <f t="shared" si="25"/>
        <v>0</v>
      </c>
      <c r="W249">
        <f t="shared" si="27"/>
        <v>0</v>
      </c>
      <c r="X249" t="str" cm="1">
        <f t="array" ref="X249">_xlfn.IFS(W249&lt;=1,"Low",W249=2,"Medium",W249&gt;=3,"High")</f>
        <v>Low</v>
      </c>
    </row>
    <row r="250" spans="1:24" x14ac:dyDescent="0.3">
      <c r="A250" t="s">
        <v>566</v>
      </c>
      <c r="B250" t="s">
        <v>564</v>
      </c>
      <c r="C250" s="3">
        <v>45845</v>
      </c>
      <c r="D250" s="8" t="s">
        <v>388</v>
      </c>
      <c r="E250" s="7" t="s">
        <v>126</v>
      </c>
      <c r="F250" s="7" t="s">
        <v>53</v>
      </c>
      <c r="G250" s="7" t="s">
        <v>49</v>
      </c>
      <c r="H250" s="4">
        <v>729.1</v>
      </c>
      <c r="I250" s="7" t="s">
        <v>26</v>
      </c>
      <c r="J250" s="7" t="s">
        <v>17</v>
      </c>
      <c r="L250" t="str">
        <f>PROPER(TRIM(SUBSTITUTE(_xlfn.XLOOKUP(B250,Cardholders_Reference!A:A,Cardholders_Reference!B:B),","," ")))</f>
        <v>Andries Mahlangu</v>
      </c>
      <c r="M250" s="5">
        <f>_xlfn.XLOOKUP(B250,Cardholders_Reference!A:A,Cardholders_Reference!G:G)</f>
        <v>40000</v>
      </c>
      <c r="N250" s="7" t="str">
        <f>_xlfn.XLOOKUP(B250,Cardholders_Reference!A:A,Cardholders_Reference!D:D)</f>
        <v>Nedbank</v>
      </c>
      <c r="O250" s="7" t="str">
        <f>_xlfn.XLOOKUP(B250,Cardholders_Reference!A:A,Cardholders_Reference!E:E)</f>
        <v>Visa</v>
      </c>
      <c r="P250" s="6">
        <f t="shared" si="26"/>
        <v>1.8227500000000001E-2</v>
      </c>
      <c r="Q250">
        <f t="shared" si="21"/>
        <v>1</v>
      </c>
      <c r="R250">
        <f t="shared" si="22"/>
        <v>0</v>
      </c>
      <c r="S250">
        <f>IF(COUNTIFS($B$1:$B$738,B249,$C$1:$C$738,#REF!)&gt;2,1,0)</f>
        <v>0</v>
      </c>
      <c r="T250">
        <f t="shared" si="23"/>
        <v>0</v>
      </c>
      <c r="U250">
        <f t="shared" si="24"/>
        <v>0</v>
      </c>
      <c r="V250">
        <f t="shared" si="25"/>
        <v>1</v>
      </c>
      <c r="W250">
        <f t="shared" si="27"/>
        <v>2</v>
      </c>
      <c r="X250" t="str" cm="1">
        <f t="array" ref="X250">_xlfn.IFS(W250&lt;=1,"Low",W250=2,"Medium",W250&gt;=3,"High")</f>
        <v>Medium</v>
      </c>
    </row>
    <row r="251" spans="1:24" x14ac:dyDescent="0.3">
      <c r="A251" t="s">
        <v>567</v>
      </c>
      <c r="B251" t="s">
        <v>564</v>
      </c>
      <c r="C251" s="3">
        <v>45924</v>
      </c>
      <c r="D251" s="8" t="s">
        <v>209</v>
      </c>
      <c r="E251" s="7" t="s">
        <v>308</v>
      </c>
      <c r="F251" s="7" t="s">
        <v>91</v>
      </c>
      <c r="G251" s="7" t="s">
        <v>49</v>
      </c>
      <c r="H251" s="4">
        <v>3148.51</v>
      </c>
      <c r="I251" s="7" t="s">
        <v>26</v>
      </c>
      <c r="J251" s="7" t="s">
        <v>17</v>
      </c>
      <c r="L251" t="str">
        <f>PROPER(TRIM(SUBSTITUTE(_xlfn.XLOOKUP(B251,Cardholders_Reference!A:A,Cardholders_Reference!B:B),","," ")))</f>
        <v>Andries Mahlangu</v>
      </c>
      <c r="M251" s="5">
        <f>_xlfn.XLOOKUP(B251,Cardholders_Reference!A:A,Cardholders_Reference!G:G)</f>
        <v>40000</v>
      </c>
      <c r="N251" s="7" t="str">
        <f>_xlfn.XLOOKUP(B251,Cardholders_Reference!A:A,Cardholders_Reference!D:D)</f>
        <v>Nedbank</v>
      </c>
      <c r="O251" s="7" t="str">
        <f>_xlfn.XLOOKUP(B251,Cardholders_Reference!A:A,Cardholders_Reference!E:E)</f>
        <v>Visa</v>
      </c>
      <c r="P251" s="6">
        <f t="shared" si="26"/>
        <v>7.8712750000000012E-2</v>
      </c>
      <c r="Q251">
        <f t="shared" si="21"/>
        <v>0</v>
      </c>
      <c r="R251">
        <f t="shared" si="22"/>
        <v>0</v>
      </c>
      <c r="S251">
        <f>IF(COUNTIFS($B$1:$B$738,B250,$C$1:$C$738,#REF!)&gt;2,1,0)</f>
        <v>0</v>
      </c>
      <c r="T251">
        <f t="shared" si="23"/>
        <v>0</v>
      </c>
      <c r="U251">
        <f t="shared" si="24"/>
        <v>0</v>
      </c>
      <c r="V251">
        <f t="shared" si="25"/>
        <v>1</v>
      </c>
      <c r="W251">
        <f t="shared" si="27"/>
        <v>1</v>
      </c>
      <c r="X251" t="str" cm="1">
        <f t="array" ref="X251">_xlfn.IFS(W251&lt;=1,"Low",W251=2,"Medium",W251&gt;=3,"High")</f>
        <v>Low</v>
      </c>
    </row>
    <row r="252" spans="1:24" x14ac:dyDescent="0.3">
      <c r="A252" t="s">
        <v>568</v>
      </c>
      <c r="B252" t="s">
        <v>564</v>
      </c>
      <c r="C252" s="3">
        <v>45772</v>
      </c>
      <c r="D252" s="8" t="s">
        <v>569</v>
      </c>
      <c r="E252" s="7" t="s">
        <v>368</v>
      </c>
      <c r="F252" s="7" t="s">
        <v>21</v>
      </c>
      <c r="G252" s="7" t="s">
        <v>49</v>
      </c>
      <c r="H252" s="4">
        <v>2374.66</v>
      </c>
      <c r="I252" s="7" t="s">
        <v>95</v>
      </c>
      <c r="J252" s="7" t="s">
        <v>17</v>
      </c>
      <c r="K252" t="s">
        <v>141</v>
      </c>
      <c r="L252" t="str">
        <f>PROPER(TRIM(SUBSTITUTE(_xlfn.XLOOKUP(B252,Cardholders_Reference!A:A,Cardholders_Reference!B:B),","," ")))</f>
        <v>Andries Mahlangu</v>
      </c>
      <c r="M252" s="5">
        <f>_xlfn.XLOOKUP(B252,Cardholders_Reference!A:A,Cardholders_Reference!G:G)</f>
        <v>40000</v>
      </c>
      <c r="N252" s="7" t="str">
        <f>_xlfn.XLOOKUP(B252,Cardholders_Reference!A:A,Cardholders_Reference!D:D)</f>
        <v>Nedbank</v>
      </c>
      <c r="O252" s="7" t="str">
        <f>_xlfn.XLOOKUP(B252,Cardholders_Reference!A:A,Cardholders_Reference!E:E)</f>
        <v>Visa</v>
      </c>
      <c r="P252" s="6">
        <f t="shared" si="26"/>
        <v>5.9366499999999996E-2</v>
      </c>
      <c r="Q252">
        <f t="shared" si="21"/>
        <v>0</v>
      </c>
      <c r="R252">
        <f t="shared" si="22"/>
        <v>0</v>
      </c>
      <c r="S252">
        <f>IF(COUNTIFS($B$1:$B$738,B251,$C$1:$C$738,#REF!)&gt;2,1,0)</f>
        <v>0</v>
      </c>
      <c r="T252">
        <f t="shared" si="23"/>
        <v>0</v>
      </c>
      <c r="U252">
        <f t="shared" si="24"/>
        <v>0</v>
      </c>
      <c r="V252">
        <f t="shared" si="25"/>
        <v>1</v>
      </c>
      <c r="W252">
        <f t="shared" si="27"/>
        <v>1</v>
      </c>
      <c r="X252" t="str" cm="1">
        <f t="array" ref="X252">_xlfn.IFS(W252&lt;=1,"Low",W252=2,"Medium",W252&gt;=3,"High")</f>
        <v>Low</v>
      </c>
    </row>
    <row r="253" spans="1:24" x14ac:dyDescent="0.3">
      <c r="A253" t="s">
        <v>570</v>
      </c>
      <c r="B253" t="s">
        <v>564</v>
      </c>
      <c r="C253" s="3">
        <v>45828</v>
      </c>
      <c r="D253" s="8" t="s">
        <v>571</v>
      </c>
      <c r="E253" s="7" t="s">
        <v>132</v>
      </c>
      <c r="F253" s="7" t="s">
        <v>25</v>
      </c>
      <c r="G253" s="7" t="s">
        <v>49</v>
      </c>
      <c r="H253" s="4">
        <v>843.62</v>
      </c>
      <c r="I253" s="7" t="s">
        <v>26</v>
      </c>
      <c r="J253" s="7" t="s">
        <v>17</v>
      </c>
      <c r="L253" t="str">
        <f>PROPER(TRIM(SUBSTITUTE(_xlfn.XLOOKUP(B253,Cardholders_Reference!A:A,Cardholders_Reference!B:B),","," ")))</f>
        <v>Andries Mahlangu</v>
      </c>
      <c r="M253" s="5">
        <f>_xlfn.XLOOKUP(B253,Cardholders_Reference!A:A,Cardholders_Reference!G:G)</f>
        <v>40000</v>
      </c>
      <c r="N253" s="7" t="str">
        <f>_xlfn.XLOOKUP(B253,Cardholders_Reference!A:A,Cardholders_Reference!D:D)</f>
        <v>Nedbank</v>
      </c>
      <c r="O253" s="7" t="str">
        <f>_xlfn.XLOOKUP(B253,Cardholders_Reference!A:A,Cardholders_Reference!E:E)</f>
        <v>Visa</v>
      </c>
      <c r="P253" s="6">
        <f t="shared" si="26"/>
        <v>2.1090500000000002E-2</v>
      </c>
      <c r="Q253">
        <f t="shared" si="21"/>
        <v>0</v>
      </c>
      <c r="R253">
        <f t="shared" si="22"/>
        <v>0</v>
      </c>
      <c r="S253">
        <f>IF(COUNTIFS($B$1:$B$738,B252,$C$1:$C$738,#REF!)&gt;2,1,0)</f>
        <v>0</v>
      </c>
      <c r="T253">
        <f t="shared" si="23"/>
        <v>0</v>
      </c>
      <c r="U253">
        <f t="shared" si="24"/>
        <v>1</v>
      </c>
      <c r="V253">
        <f t="shared" si="25"/>
        <v>1</v>
      </c>
      <c r="W253">
        <f t="shared" si="27"/>
        <v>2</v>
      </c>
      <c r="X253" t="str" cm="1">
        <f t="array" ref="X253">_xlfn.IFS(W253&lt;=1,"Low",W253=2,"Medium",W253&gt;=3,"High")</f>
        <v>Medium</v>
      </c>
    </row>
    <row r="254" spans="1:24" x14ac:dyDescent="0.3">
      <c r="A254" t="s">
        <v>572</v>
      </c>
      <c r="B254" t="s">
        <v>564</v>
      </c>
      <c r="C254" s="3">
        <v>45665</v>
      </c>
      <c r="D254" s="8" t="s">
        <v>573</v>
      </c>
      <c r="E254" s="7" t="s">
        <v>230</v>
      </c>
      <c r="F254" s="7" t="s">
        <v>81</v>
      </c>
      <c r="G254" s="7" t="s">
        <v>49</v>
      </c>
      <c r="H254" s="4">
        <v>12367.7</v>
      </c>
      <c r="I254" s="7" t="s">
        <v>95</v>
      </c>
      <c r="J254" s="7" t="s">
        <v>17</v>
      </c>
      <c r="L254" t="str">
        <f>PROPER(TRIM(SUBSTITUTE(_xlfn.XLOOKUP(B254,Cardholders_Reference!A:A,Cardholders_Reference!B:B),","," ")))</f>
        <v>Andries Mahlangu</v>
      </c>
      <c r="M254" s="5">
        <f>_xlfn.XLOOKUP(B254,Cardholders_Reference!A:A,Cardholders_Reference!G:G)</f>
        <v>40000</v>
      </c>
      <c r="N254" s="7" t="str">
        <f>_xlfn.XLOOKUP(B254,Cardholders_Reference!A:A,Cardholders_Reference!D:D)</f>
        <v>Nedbank</v>
      </c>
      <c r="O254" s="7" t="str">
        <f>_xlfn.XLOOKUP(B254,Cardholders_Reference!A:A,Cardholders_Reference!E:E)</f>
        <v>Visa</v>
      </c>
      <c r="P254" s="6">
        <f t="shared" si="26"/>
        <v>0.30919250000000004</v>
      </c>
      <c r="Q254">
        <f t="shared" si="21"/>
        <v>0</v>
      </c>
      <c r="R254">
        <f t="shared" si="22"/>
        <v>0</v>
      </c>
      <c r="S254">
        <f>IF(COUNTIFS($B$1:$B$738,B253,$C$1:$C$738,#REF!)&gt;2,1,0)</f>
        <v>0</v>
      </c>
      <c r="T254">
        <f t="shared" si="23"/>
        <v>0</v>
      </c>
      <c r="U254">
        <f t="shared" si="24"/>
        <v>0</v>
      </c>
      <c r="V254">
        <f t="shared" si="25"/>
        <v>1</v>
      </c>
      <c r="W254">
        <f t="shared" si="27"/>
        <v>1</v>
      </c>
      <c r="X254" t="str" cm="1">
        <f t="array" ref="X254">_xlfn.IFS(W254&lt;=1,"Low",W254=2,"Medium",W254&gt;=3,"High")</f>
        <v>Low</v>
      </c>
    </row>
    <row r="255" spans="1:24" x14ac:dyDescent="0.3">
      <c r="A255" t="s">
        <v>574</v>
      </c>
      <c r="B255" t="s">
        <v>564</v>
      </c>
      <c r="C255" s="3">
        <v>45931</v>
      </c>
      <c r="D255" s="8" t="s">
        <v>575</v>
      </c>
      <c r="E255" s="7" t="s">
        <v>39</v>
      </c>
      <c r="F255" s="7" t="s">
        <v>40</v>
      </c>
      <c r="G255" s="7" t="s">
        <v>49</v>
      </c>
      <c r="H255" s="4">
        <v>348.82</v>
      </c>
      <c r="I255" s="7" t="s">
        <v>26</v>
      </c>
      <c r="J255" s="7" t="s">
        <v>17</v>
      </c>
      <c r="L255" t="str">
        <f>PROPER(TRIM(SUBSTITUTE(_xlfn.XLOOKUP(B255,Cardholders_Reference!A:A,Cardholders_Reference!B:B),","," ")))</f>
        <v>Andries Mahlangu</v>
      </c>
      <c r="M255" s="5">
        <f>_xlfn.XLOOKUP(B255,Cardholders_Reference!A:A,Cardholders_Reference!G:G)</f>
        <v>40000</v>
      </c>
      <c r="N255" s="7" t="str">
        <f>_xlfn.XLOOKUP(B255,Cardholders_Reference!A:A,Cardholders_Reference!D:D)</f>
        <v>Nedbank</v>
      </c>
      <c r="O255" s="7" t="str">
        <f>_xlfn.XLOOKUP(B255,Cardholders_Reference!A:A,Cardholders_Reference!E:E)</f>
        <v>Visa</v>
      </c>
      <c r="P255" s="6">
        <f t="shared" si="26"/>
        <v>8.7204999999999991E-3</v>
      </c>
      <c r="Q255">
        <f t="shared" si="21"/>
        <v>0</v>
      </c>
      <c r="R255">
        <f t="shared" si="22"/>
        <v>0</v>
      </c>
      <c r="S255">
        <f>IF(COUNTIFS($B$1:$B$738,B254,$C$1:$C$738,#REF!)&gt;2,1,0)</f>
        <v>0</v>
      </c>
      <c r="T255">
        <f t="shared" si="23"/>
        <v>0</v>
      </c>
      <c r="U255">
        <f t="shared" si="24"/>
        <v>0</v>
      </c>
      <c r="V255">
        <f t="shared" si="25"/>
        <v>1</v>
      </c>
      <c r="W255">
        <f t="shared" si="27"/>
        <v>1</v>
      </c>
      <c r="X255" t="str" cm="1">
        <f t="array" ref="X255">_xlfn.IFS(W255&lt;=1,"Low",W255=2,"Medium",W255&gt;=3,"High")</f>
        <v>Low</v>
      </c>
    </row>
    <row r="256" spans="1:24" x14ac:dyDescent="0.3">
      <c r="A256" t="s">
        <v>576</v>
      </c>
      <c r="B256" t="s">
        <v>564</v>
      </c>
      <c r="C256" s="3">
        <v>45827</v>
      </c>
      <c r="D256" s="8" t="s">
        <v>577</v>
      </c>
      <c r="E256" s="7" t="s">
        <v>20</v>
      </c>
      <c r="F256" s="7" t="s">
        <v>21</v>
      </c>
      <c r="G256" s="7" t="s">
        <v>49</v>
      </c>
      <c r="H256" s="4">
        <v>973.36</v>
      </c>
      <c r="I256" s="7" t="s">
        <v>16</v>
      </c>
      <c r="J256" s="7" t="s">
        <v>41</v>
      </c>
      <c r="L256" t="str">
        <f>PROPER(TRIM(SUBSTITUTE(_xlfn.XLOOKUP(B256,Cardholders_Reference!A:A,Cardholders_Reference!B:B),","," ")))</f>
        <v>Andries Mahlangu</v>
      </c>
      <c r="M256" s="5">
        <f>_xlfn.XLOOKUP(B256,Cardholders_Reference!A:A,Cardholders_Reference!G:G)</f>
        <v>40000</v>
      </c>
      <c r="N256" s="7" t="str">
        <f>_xlfn.XLOOKUP(B256,Cardholders_Reference!A:A,Cardholders_Reference!D:D)</f>
        <v>Nedbank</v>
      </c>
      <c r="O256" s="7" t="str">
        <f>_xlfn.XLOOKUP(B256,Cardholders_Reference!A:A,Cardholders_Reference!E:E)</f>
        <v>Visa</v>
      </c>
      <c r="P256" s="6">
        <f t="shared" si="26"/>
        <v>2.4334000000000001E-2</v>
      </c>
      <c r="Q256">
        <f t="shared" si="21"/>
        <v>0</v>
      </c>
      <c r="R256">
        <f t="shared" si="22"/>
        <v>0</v>
      </c>
      <c r="S256">
        <f>IF(COUNTIFS($B$1:$B$738,B255,$C$1:$C$738,#REF!)&gt;2,1,0)</f>
        <v>0</v>
      </c>
      <c r="T256">
        <f t="shared" si="23"/>
        <v>0</v>
      </c>
      <c r="U256">
        <f t="shared" si="24"/>
        <v>0</v>
      </c>
      <c r="V256">
        <f t="shared" si="25"/>
        <v>0</v>
      </c>
      <c r="W256">
        <f t="shared" si="27"/>
        <v>0</v>
      </c>
      <c r="X256" t="str" cm="1">
        <f t="array" ref="X256">_xlfn.IFS(W256&lt;=1,"Low",W256=2,"Medium",W256&gt;=3,"High")</f>
        <v>Low</v>
      </c>
    </row>
    <row r="257" spans="1:24" x14ac:dyDescent="0.3">
      <c r="A257" t="s">
        <v>578</v>
      </c>
      <c r="B257" t="s">
        <v>564</v>
      </c>
      <c r="C257" s="3">
        <v>45940</v>
      </c>
      <c r="D257" s="8" t="s">
        <v>579</v>
      </c>
      <c r="E257" s="7" t="s">
        <v>230</v>
      </c>
      <c r="F257" s="7" t="s">
        <v>81</v>
      </c>
      <c r="G257" s="7" t="s">
        <v>22</v>
      </c>
      <c r="H257" s="4">
        <v>6731.29</v>
      </c>
      <c r="I257" s="7" t="s">
        <v>95</v>
      </c>
      <c r="J257" s="7" t="s">
        <v>41</v>
      </c>
      <c r="L257" t="str">
        <f>PROPER(TRIM(SUBSTITUTE(_xlfn.XLOOKUP(B257,Cardholders_Reference!A:A,Cardholders_Reference!B:B),","," ")))</f>
        <v>Andries Mahlangu</v>
      </c>
      <c r="M257" s="5">
        <f>_xlfn.XLOOKUP(B257,Cardholders_Reference!A:A,Cardholders_Reference!G:G)</f>
        <v>40000</v>
      </c>
      <c r="N257" s="7" t="str">
        <f>_xlfn.XLOOKUP(B257,Cardholders_Reference!A:A,Cardholders_Reference!D:D)</f>
        <v>Nedbank</v>
      </c>
      <c r="O257" s="7" t="str">
        <f>_xlfn.XLOOKUP(B257,Cardholders_Reference!A:A,Cardholders_Reference!E:E)</f>
        <v>Visa</v>
      </c>
      <c r="P257" s="6">
        <f t="shared" si="26"/>
        <v>0.16828224999999999</v>
      </c>
      <c r="Q257">
        <f t="shared" si="21"/>
        <v>0</v>
      </c>
      <c r="R257">
        <f t="shared" si="22"/>
        <v>0</v>
      </c>
      <c r="S257">
        <f>IF(COUNTIFS($B$1:$B$738,B256,$C$1:$C$738,#REF!)&gt;2,1,0)</f>
        <v>0</v>
      </c>
      <c r="T257">
        <f t="shared" si="23"/>
        <v>0</v>
      </c>
      <c r="U257">
        <f t="shared" si="24"/>
        <v>1</v>
      </c>
      <c r="V257">
        <f t="shared" si="25"/>
        <v>1</v>
      </c>
      <c r="W257">
        <f t="shared" si="27"/>
        <v>2</v>
      </c>
      <c r="X257" t="str" cm="1">
        <f t="array" ref="X257">_xlfn.IFS(W257&lt;=1,"Low",W257=2,"Medium",W257&gt;=3,"High")</f>
        <v>Medium</v>
      </c>
    </row>
    <row r="258" spans="1:24" x14ac:dyDescent="0.3">
      <c r="A258" t="s">
        <v>580</v>
      </c>
      <c r="B258" t="s">
        <v>564</v>
      </c>
      <c r="C258" s="3">
        <v>46084</v>
      </c>
      <c r="D258" s="8" t="s">
        <v>581</v>
      </c>
      <c r="E258" s="7" t="s">
        <v>14</v>
      </c>
      <c r="F258" s="7" t="s">
        <v>15</v>
      </c>
      <c r="G258" s="7" t="s">
        <v>49</v>
      </c>
      <c r="H258" s="4">
        <v>4468.8599999999997</v>
      </c>
      <c r="I258" s="7" t="s">
        <v>32</v>
      </c>
      <c r="J258" s="7" t="s">
        <v>41</v>
      </c>
      <c r="L258" t="str">
        <f>PROPER(TRIM(SUBSTITUTE(_xlfn.XLOOKUP(B258,Cardholders_Reference!A:A,Cardholders_Reference!B:B),","," ")))</f>
        <v>Andries Mahlangu</v>
      </c>
      <c r="M258" s="5">
        <f>_xlfn.XLOOKUP(B258,Cardholders_Reference!A:A,Cardholders_Reference!G:G)</f>
        <v>40000</v>
      </c>
      <c r="N258" s="7" t="str">
        <f>_xlfn.XLOOKUP(B258,Cardholders_Reference!A:A,Cardholders_Reference!D:D)</f>
        <v>Nedbank</v>
      </c>
      <c r="O258" s="7" t="str">
        <f>_xlfn.XLOOKUP(B258,Cardholders_Reference!A:A,Cardholders_Reference!E:E)</f>
        <v>Visa</v>
      </c>
      <c r="P258" s="6">
        <f t="shared" si="26"/>
        <v>0.11172149999999999</v>
      </c>
      <c r="Q258">
        <f t="shared" ref="Q258:Q321" si="28">IF(COUNTIFS($B$1:$B$738,B257,$G$1:$G$738,G257)/COUNTIF($B$1:$B$738,B257)&lt;0.5,1,0)</f>
        <v>1</v>
      </c>
      <c r="R258">
        <f t="shared" ref="R258:R321" si="29">IF(D258="Unknown",1,IF(OR(TIMEVALUE(D258)&lt;TIME(5,0,0),TIMEVALUE(D258)&gt;=TIME(23,0,0)),1,0))</f>
        <v>0</v>
      </c>
      <c r="S258">
        <f>IF(COUNTIFS($B$1:$B$738,B257,$C$1:$C$738,#REF!)&gt;2,1,0)</f>
        <v>0</v>
      </c>
      <c r="T258">
        <f t="shared" ref="T258:T321" si="30">IF(P257&gt;0.4,1,0)</f>
        <v>0</v>
      </c>
      <c r="U258">
        <f t="shared" ref="U258:U321" si="31">IF(OR(F257="Gambling",F257="ATM Withdrawal"),1,0)</f>
        <v>0</v>
      </c>
      <c r="V258">
        <f t="shared" ref="V258:V321" si="32">IF(OR(I258="Card Not Present (Phone)",I258="Online"),1,0)</f>
        <v>0</v>
      </c>
      <c r="W258">
        <f t="shared" si="27"/>
        <v>1</v>
      </c>
      <c r="X258" t="str" cm="1">
        <f t="array" ref="X258">_xlfn.IFS(W258&lt;=1,"Low",W258=2,"Medium",W258&gt;=3,"High")</f>
        <v>Low</v>
      </c>
    </row>
    <row r="259" spans="1:24" x14ac:dyDescent="0.3">
      <c r="A259" t="s">
        <v>582</v>
      </c>
      <c r="B259" t="s">
        <v>564</v>
      </c>
      <c r="C259" s="3">
        <v>46697</v>
      </c>
      <c r="D259" s="8" t="s">
        <v>1439</v>
      </c>
      <c r="E259" s="7" t="s">
        <v>70</v>
      </c>
      <c r="F259" s="7" t="s">
        <v>36</v>
      </c>
      <c r="G259" s="7" t="s">
        <v>49</v>
      </c>
      <c r="H259" s="4">
        <v>371.48</v>
      </c>
      <c r="I259" s="7" t="s">
        <v>26</v>
      </c>
      <c r="J259" s="7" t="s">
        <v>17</v>
      </c>
      <c r="L259" t="str">
        <f>PROPER(TRIM(SUBSTITUTE(_xlfn.XLOOKUP(B259,Cardholders_Reference!A:A,Cardholders_Reference!B:B),","," ")))</f>
        <v>Andries Mahlangu</v>
      </c>
      <c r="M259" s="5">
        <f>_xlfn.XLOOKUP(B259,Cardholders_Reference!A:A,Cardholders_Reference!G:G)</f>
        <v>40000</v>
      </c>
      <c r="N259" s="7" t="str">
        <f>_xlfn.XLOOKUP(B259,Cardholders_Reference!A:A,Cardholders_Reference!D:D)</f>
        <v>Nedbank</v>
      </c>
      <c r="O259" s="7" t="str">
        <f>_xlfn.XLOOKUP(B259,Cardholders_Reference!A:A,Cardholders_Reference!E:E)</f>
        <v>Visa</v>
      </c>
      <c r="P259" s="6">
        <f t="shared" ref="P259:P322" si="33">H259/M259</f>
        <v>9.2870000000000001E-3</v>
      </c>
      <c r="Q259">
        <f t="shared" si="28"/>
        <v>0</v>
      </c>
      <c r="R259">
        <f t="shared" si="29"/>
        <v>1</v>
      </c>
      <c r="S259">
        <f>IF(COUNTIFS($B$1:$B$738,B258,$C$1:$C$738,#REF!)&gt;2,1,0)</f>
        <v>0</v>
      </c>
      <c r="T259">
        <f t="shared" si="30"/>
        <v>0</v>
      </c>
      <c r="U259">
        <f t="shared" si="31"/>
        <v>0</v>
      </c>
      <c r="V259">
        <f t="shared" si="32"/>
        <v>1</v>
      </c>
      <c r="W259">
        <f t="shared" ref="W259:W322" si="34">SUM(Q259:V259)</f>
        <v>2</v>
      </c>
      <c r="X259" t="str" cm="1">
        <f t="array" ref="X259">_xlfn.IFS(W259&lt;=1,"Low",W259=2,"Medium",W259&gt;=3,"High")</f>
        <v>Medium</v>
      </c>
    </row>
    <row r="260" spans="1:24" x14ac:dyDescent="0.3">
      <c r="A260" t="s">
        <v>583</v>
      </c>
      <c r="B260" t="s">
        <v>564</v>
      </c>
      <c r="C260" s="3">
        <v>45814</v>
      </c>
      <c r="D260" s="8" t="s">
        <v>584</v>
      </c>
      <c r="E260" s="7" t="s">
        <v>126</v>
      </c>
      <c r="F260" s="7" t="s">
        <v>53</v>
      </c>
      <c r="G260" s="7" t="s">
        <v>49</v>
      </c>
      <c r="H260" s="4">
        <v>1649.02</v>
      </c>
      <c r="I260" s="7" t="s">
        <v>32</v>
      </c>
      <c r="J260" s="7" t="s">
        <v>17</v>
      </c>
      <c r="L260" t="str">
        <f>PROPER(TRIM(SUBSTITUTE(_xlfn.XLOOKUP(B260,Cardholders_Reference!A:A,Cardholders_Reference!B:B),","," ")))</f>
        <v>Andries Mahlangu</v>
      </c>
      <c r="M260" s="5">
        <f>_xlfn.XLOOKUP(B260,Cardholders_Reference!A:A,Cardholders_Reference!G:G)</f>
        <v>40000</v>
      </c>
      <c r="N260" s="7" t="str">
        <f>_xlfn.XLOOKUP(B260,Cardholders_Reference!A:A,Cardholders_Reference!D:D)</f>
        <v>Nedbank</v>
      </c>
      <c r="O260" s="7" t="str">
        <f>_xlfn.XLOOKUP(B260,Cardholders_Reference!A:A,Cardholders_Reference!E:E)</f>
        <v>Visa</v>
      </c>
      <c r="P260" s="6">
        <f t="shared" si="33"/>
        <v>4.1225499999999998E-2</v>
      </c>
      <c r="Q260">
        <f t="shared" si="28"/>
        <v>0</v>
      </c>
      <c r="R260">
        <f t="shared" si="29"/>
        <v>0</v>
      </c>
      <c r="S260">
        <f>IF(COUNTIFS($B$1:$B$738,B259,$C$1:$C$738,#REF!)&gt;2,1,0)</f>
        <v>0</v>
      </c>
      <c r="T260">
        <f t="shared" si="30"/>
        <v>0</v>
      </c>
      <c r="U260">
        <f t="shared" si="31"/>
        <v>0</v>
      </c>
      <c r="V260">
        <f t="shared" si="32"/>
        <v>0</v>
      </c>
      <c r="W260">
        <f t="shared" si="34"/>
        <v>0</v>
      </c>
      <c r="X260" t="str" cm="1">
        <f t="array" ref="X260">_xlfn.IFS(W260&lt;=1,"Low",W260=2,"Medium",W260&gt;=3,"High")</f>
        <v>Low</v>
      </c>
    </row>
    <row r="261" spans="1:24" x14ac:dyDescent="0.3">
      <c r="A261" t="s">
        <v>585</v>
      </c>
      <c r="B261" t="s">
        <v>564</v>
      </c>
      <c r="C261" s="3">
        <v>46487</v>
      </c>
      <c r="D261" s="8" t="s">
        <v>535</v>
      </c>
      <c r="E261" s="7" t="s">
        <v>70</v>
      </c>
      <c r="F261" s="7" t="s">
        <v>36</v>
      </c>
      <c r="G261" s="7" t="s">
        <v>49</v>
      </c>
      <c r="H261" s="4">
        <v>531.62</v>
      </c>
      <c r="I261" s="7" t="s">
        <v>32</v>
      </c>
      <c r="J261" s="7" t="s">
        <v>17</v>
      </c>
      <c r="L261" t="str">
        <f>PROPER(TRIM(SUBSTITUTE(_xlfn.XLOOKUP(B261,Cardholders_Reference!A:A,Cardholders_Reference!B:B),","," ")))</f>
        <v>Andries Mahlangu</v>
      </c>
      <c r="M261" s="5">
        <f>_xlfn.XLOOKUP(B261,Cardholders_Reference!A:A,Cardholders_Reference!G:G)</f>
        <v>40000</v>
      </c>
      <c r="N261" s="7" t="str">
        <f>_xlfn.XLOOKUP(B261,Cardholders_Reference!A:A,Cardholders_Reference!D:D)</f>
        <v>Nedbank</v>
      </c>
      <c r="O261" s="7" t="str">
        <f>_xlfn.XLOOKUP(B261,Cardholders_Reference!A:A,Cardholders_Reference!E:E)</f>
        <v>Visa</v>
      </c>
      <c r="P261" s="6">
        <f t="shared" si="33"/>
        <v>1.32905E-2</v>
      </c>
      <c r="Q261">
        <f t="shared" si="28"/>
        <v>0</v>
      </c>
      <c r="R261">
        <f t="shared" si="29"/>
        <v>0</v>
      </c>
      <c r="S261">
        <f>IF(COUNTIFS($B$1:$B$738,B260,$C$1:$C$738,#REF!)&gt;2,1,0)</f>
        <v>0</v>
      </c>
      <c r="T261">
        <f t="shared" si="30"/>
        <v>0</v>
      </c>
      <c r="U261">
        <f t="shared" si="31"/>
        <v>0</v>
      </c>
      <c r="V261">
        <f t="shared" si="32"/>
        <v>0</v>
      </c>
      <c r="W261">
        <f t="shared" si="34"/>
        <v>0</v>
      </c>
      <c r="X261" t="str" cm="1">
        <f t="array" ref="X261">_xlfn.IFS(W261&lt;=1,"Low",W261=2,"Medium",W261&gt;=3,"High")</f>
        <v>Low</v>
      </c>
    </row>
    <row r="262" spans="1:24" x14ac:dyDescent="0.3">
      <c r="A262" t="s">
        <v>586</v>
      </c>
      <c r="B262" t="s">
        <v>564</v>
      </c>
      <c r="C262" s="3">
        <v>46190</v>
      </c>
      <c r="D262" s="8" t="s">
        <v>587</v>
      </c>
      <c r="E262" s="7" t="s">
        <v>173</v>
      </c>
      <c r="F262" s="7" t="s">
        <v>21</v>
      </c>
      <c r="G262" s="7" t="s">
        <v>49</v>
      </c>
      <c r="H262" s="4">
        <v>646.34</v>
      </c>
      <c r="I262" s="7" t="s">
        <v>95</v>
      </c>
      <c r="J262" s="7" t="s">
        <v>17</v>
      </c>
      <c r="L262" t="str">
        <f>PROPER(TRIM(SUBSTITUTE(_xlfn.XLOOKUP(B262,Cardholders_Reference!A:A,Cardholders_Reference!B:B),","," ")))</f>
        <v>Andries Mahlangu</v>
      </c>
      <c r="M262" s="5">
        <f>_xlfn.XLOOKUP(B262,Cardholders_Reference!A:A,Cardholders_Reference!G:G)</f>
        <v>40000</v>
      </c>
      <c r="N262" s="7" t="str">
        <f>_xlfn.XLOOKUP(B262,Cardholders_Reference!A:A,Cardholders_Reference!D:D)</f>
        <v>Nedbank</v>
      </c>
      <c r="O262" s="7" t="str">
        <f>_xlfn.XLOOKUP(B262,Cardholders_Reference!A:A,Cardholders_Reference!E:E)</f>
        <v>Visa</v>
      </c>
      <c r="P262" s="6">
        <f t="shared" si="33"/>
        <v>1.6158499999999999E-2</v>
      </c>
      <c r="Q262">
        <f t="shared" si="28"/>
        <v>0</v>
      </c>
      <c r="R262">
        <f t="shared" si="29"/>
        <v>0</v>
      </c>
      <c r="S262">
        <f>IF(COUNTIFS($B$1:$B$738,B261,$C$1:$C$738,#REF!)&gt;2,1,0)</f>
        <v>0</v>
      </c>
      <c r="T262">
        <f t="shared" si="30"/>
        <v>0</v>
      </c>
      <c r="U262">
        <f t="shared" si="31"/>
        <v>0</v>
      </c>
      <c r="V262">
        <f t="shared" si="32"/>
        <v>1</v>
      </c>
      <c r="W262">
        <f t="shared" si="34"/>
        <v>1</v>
      </c>
      <c r="X262" t="str" cm="1">
        <f t="array" ref="X262">_xlfn.IFS(W262&lt;=1,"Low",W262=2,"Medium",W262&gt;=3,"High")</f>
        <v>Low</v>
      </c>
    </row>
    <row r="263" spans="1:24" x14ac:dyDescent="0.3">
      <c r="A263" t="s">
        <v>588</v>
      </c>
      <c r="B263" t="s">
        <v>564</v>
      </c>
      <c r="C263" s="3">
        <v>46101</v>
      </c>
      <c r="D263" s="8" t="s">
        <v>589</v>
      </c>
      <c r="E263" s="7" t="s">
        <v>170</v>
      </c>
      <c r="F263" s="7" t="s">
        <v>91</v>
      </c>
      <c r="G263" s="7" t="s">
        <v>145</v>
      </c>
      <c r="H263" s="4">
        <v>1422.53</v>
      </c>
      <c r="I263" s="7" t="s">
        <v>32</v>
      </c>
      <c r="J263" s="7" t="s">
        <v>17</v>
      </c>
      <c r="L263" t="str">
        <f>PROPER(TRIM(SUBSTITUTE(_xlfn.XLOOKUP(B263,Cardholders_Reference!A:A,Cardholders_Reference!B:B),","," ")))</f>
        <v>Andries Mahlangu</v>
      </c>
      <c r="M263" s="5">
        <f>_xlfn.XLOOKUP(B263,Cardholders_Reference!A:A,Cardholders_Reference!G:G)</f>
        <v>40000</v>
      </c>
      <c r="N263" s="7" t="str">
        <f>_xlfn.XLOOKUP(B263,Cardholders_Reference!A:A,Cardholders_Reference!D:D)</f>
        <v>Nedbank</v>
      </c>
      <c r="O263" s="7" t="str">
        <f>_xlfn.XLOOKUP(B263,Cardholders_Reference!A:A,Cardholders_Reference!E:E)</f>
        <v>Visa</v>
      </c>
      <c r="P263" s="6">
        <f t="shared" si="33"/>
        <v>3.5563249999999998E-2</v>
      </c>
      <c r="Q263">
        <f t="shared" si="28"/>
        <v>0</v>
      </c>
      <c r="R263">
        <f t="shared" si="29"/>
        <v>0</v>
      </c>
      <c r="S263">
        <f>IF(COUNTIFS($B$1:$B$738,B262,$C$1:$C$738,#REF!)&gt;2,1,0)</f>
        <v>0</v>
      </c>
      <c r="T263">
        <f t="shared" si="30"/>
        <v>0</v>
      </c>
      <c r="U263">
        <f t="shared" si="31"/>
        <v>1</v>
      </c>
      <c r="V263">
        <f t="shared" si="32"/>
        <v>0</v>
      </c>
      <c r="W263">
        <f t="shared" si="34"/>
        <v>1</v>
      </c>
      <c r="X263" t="str" cm="1">
        <f t="array" ref="X263">_xlfn.IFS(W263&lt;=1,"Low",W263=2,"Medium",W263&gt;=3,"High")</f>
        <v>Low</v>
      </c>
    </row>
    <row r="264" spans="1:24" x14ac:dyDescent="0.3">
      <c r="A264" t="s">
        <v>590</v>
      </c>
      <c r="B264" t="s">
        <v>564</v>
      </c>
      <c r="C264" s="3">
        <v>45913</v>
      </c>
      <c r="D264" s="8" t="s">
        <v>591</v>
      </c>
      <c r="E264" s="7" t="s">
        <v>230</v>
      </c>
      <c r="F264" s="7" t="s">
        <v>81</v>
      </c>
      <c r="G264" s="7" t="s">
        <v>49</v>
      </c>
      <c r="H264" s="4">
        <v>10310.48</v>
      </c>
      <c r="I264" s="7" t="s">
        <v>95</v>
      </c>
      <c r="J264" s="7" t="s">
        <v>17</v>
      </c>
      <c r="L264" t="str">
        <f>PROPER(TRIM(SUBSTITUTE(_xlfn.XLOOKUP(B264,Cardholders_Reference!A:A,Cardholders_Reference!B:B),","," ")))</f>
        <v>Andries Mahlangu</v>
      </c>
      <c r="M264" s="5">
        <f>_xlfn.XLOOKUP(B264,Cardholders_Reference!A:A,Cardholders_Reference!G:G)</f>
        <v>40000</v>
      </c>
      <c r="N264" s="7" t="str">
        <f>_xlfn.XLOOKUP(B264,Cardholders_Reference!A:A,Cardholders_Reference!D:D)</f>
        <v>Nedbank</v>
      </c>
      <c r="O264" s="7" t="str">
        <f>_xlfn.XLOOKUP(B264,Cardholders_Reference!A:A,Cardholders_Reference!E:E)</f>
        <v>Visa</v>
      </c>
      <c r="P264" s="6">
        <f t="shared" si="33"/>
        <v>0.25776199999999999</v>
      </c>
      <c r="Q264">
        <f t="shared" si="28"/>
        <v>1</v>
      </c>
      <c r="R264">
        <f t="shared" si="29"/>
        <v>0</v>
      </c>
      <c r="S264">
        <f>IF(COUNTIFS($B$1:$B$738,B263,$C$1:$C$738,#REF!)&gt;2,1,0)</f>
        <v>0</v>
      </c>
      <c r="T264">
        <f t="shared" si="30"/>
        <v>0</v>
      </c>
      <c r="U264">
        <f t="shared" si="31"/>
        <v>0</v>
      </c>
      <c r="V264">
        <f t="shared" si="32"/>
        <v>1</v>
      </c>
      <c r="W264">
        <f t="shared" si="34"/>
        <v>2</v>
      </c>
      <c r="X264" t="str" cm="1">
        <f t="array" ref="X264">_xlfn.IFS(W264&lt;=1,"Low",W264=2,"Medium",W264&gt;=3,"High")</f>
        <v>Medium</v>
      </c>
    </row>
    <row r="265" spans="1:24" x14ac:dyDescent="0.3">
      <c r="A265" t="s">
        <v>592</v>
      </c>
      <c r="B265" t="s">
        <v>593</v>
      </c>
      <c r="C265" s="3">
        <v>45683</v>
      </c>
      <c r="D265" s="8" t="s">
        <v>594</v>
      </c>
      <c r="E265" s="7" t="s">
        <v>70</v>
      </c>
      <c r="F265" s="7" t="s">
        <v>36</v>
      </c>
      <c r="G265" s="7" t="s">
        <v>264</v>
      </c>
      <c r="H265" s="4">
        <v>266.32</v>
      </c>
      <c r="I265" s="7" t="s">
        <v>16</v>
      </c>
      <c r="J265" s="7" t="s">
        <v>17</v>
      </c>
      <c r="L265" t="str">
        <f>PROPER(TRIM(SUBSTITUTE(_xlfn.XLOOKUP(B265,Cardholders_Reference!A:A,Cardholders_Reference!B:B),","," ")))</f>
        <v>Thabo Mahlangu</v>
      </c>
      <c r="M265" s="5">
        <f>_xlfn.XLOOKUP(B265,Cardholders_Reference!A:A,Cardholders_Reference!G:G)</f>
        <v>50000</v>
      </c>
      <c r="N265" s="7" t="str">
        <f>_xlfn.XLOOKUP(B265,Cardholders_Reference!A:A,Cardholders_Reference!D:D)</f>
        <v>FNB</v>
      </c>
      <c r="O265" s="7" t="str">
        <f>_xlfn.XLOOKUP(B265,Cardholders_Reference!A:A,Cardholders_Reference!E:E)</f>
        <v>Mastercard</v>
      </c>
      <c r="P265" s="6">
        <f t="shared" si="33"/>
        <v>5.3264000000000002E-3</v>
      </c>
      <c r="Q265">
        <f t="shared" si="28"/>
        <v>0</v>
      </c>
      <c r="R265">
        <f t="shared" si="29"/>
        <v>0</v>
      </c>
      <c r="S265">
        <f>IF(COUNTIFS($B$1:$B$738,B264,$C$1:$C$738,#REF!)&gt;2,1,0)</f>
        <v>0</v>
      </c>
      <c r="T265">
        <f t="shared" si="30"/>
        <v>0</v>
      </c>
      <c r="U265">
        <f t="shared" si="31"/>
        <v>0</v>
      </c>
      <c r="V265">
        <f t="shared" si="32"/>
        <v>0</v>
      </c>
      <c r="W265">
        <f t="shared" si="34"/>
        <v>0</v>
      </c>
      <c r="X265" t="str" cm="1">
        <f t="array" ref="X265">_xlfn.IFS(W265&lt;=1,"Low",W265=2,"Medium",W265&gt;=3,"High")</f>
        <v>Low</v>
      </c>
    </row>
    <row r="266" spans="1:24" x14ac:dyDescent="0.3">
      <c r="A266" t="s">
        <v>595</v>
      </c>
      <c r="B266" t="s">
        <v>593</v>
      </c>
      <c r="C266" s="3">
        <v>45888</v>
      </c>
      <c r="D266" s="8" t="s">
        <v>596</v>
      </c>
      <c r="E266" s="7" t="s">
        <v>52</v>
      </c>
      <c r="F266" s="7" t="s">
        <v>53</v>
      </c>
      <c r="G266" s="7" t="s">
        <v>264</v>
      </c>
      <c r="H266" s="4">
        <v>746.42</v>
      </c>
      <c r="I266" s="7" t="s">
        <v>16</v>
      </c>
      <c r="J266" s="7" t="s">
        <v>17</v>
      </c>
      <c r="L266" t="str">
        <f>PROPER(TRIM(SUBSTITUTE(_xlfn.XLOOKUP(B266,Cardholders_Reference!A:A,Cardholders_Reference!B:B),","," ")))</f>
        <v>Thabo Mahlangu</v>
      </c>
      <c r="M266" s="5">
        <f>_xlfn.XLOOKUP(B266,Cardholders_Reference!A:A,Cardholders_Reference!G:G)</f>
        <v>50000</v>
      </c>
      <c r="N266" s="7" t="str">
        <f>_xlfn.XLOOKUP(B266,Cardholders_Reference!A:A,Cardholders_Reference!D:D)</f>
        <v>FNB</v>
      </c>
      <c r="O266" s="7" t="str">
        <f>_xlfn.XLOOKUP(B266,Cardholders_Reference!A:A,Cardholders_Reference!E:E)</f>
        <v>Mastercard</v>
      </c>
      <c r="P266" s="6">
        <f t="shared" si="33"/>
        <v>1.49284E-2</v>
      </c>
      <c r="Q266">
        <f t="shared" si="28"/>
        <v>0</v>
      </c>
      <c r="R266">
        <f t="shared" si="29"/>
        <v>0</v>
      </c>
      <c r="S266">
        <f>IF(COUNTIFS($B$1:$B$738,B265,$C$1:$C$738,#REF!)&gt;2,1,0)</f>
        <v>0</v>
      </c>
      <c r="T266">
        <f t="shared" si="30"/>
        <v>0</v>
      </c>
      <c r="U266">
        <f t="shared" si="31"/>
        <v>0</v>
      </c>
      <c r="V266">
        <f t="shared" si="32"/>
        <v>0</v>
      </c>
      <c r="W266">
        <f t="shared" si="34"/>
        <v>0</v>
      </c>
      <c r="X266" t="str" cm="1">
        <f t="array" ref="X266">_xlfn.IFS(W266&lt;=1,"Low",W266=2,"Medium",W266&gt;=3,"High")</f>
        <v>Low</v>
      </c>
    </row>
    <row r="267" spans="1:24" x14ac:dyDescent="0.3">
      <c r="A267" t="s">
        <v>597</v>
      </c>
      <c r="B267" t="s">
        <v>593</v>
      </c>
      <c r="C267" s="3">
        <v>46269</v>
      </c>
      <c r="D267" s="8" t="s">
        <v>1439</v>
      </c>
      <c r="E267" s="7" t="s">
        <v>52</v>
      </c>
      <c r="F267" s="7" t="s">
        <v>53</v>
      </c>
      <c r="G267" s="7" t="s">
        <v>264</v>
      </c>
      <c r="H267" s="4">
        <v>695.9</v>
      </c>
      <c r="I267" s="7" t="s">
        <v>32</v>
      </c>
      <c r="J267" s="7" t="s">
        <v>17</v>
      </c>
      <c r="L267" t="str">
        <f>PROPER(TRIM(SUBSTITUTE(_xlfn.XLOOKUP(B267,Cardholders_Reference!A:A,Cardholders_Reference!B:B),","," ")))</f>
        <v>Thabo Mahlangu</v>
      </c>
      <c r="M267" s="5">
        <f>_xlfn.XLOOKUP(B267,Cardholders_Reference!A:A,Cardholders_Reference!G:G)</f>
        <v>50000</v>
      </c>
      <c r="N267" s="7" t="str">
        <f>_xlfn.XLOOKUP(B267,Cardholders_Reference!A:A,Cardholders_Reference!D:D)</f>
        <v>FNB</v>
      </c>
      <c r="O267" s="7" t="str">
        <f>_xlfn.XLOOKUP(B267,Cardholders_Reference!A:A,Cardholders_Reference!E:E)</f>
        <v>Mastercard</v>
      </c>
      <c r="P267" s="6">
        <f t="shared" si="33"/>
        <v>1.3918E-2</v>
      </c>
      <c r="Q267">
        <f t="shared" si="28"/>
        <v>0</v>
      </c>
      <c r="R267">
        <f t="shared" si="29"/>
        <v>1</v>
      </c>
      <c r="S267">
        <f>IF(COUNTIFS($B$1:$B$738,B266,$C$1:$C$738,#REF!)&gt;2,1,0)</f>
        <v>0</v>
      </c>
      <c r="T267">
        <f t="shared" si="30"/>
        <v>0</v>
      </c>
      <c r="U267">
        <f t="shared" si="31"/>
        <v>0</v>
      </c>
      <c r="V267">
        <f t="shared" si="32"/>
        <v>0</v>
      </c>
      <c r="W267">
        <f t="shared" si="34"/>
        <v>1</v>
      </c>
      <c r="X267" t="str" cm="1">
        <f t="array" ref="X267">_xlfn.IFS(W267&lt;=1,"Low",W267=2,"Medium",W267&gt;=3,"High")</f>
        <v>Low</v>
      </c>
    </row>
    <row r="268" spans="1:24" x14ac:dyDescent="0.3">
      <c r="A268" t="s">
        <v>598</v>
      </c>
      <c r="B268" t="s">
        <v>593</v>
      </c>
      <c r="C268" s="3">
        <v>45699</v>
      </c>
      <c r="D268" s="8" t="s">
        <v>134</v>
      </c>
      <c r="E268" s="7" t="s">
        <v>57</v>
      </c>
      <c r="F268" s="7" t="s">
        <v>36</v>
      </c>
      <c r="G268" s="7" t="s">
        <v>264</v>
      </c>
      <c r="H268" s="4">
        <v>128.4</v>
      </c>
      <c r="I268" s="7" t="s">
        <v>16</v>
      </c>
      <c r="J268" s="7" t="s">
        <v>17</v>
      </c>
      <c r="L268" t="str">
        <f>PROPER(TRIM(SUBSTITUTE(_xlfn.XLOOKUP(B268,Cardholders_Reference!A:A,Cardholders_Reference!B:B),","," ")))</f>
        <v>Thabo Mahlangu</v>
      </c>
      <c r="M268" s="5">
        <f>_xlfn.XLOOKUP(B268,Cardholders_Reference!A:A,Cardholders_Reference!G:G)</f>
        <v>50000</v>
      </c>
      <c r="N268" s="7" t="str">
        <f>_xlfn.XLOOKUP(B268,Cardholders_Reference!A:A,Cardholders_Reference!D:D)</f>
        <v>FNB</v>
      </c>
      <c r="O268" s="7" t="str">
        <f>_xlfn.XLOOKUP(B268,Cardholders_Reference!A:A,Cardholders_Reference!E:E)</f>
        <v>Mastercard</v>
      </c>
      <c r="P268" s="6">
        <f t="shared" si="33"/>
        <v>2.568E-3</v>
      </c>
      <c r="Q268">
        <f t="shared" si="28"/>
        <v>0</v>
      </c>
      <c r="R268">
        <f t="shared" si="29"/>
        <v>0</v>
      </c>
      <c r="S268">
        <f>IF(COUNTIFS($B$1:$B$738,B267,$C$1:$C$738,#REF!)&gt;2,1,0)</f>
        <v>0</v>
      </c>
      <c r="T268">
        <f t="shared" si="30"/>
        <v>0</v>
      </c>
      <c r="U268">
        <f t="shared" si="31"/>
        <v>0</v>
      </c>
      <c r="V268">
        <f t="shared" si="32"/>
        <v>0</v>
      </c>
      <c r="W268">
        <f t="shared" si="34"/>
        <v>0</v>
      </c>
      <c r="X268" t="str" cm="1">
        <f t="array" ref="X268">_xlfn.IFS(W268&lt;=1,"Low",W268=2,"Medium",W268&gt;=3,"High")</f>
        <v>Low</v>
      </c>
    </row>
    <row r="269" spans="1:24" x14ac:dyDescent="0.3">
      <c r="A269" t="s">
        <v>599</v>
      </c>
      <c r="B269" t="s">
        <v>593</v>
      </c>
      <c r="C269" s="3">
        <v>46427</v>
      </c>
      <c r="D269" s="8" t="s">
        <v>1439</v>
      </c>
      <c r="E269" s="7" t="s">
        <v>52</v>
      </c>
      <c r="F269" s="7" t="s">
        <v>53</v>
      </c>
      <c r="G269" s="7" t="s">
        <v>264</v>
      </c>
      <c r="H269" s="4">
        <v>1333.56</v>
      </c>
      <c r="I269" s="7" t="s">
        <v>95</v>
      </c>
      <c r="J269" s="7" t="s">
        <v>17</v>
      </c>
      <c r="L269" t="str">
        <f>PROPER(TRIM(SUBSTITUTE(_xlfn.XLOOKUP(B269,Cardholders_Reference!A:A,Cardholders_Reference!B:B),","," ")))</f>
        <v>Thabo Mahlangu</v>
      </c>
      <c r="M269" s="5">
        <f>_xlfn.XLOOKUP(B269,Cardholders_Reference!A:A,Cardholders_Reference!G:G)</f>
        <v>50000</v>
      </c>
      <c r="N269" s="7" t="str">
        <f>_xlfn.XLOOKUP(B269,Cardholders_Reference!A:A,Cardholders_Reference!D:D)</f>
        <v>FNB</v>
      </c>
      <c r="O269" s="7" t="str">
        <f>_xlfn.XLOOKUP(B269,Cardholders_Reference!A:A,Cardholders_Reference!E:E)</f>
        <v>Mastercard</v>
      </c>
      <c r="P269" s="6">
        <f t="shared" si="33"/>
        <v>2.6671199999999999E-2</v>
      </c>
      <c r="Q269">
        <f t="shared" si="28"/>
        <v>0</v>
      </c>
      <c r="R269">
        <f t="shared" si="29"/>
        <v>1</v>
      </c>
      <c r="S269">
        <f>IF(COUNTIFS($B$1:$B$738,B268,$C$1:$C$738,#REF!)&gt;2,1,0)</f>
        <v>0</v>
      </c>
      <c r="T269">
        <f t="shared" si="30"/>
        <v>0</v>
      </c>
      <c r="U269">
        <f t="shared" si="31"/>
        <v>0</v>
      </c>
      <c r="V269">
        <f t="shared" si="32"/>
        <v>1</v>
      </c>
      <c r="W269">
        <f t="shared" si="34"/>
        <v>2</v>
      </c>
      <c r="X269" t="str" cm="1">
        <f t="array" ref="X269">_xlfn.IFS(W269&lt;=1,"Low",W269=2,"Medium",W269&gt;=3,"High")</f>
        <v>Medium</v>
      </c>
    </row>
    <row r="270" spans="1:24" x14ac:dyDescent="0.3">
      <c r="A270" t="s">
        <v>600</v>
      </c>
      <c r="B270" t="s">
        <v>593</v>
      </c>
      <c r="C270" s="3">
        <v>45733</v>
      </c>
      <c r="D270" s="8" t="s">
        <v>601</v>
      </c>
      <c r="E270" s="7" t="s">
        <v>20</v>
      </c>
      <c r="F270" s="7" t="s">
        <v>21</v>
      </c>
      <c r="G270" s="7" t="s">
        <v>264</v>
      </c>
      <c r="H270" s="4">
        <v>1413.2</v>
      </c>
      <c r="I270" s="7" t="s">
        <v>32</v>
      </c>
      <c r="J270" s="7" t="s">
        <v>17</v>
      </c>
      <c r="L270" t="str">
        <f>PROPER(TRIM(SUBSTITUTE(_xlfn.XLOOKUP(B270,Cardholders_Reference!A:A,Cardholders_Reference!B:B),","," ")))</f>
        <v>Thabo Mahlangu</v>
      </c>
      <c r="M270" s="5">
        <f>_xlfn.XLOOKUP(B270,Cardholders_Reference!A:A,Cardholders_Reference!G:G)</f>
        <v>50000</v>
      </c>
      <c r="N270" s="7" t="str">
        <f>_xlfn.XLOOKUP(B270,Cardholders_Reference!A:A,Cardholders_Reference!D:D)</f>
        <v>FNB</v>
      </c>
      <c r="O270" s="7" t="str">
        <f>_xlfn.XLOOKUP(B270,Cardholders_Reference!A:A,Cardholders_Reference!E:E)</f>
        <v>Mastercard</v>
      </c>
      <c r="P270" s="6">
        <f t="shared" si="33"/>
        <v>2.8264000000000001E-2</v>
      </c>
      <c r="Q270">
        <f t="shared" si="28"/>
        <v>0</v>
      </c>
      <c r="R270">
        <f t="shared" si="29"/>
        <v>0</v>
      </c>
      <c r="S270">
        <f>IF(COUNTIFS($B$1:$B$738,B269,$C$1:$C$738,#REF!)&gt;2,1,0)</f>
        <v>0</v>
      </c>
      <c r="T270">
        <f t="shared" si="30"/>
        <v>0</v>
      </c>
      <c r="U270">
        <f t="shared" si="31"/>
        <v>0</v>
      </c>
      <c r="V270">
        <f t="shared" si="32"/>
        <v>0</v>
      </c>
      <c r="W270">
        <f t="shared" si="34"/>
        <v>0</v>
      </c>
      <c r="X270" t="str" cm="1">
        <f t="array" ref="X270">_xlfn.IFS(W270&lt;=1,"Low",W270=2,"Medium",W270&gt;=3,"High")</f>
        <v>Low</v>
      </c>
    </row>
    <row r="271" spans="1:24" x14ac:dyDescent="0.3">
      <c r="A271" t="s">
        <v>602</v>
      </c>
      <c r="B271" t="s">
        <v>593</v>
      </c>
      <c r="C271" s="3">
        <v>45984</v>
      </c>
      <c r="D271" s="8" t="s">
        <v>603</v>
      </c>
      <c r="E271" s="7" t="s">
        <v>97</v>
      </c>
      <c r="F271" s="7" t="s">
        <v>53</v>
      </c>
      <c r="G271" s="7" t="s">
        <v>264</v>
      </c>
      <c r="H271" s="4">
        <v>1425.07</v>
      </c>
      <c r="I271" s="7" t="s">
        <v>16</v>
      </c>
      <c r="J271" s="7" t="s">
        <v>17</v>
      </c>
      <c r="L271" t="str">
        <f>PROPER(TRIM(SUBSTITUTE(_xlfn.XLOOKUP(B271,Cardholders_Reference!A:A,Cardholders_Reference!B:B),","," ")))</f>
        <v>Thabo Mahlangu</v>
      </c>
      <c r="M271" s="5">
        <f>_xlfn.XLOOKUP(B271,Cardholders_Reference!A:A,Cardholders_Reference!G:G)</f>
        <v>50000</v>
      </c>
      <c r="N271" s="7" t="str">
        <f>_xlfn.XLOOKUP(B271,Cardholders_Reference!A:A,Cardholders_Reference!D:D)</f>
        <v>FNB</v>
      </c>
      <c r="O271" s="7" t="str">
        <f>_xlfn.XLOOKUP(B271,Cardholders_Reference!A:A,Cardholders_Reference!E:E)</f>
        <v>Mastercard</v>
      </c>
      <c r="P271" s="6">
        <f t="shared" si="33"/>
        <v>2.85014E-2</v>
      </c>
      <c r="Q271">
        <f t="shared" si="28"/>
        <v>0</v>
      </c>
      <c r="R271">
        <f t="shared" si="29"/>
        <v>0</v>
      </c>
      <c r="S271">
        <f>IF(COUNTIFS($B$1:$B$738,B270,$C$1:$C$738,#REF!)&gt;2,1,0)</f>
        <v>0</v>
      </c>
      <c r="T271">
        <f t="shared" si="30"/>
        <v>0</v>
      </c>
      <c r="U271">
        <f t="shared" si="31"/>
        <v>1</v>
      </c>
      <c r="V271">
        <f t="shared" si="32"/>
        <v>0</v>
      </c>
      <c r="W271">
        <f t="shared" si="34"/>
        <v>1</v>
      </c>
      <c r="X271" t="str" cm="1">
        <f t="array" ref="X271">_xlfn.IFS(W271&lt;=1,"Low",W271=2,"Medium",W271&gt;=3,"High")</f>
        <v>Low</v>
      </c>
    </row>
    <row r="272" spans="1:24" x14ac:dyDescent="0.3">
      <c r="A272" t="s">
        <v>604</v>
      </c>
      <c r="B272" t="s">
        <v>593</v>
      </c>
      <c r="C272" s="3">
        <v>45913</v>
      </c>
      <c r="D272" s="8" t="s">
        <v>605</v>
      </c>
      <c r="E272" s="7" t="s">
        <v>77</v>
      </c>
      <c r="F272" s="7" t="s">
        <v>15</v>
      </c>
      <c r="G272" s="7" t="s">
        <v>264</v>
      </c>
      <c r="H272" s="4">
        <v>2028.22</v>
      </c>
      <c r="I272" s="7" t="s">
        <v>26</v>
      </c>
      <c r="J272" s="7" t="s">
        <v>41</v>
      </c>
      <c r="L272" t="str">
        <f>PROPER(TRIM(SUBSTITUTE(_xlfn.XLOOKUP(B272,Cardholders_Reference!A:A,Cardholders_Reference!B:B),","," ")))</f>
        <v>Thabo Mahlangu</v>
      </c>
      <c r="M272" s="5">
        <f>_xlfn.XLOOKUP(B272,Cardholders_Reference!A:A,Cardholders_Reference!G:G)</f>
        <v>50000</v>
      </c>
      <c r="N272" s="7" t="str">
        <f>_xlfn.XLOOKUP(B272,Cardholders_Reference!A:A,Cardholders_Reference!D:D)</f>
        <v>FNB</v>
      </c>
      <c r="O272" s="7" t="str">
        <f>_xlfn.XLOOKUP(B272,Cardholders_Reference!A:A,Cardholders_Reference!E:E)</f>
        <v>Mastercard</v>
      </c>
      <c r="P272" s="6">
        <f t="shared" si="33"/>
        <v>4.05644E-2</v>
      </c>
      <c r="Q272">
        <f t="shared" si="28"/>
        <v>0</v>
      </c>
      <c r="R272">
        <f t="shared" si="29"/>
        <v>0</v>
      </c>
      <c r="S272">
        <f>IF(COUNTIFS($B$1:$B$738,B271,$C$1:$C$738,#REF!)&gt;2,1,0)</f>
        <v>0</v>
      </c>
      <c r="T272">
        <f t="shared" si="30"/>
        <v>0</v>
      </c>
      <c r="U272">
        <f t="shared" si="31"/>
        <v>0</v>
      </c>
      <c r="V272">
        <f t="shared" si="32"/>
        <v>1</v>
      </c>
      <c r="W272">
        <f t="shared" si="34"/>
        <v>1</v>
      </c>
      <c r="X272" t="str" cm="1">
        <f t="array" ref="X272">_xlfn.IFS(W272&lt;=1,"Low",W272=2,"Medium",W272&gt;=3,"High")</f>
        <v>Low</v>
      </c>
    </row>
    <row r="273" spans="1:24" x14ac:dyDescent="0.3">
      <c r="A273" t="s">
        <v>606</v>
      </c>
      <c r="B273" t="s">
        <v>593</v>
      </c>
      <c r="C273" s="3">
        <v>46601</v>
      </c>
      <c r="D273" s="8" t="s">
        <v>607</v>
      </c>
      <c r="E273" s="7" t="s">
        <v>245</v>
      </c>
      <c r="F273" s="7" t="s">
        <v>48</v>
      </c>
      <c r="G273" s="7" t="s">
        <v>264</v>
      </c>
      <c r="H273" s="4">
        <v>960.6</v>
      </c>
      <c r="I273" s="7" t="s">
        <v>95</v>
      </c>
      <c r="J273" s="7" t="s">
        <v>17</v>
      </c>
      <c r="L273" t="str">
        <f>PROPER(TRIM(SUBSTITUTE(_xlfn.XLOOKUP(B273,Cardholders_Reference!A:A,Cardholders_Reference!B:B),","," ")))</f>
        <v>Thabo Mahlangu</v>
      </c>
      <c r="M273" s="5">
        <f>_xlfn.XLOOKUP(B273,Cardholders_Reference!A:A,Cardholders_Reference!G:G)</f>
        <v>50000</v>
      </c>
      <c r="N273" s="7" t="str">
        <f>_xlfn.XLOOKUP(B273,Cardholders_Reference!A:A,Cardholders_Reference!D:D)</f>
        <v>FNB</v>
      </c>
      <c r="O273" s="7" t="str">
        <f>_xlfn.XLOOKUP(B273,Cardholders_Reference!A:A,Cardholders_Reference!E:E)</f>
        <v>Mastercard</v>
      </c>
      <c r="P273" s="6">
        <f t="shared" si="33"/>
        <v>1.9212E-2</v>
      </c>
      <c r="Q273">
        <f t="shared" si="28"/>
        <v>0</v>
      </c>
      <c r="R273">
        <f t="shared" si="29"/>
        <v>0</v>
      </c>
      <c r="S273">
        <f>IF(COUNTIFS($B$1:$B$738,B272,$C$1:$C$738,#REF!)&gt;2,1,0)</f>
        <v>0</v>
      </c>
      <c r="T273">
        <f t="shared" si="30"/>
        <v>0</v>
      </c>
      <c r="U273">
        <f t="shared" si="31"/>
        <v>0</v>
      </c>
      <c r="V273">
        <f t="shared" si="32"/>
        <v>1</v>
      </c>
      <c r="W273">
        <f t="shared" si="34"/>
        <v>1</v>
      </c>
      <c r="X273" t="str" cm="1">
        <f t="array" ref="X273">_xlfn.IFS(W273&lt;=1,"Low",W273=2,"Medium",W273&gt;=3,"High")</f>
        <v>Low</v>
      </c>
    </row>
    <row r="274" spans="1:24" x14ac:dyDescent="0.3">
      <c r="A274" t="s">
        <v>608</v>
      </c>
      <c r="B274" t="s">
        <v>593</v>
      </c>
      <c r="C274" s="3">
        <v>46388</v>
      </c>
      <c r="D274" s="8" t="s">
        <v>609</v>
      </c>
      <c r="E274" s="7" t="s">
        <v>132</v>
      </c>
      <c r="F274" s="7" t="s">
        <v>25</v>
      </c>
      <c r="G274" s="7" t="s">
        <v>264</v>
      </c>
      <c r="H274" s="4">
        <v>705.74</v>
      </c>
      <c r="I274" s="7" t="s">
        <v>16</v>
      </c>
      <c r="J274" s="7" t="s">
        <v>41</v>
      </c>
      <c r="L274" t="str">
        <f>PROPER(TRIM(SUBSTITUTE(_xlfn.XLOOKUP(B274,Cardholders_Reference!A:A,Cardholders_Reference!B:B),","," ")))</f>
        <v>Thabo Mahlangu</v>
      </c>
      <c r="M274" s="5">
        <f>_xlfn.XLOOKUP(B274,Cardholders_Reference!A:A,Cardholders_Reference!G:G)</f>
        <v>50000</v>
      </c>
      <c r="N274" s="7" t="str">
        <f>_xlfn.XLOOKUP(B274,Cardholders_Reference!A:A,Cardholders_Reference!D:D)</f>
        <v>FNB</v>
      </c>
      <c r="O274" s="7" t="str">
        <f>_xlfn.XLOOKUP(B274,Cardholders_Reference!A:A,Cardholders_Reference!E:E)</f>
        <v>Mastercard</v>
      </c>
      <c r="P274" s="6">
        <f t="shared" si="33"/>
        <v>1.41148E-2</v>
      </c>
      <c r="Q274">
        <f t="shared" si="28"/>
        <v>0</v>
      </c>
      <c r="R274">
        <f t="shared" si="29"/>
        <v>0</v>
      </c>
      <c r="S274">
        <f>IF(COUNTIFS($B$1:$B$738,B273,$C$1:$C$738,#REF!)&gt;2,1,0)</f>
        <v>0</v>
      </c>
      <c r="T274">
        <f t="shared" si="30"/>
        <v>0</v>
      </c>
      <c r="U274">
        <f t="shared" si="31"/>
        <v>0</v>
      </c>
      <c r="V274">
        <f t="shared" si="32"/>
        <v>0</v>
      </c>
      <c r="W274">
        <f t="shared" si="34"/>
        <v>0</v>
      </c>
      <c r="X274" t="str" cm="1">
        <f t="array" ref="X274">_xlfn.IFS(W274&lt;=1,"Low",W274=2,"Medium",W274&gt;=3,"High")</f>
        <v>Low</v>
      </c>
    </row>
    <row r="275" spans="1:24" x14ac:dyDescent="0.3">
      <c r="A275" t="s">
        <v>610</v>
      </c>
      <c r="B275" t="s">
        <v>593</v>
      </c>
      <c r="C275" s="3">
        <v>45825</v>
      </c>
      <c r="D275" s="8" t="s">
        <v>611</v>
      </c>
      <c r="E275" s="7" t="s">
        <v>140</v>
      </c>
      <c r="F275" s="7" t="s">
        <v>53</v>
      </c>
      <c r="G275" s="7" t="s">
        <v>264</v>
      </c>
      <c r="H275" s="4">
        <v>966.22</v>
      </c>
      <c r="I275" s="7" t="s">
        <v>32</v>
      </c>
      <c r="J275" s="7" t="s">
        <v>41</v>
      </c>
      <c r="L275" t="str">
        <f>PROPER(TRIM(SUBSTITUTE(_xlfn.XLOOKUP(B275,Cardholders_Reference!A:A,Cardholders_Reference!B:B),","," ")))</f>
        <v>Thabo Mahlangu</v>
      </c>
      <c r="M275" s="5">
        <f>_xlfn.XLOOKUP(B275,Cardholders_Reference!A:A,Cardholders_Reference!G:G)</f>
        <v>50000</v>
      </c>
      <c r="N275" s="7" t="str">
        <f>_xlfn.XLOOKUP(B275,Cardholders_Reference!A:A,Cardholders_Reference!D:D)</f>
        <v>FNB</v>
      </c>
      <c r="O275" s="7" t="str">
        <f>_xlfn.XLOOKUP(B275,Cardholders_Reference!A:A,Cardholders_Reference!E:E)</f>
        <v>Mastercard</v>
      </c>
      <c r="P275" s="6">
        <f t="shared" si="33"/>
        <v>1.9324400000000002E-2</v>
      </c>
      <c r="Q275">
        <f t="shared" si="28"/>
        <v>0</v>
      </c>
      <c r="R275">
        <f t="shared" si="29"/>
        <v>0</v>
      </c>
      <c r="S275">
        <f>IF(COUNTIFS($B$1:$B$738,B274,$C$1:$C$738,#REF!)&gt;2,1,0)</f>
        <v>0</v>
      </c>
      <c r="T275">
        <f t="shared" si="30"/>
        <v>0</v>
      </c>
      <c r="U275">
        <f t="shared" si="31"/>
        <v>0</v>
      </c>
      <c r="V275">
        <f t="shared" si="32"/>
        <v>0</v>
      </c>
      <c r="W275">
        <f t="shared" si="34"/>
        <v>0</v>
      </c>
      <c r="X275" t="str" cm="1">
        <f t="array" ref="X275">_xlfn.IFS(W275&lt;=1,"Low",W275=2,"Medium",W275&gt;=3,"High")</f>
        <v>Low</v>
      </c>
    </row>
    <row r="276" spans="1:24" x14ac:dyDescent="0.3">
      <c r="A276" t="s">
        <v>612</v>
      </c>
      <c r="B276" t="s">
        <v>593</v>
      </c>
      <c r="C276" s="3">
        <v>45841</v>
      </c>
      <c r="D276" s="8" t="s">
        <v>613</v>
      </c>
      <c r="E276" s="7" t="s">
        <v>97</v>
      </c>
      <c r="F276" s="7" t="s">
        <v>53</v>
      </c>
      <c r="G276" s="7" t="s">
        <v>264</v>
      </c>
      <c r="H276" s="4">
        <v>398.87</v>
      </c>
      <c r="I276" s="7" t="s">
        <v>32</v>
      </c>
      <c r="J276" s="7" t="s">
        <v>41</v>
      </c>
      <c r="L276" t="str">
        <f>PROPER(TRIM(SUBSTITUTE(_xlfn.XLOOKUP(B276,Cardholders_Reference!A:A,Cardholders_Reference!B:B),","," ")))</f>
        <v>Thabo Mahlangu</v>
      </c>
      <c r="M276" s="5">
        <f>_xlfn.XLOOKUP(B276,Cardholders_Reference!A:A,Cardholders_Reference!G:G)</f>
        <v>50000</v>
      </c>
      <c r="N276" s="7" t="str">
        <f>_xlfn.XLOOKUP(B276,Cardholders_Reference!A:A,Cardholders_Reference!D:D)</f>
        <v>FNB</v>
      </c>
      <c r="O276" s="7" t="str">
        <f>_xlfn.XLOOKUP(B276,Cardholders_Reference!A:A,Cardholders_Reference!E:E)</f>
        <v>Mastercard</v>
      </c>
      <c r="P276" s="6">
        <f t="shared" si="33"/>
        <v>7.9774000000000008E-3</v>
      </c>
      <c r="Q276">
        <f t="shared" si="28"/>
        <v>0</v>
      </c>
      <c r="R276">
        <f t="shared" si="29"/>
        <v>0</v>
      </c>
      <c r="S276">
        <f>IF(COUNTIFS($B$1:$B$738,B275,$C$1:$C$738,#REF!)&gt;2,1,0)</f>
        <v>0</v>
      </c>
      <c r="T276">
        <f t="shared" si="30"/>
        <v>0</v>
      </c>
      <c r="U276">
        <f t="shared" si="31"/>
        <v>0</v>
      </c>
      <c r="V276">
        <f t="shared" si="32"/>
        <v>0</v>
      </c>
      <c r="W276">
        <f t="shared" si="34"/>
        <v>0</v>
      </c>
      <c r="X276" t="str" cm="1">
        <f t="array" ref="X276">_xlfn.IFS(W276&lt;=1,"Low",W276=2,"Medium",W276&gt;=3,"High")</f>
        <v>Low</v>
      </c>
    </row>
    <row r="277" spans="1:24" x14ac:dyDescent="0.3">
      <c r="A277" t="s">
        <v>614</v>
      </c>
      <c r="B277" t="s">
        <v>615</v>
      </c>
      <c r="C277" s="3">
        <v>45788</v>
      </c>
      <c r="D277" s="8" t="s">
        <v>616</v>
      </c>
      <c r="E277" s="7" t="s">
        <v>35</v>
      </c>
      <c r="F277" s="7" t="s">
        <v>36</v>
      </c>
      <c r="G277" s="7" t="s">
        <v>118</v>
      </c>
      <c r="H277" s="4">
        <v>592.63</v>
      </c>
      <c r="I277" s="7" t="s">
        <v>16</v>
      </c>
      <c r="J277" s="7" t="s">
        <v>41</v>
      </c>
      <c r="L277" t="str">
        <f>PROPER(TRIM(SUBSTITUTE(_xlfn.XLOOKUP(B277,Cardholders_Reference!A:A,Cardholders_Reference!B:B),","," ")))</f>
        <v>Sipho Nkosi</v>
      </c>
      <c r="M277" s="5">
        <f>_xlfn.XLOOKUP(B277,Cardholders_Reference!A:A,Cardholders_Reference!G:G)</f>
        <v>25000</v>
      </c>
      <c r="N277" s="7" t="str">
        <f>_xlfn.XLOOKUP(B277,Cardholders_Reference!A:A,Cardholders_Reference!D:D)</f>
        <v>Nedbank</v>
      </c>
      <c r="O277" s="7" t="str">
        <f>_xlfn.XLOOKUP(B277,Cardholders_Reference!A:A,Cardholders_Reference!E:E)</f>
        <v>Mastercard</v>
      </c>
      <c r="P277" s="6">
        <f t="shared" si="33"/>
        <v>2.3705199999999999E-2</v>
      </c>
      <c r="Q277">
        <f t="shared" si="28"/>
        <v>0</v>
      </c>
      <c r="R277">
        <f t="shared" si="29"/>
        <v>0</v>
      </c>
      <c r="S277">
        <f>IF(COUNTIFS($B$1:$B$738,B276,$C$1:$C$738,#REF!)&gt;2,1,0)</f>
        <v>0</v>
      </c>
      <c r="T277">
        <f t="shared" si="30"/>
        <v>0</v>
      </c>
      <c r="U277">
        <f t="shared" si="31"/>
        <v>0</v>
      </c>
      <c r="V277">
        <f t="shared" si="32"/>
        <v>0</v>
      </c>
      <c r="W277">
        <f t="shared" si="34"/>
        <v>0</v>
      </c>
      <c r="X277" t="str" cm="1">
        <f t="array" ref="X277">_xlfn.IFS(W277&lt;=1,"Low",W277=2,"Medium",W277&gt;=3,"High")</f>
        <v>Low</v>
      </c>
    </row>
    <row r="278" spans="1:24" x14ac:dyDescent="0.3">
      <c r="A278" t="s">
        <v>617</v>
      </c>
      <c r="B278" t="s">
        <v>615</v>
      </c>
      <c r="C278" s="3">
        <v>45849</v>
      </c>
      <c r="D278" s="8" t="s">
        <v>618</v>
      </c>
      <c r="E278" s="7" t="s">
        <v>132</v>
      </c>
      <c r="F278" s="7" t="s">
        <v>25</v>
      </c>
      <c r="G278" s="7" t="s">
        <v>108</v>
      </c>
      <c r="H278" s="4">
        <v>309.49</v>
      </c>
      <c r="I278" s="7" t="s">
        <v>26</v>
      </c>
      <c r="J278" s="7" t="s">
        <v>17</v>
      </c>
      <c r="L278" t="str">
        <f>PROPER(TRIM(SUBSTITUTE(_xlfn.XLOOKUP(B278,Cardholders_Reference!A:A,Cardholders_Reference!B:B),","," ")))</f>
        <v>Sipho Nkosi</v>
      </c>
      <c r="M278" s="5">
        <f>_xlfn.XLOOKUP(B278,Cardholders_Reference!A:A,Cardholders_Reference!G:G)</f>
        <v>25000</v>
      </c>
      <c r="N278" s="7" t="str">
        <f>_xlfn.XLOOKUP(B278,Cardholders_Reference!A:A,Cardholders_Reference!D:D)</f>
        <v>Nedbank</v>
      </c>
      <c r="O278" s="7" t="str">
        <f>_xlfn.XLOOKUP(B278,Cardholders_Reference!A:A,Cardholders_Reference!E:E)</f>
        <v>Mastercard</v>
      </c>
      <c r="P278" s="6">
        <f t="shared" si="33"/>
        <v>1.2379600000000001E-2</v>
      </c>
      <c r="Q278">
        <f t="shared" si="28"/>
        <v>1</v>
      </c>
      <c r="R278">
        <f t="shared" si="29"/>
        <v>0</v>
      </c>
      <c r="S278">
        <f>IF(COUNTIFS($B$1:$B$738,B277,$C$1:$C$738,#REF!)&gt;2,1,0)</f>
        <v>0</v>
      </c>
      <c r="T278">
        <f t="shared" si="30"/>
        <v>0</v>
      </c>
      <c r="U278">
        <f t="shared" si="31"/>
        <v>0</v>
      </c>
      <c r="V278">
        <f t="shared" si="32"/>
        <v>1</v>
      </c>
      <c r="W278">
        <f t="shared" si="34"/>
        <v>2</v>
      </c>
      <c r="X278" t="str" cm="1">
        <f t="array" ref="X278">_xlfn.IFS(W278&lt;=1,"Low",W278=2,"Medium",W278&gt;=3,"High")</f>
        <v>Medium</v>
      </c>
    </row>
    <row r="279" spans="1:24" x14ac:dyDescent="0.3">
      <c r="A279" t="s">
        <v>619</v>
      </c>
      <c r="B279" t="s">
        <v>615</v>
      </c>
      <c r="C279" s="3">
        <v>45926</v>
      </c>
      <c r="D279" s="8" t="s">
        <v>620</v>
      </c>
      <c r="E279" s="7" t="s">
        <v>73</v>
      </c>
      <c r="F279" s="7" t="s">
        <v>74</v>
      </c>
      <c r="G279" s="7" t="s">
        <v>250</v>
      </c>
      <c r="H279" s="4">
        <v>622.61</v>
      </c>
      <c r="I279" s="7" t="s">
        <v>95</v>
      </c>
      <c r="J279" s="7" t="s">
        <v>41</v>
      </c>
      <c r="L279" t="str">
        <f>PROPER(TRIM(SUBSTITUTE(_xlfn.XLOOKUP(B279,Cardholders_Reference!A:A,Cardholders_Reference!B:B),","," ")))</f>
        <v>Sipho Nkosi</v>
      </c>
      <c r="M279" s="5">
        <f>_xlfn.XLOOKUP(B279,Cardholders_Reference!A:A,Cardholders_Reference!G:G)</f>
        <v>25000</v>
      </c>
      <c r="N279" s="7" t="str">
        <f>_xlfn.XLOOKUP(B279,Cardholders_Reference!A:A,Cardholders_Reference!D:D)</f>
        <v>Nedbank</v>
      </c>
      <c r="O279" s="7" t="str">
        <f>_xlfn.XLOOKUP(B279,Cardholders_Reference!A:A,Cardholders_Reference!E:E)</f>
        <v>Mastercard</v>
      </c>
      <c r="P279" s="6">
        <f t="shared" si="33"/>
        <v>2.49044E-2</v>
      </c>
      <c r="Q279">
        <f t="shared" si="28"/>
        <v>1</v>
      </c>
      <c r="R279">
        <f t="shared" si="29"/>
        <v>0</v>
      </c>
      <c r="S279">
        <f>IF(COUNTIFS($B$1:$B$738,B278,$C$1:$C$738,#REF!)&gt;2,1,0)</f>
        <v>0</v>
      </c>
      <c r="T279">
        <f t="shared" si="30"/>
        <v>0</v>
      </c>
      <c r="U279">
        <f t="shared" si="31"/>
        <v>0</v>
      </c>
      <c r="V279">
        <f t="shared" si="32"/>
        <v>1</v>
      </c>
      <c r="W279">
        <f t="shared" si="34"/>
        <v>2</v>
      </c>
      <c r="X279" t="str" cm="1">
        <f t="array" ref="X279">_xlfn.IFS(W279&lt;=1,"Low",W279=2,"Medium",W279&gt;=3,"High")</f>
        <v>Medium</v>
      </c>
    </row>
    <row r="280" spans="1:24" x14ac:dyDescent="0.3">
      <c r="A280" t="s">
        <v>621</v>
      </c>
      <c r="B280" t="s">
        <v>615</v>
      </c>
      <c r="C280" s="3">
        <v>45952</v>
      </c>
      <c r="D280" s="8" t="s">
        <v>622</v>
      </c>
      <c r="E280" s="7" t="s">
        <v>44</v>
      </c>
      <c r="F280" s="7" t="s">
        <v>25</v>
      </c>
      <c r="G280" s="7" t="s">
        <v>22</v>
      </c>
      <c r="H280" s="4">
        <v>891.4</v>
      </c>
      <c r="I280" s="7" t="s">
        <v>32</v>
      </c>
      <c r="J280" s="7" t="s">
        <v>17</v>
      </c>
      <c r="L280" t="str">
        <f>PROPER(TRIM(SUBSTITUTE(_xlfn.XLOOKUP(B280,Cardholders_Reference!A:A,Cardholders_Reference!B:B),","," ")))</f>
        <v>Sipho Nkosi</v>
      </c>
      <c r="M280" s="5">
        <f>_xlfn.XLOOKUP(B280,Cardholders_Reference!A:A,Cardholders_Reference!G:G)</f>
        <v>25000</v>
      </c>
      <c r="N280" s="7" t="str">
        <f>_xlfn.XLOOKUP(B280,Cardholders_Reference!A:A,Cardholders_Reference!D:D)</f>
        <v>Nedbank</v>
      </c>
      <c r="O280" s="7" t="str">
        <f>_xlfn.XLOOKUP(B280,Cardholders_Reference!A:A,Cardholders_Reference!E:E)</f>
        <v>Mastercard</v>
      </c>
      <c r="P280" s="6">
        <f t="shared" si="33"/>
        <v>3.5656E-2</v>
      </c>
      <c r="Q280">
        <f t="shared" si="28"/>
        <v>1</v>
      </c>
      <c r="R280">
        <f t="shared" si="29"/>
        <v>0</v>
      </c>
      <c r="S280">
        <f>IF(COUNTIFS($B$1:$B$738,B279,$C$1:$C$738,#REF!)&gt;2,1,0)</f>
        <v>0</v>
      </c>
      <c r="T280">
        <f t="shared" si="30"/>
        <v>0</v>
      </c>
      <c r="U280">
        <f t="shared" si="31"/>
        <v>0</v>
      </c>
      <c r="V280">
        <f t="shared" si="32"/>
        <v>0</v>
      </c>
      <c r="W280">
        <f t="shared" si="34"/>
        <v>1</v>
      </c>
      <c r="X280" t="str" cm="1">
        <f t="array" ref="X280">_xlfn.IFS(W280&lt;=1,"Low",W280=2,"Medium",W280&gt;=3,"High")</f>
        <v>Low</v>
      </c>
    </row>
    <row r="281" spans="1:24" x14ac:dyDescent="0.3">
      <c r="A281" t="s">
        <v>623</v>
      </c>
      <c r="B281" t="s">
        <v>615</v>
      </c>
      <c r="C281" s="3">
        <v>46148</v>
      </c>
      <c r="D281" s="8" t="s">
        <v>624</v>
      </c>
      <c r="E281" s="7" t="s">
        <v>57</v>
      </c>
      <c r="F281" s="7" t="s">
        <v>36</v>
      </c>
      <c r="G281" s="7" t="s">
        <v>250</v>
      </c>
      <c r="H281" s="4">
        <v>361.76</v>
      </c>
      <c r="I281" s="7" t="s">
        <v>26</v>
      </c>
      <c r="J281" s="7" t="s">
        <v>17</v>
      </c>
      <c r="L281" t="str">
        <f>PROPER(TRIM(SUBSTITUTE(_xlfn.XLOOKUP(B281,Cardholders_Reference!A:A,Cardholders_Reference!B:B),","," ")))</f>
        <v>Sipho Nkosi</v>
      </c>
      <c r="M281" s="5">
        <f>_xlfn.XLOOKUP(B281,Cardholders_Reference!A:A,Cardholders_Reference!G:G)</f>
        <v>25000</v>
      </c>
      <c r="N281" s="7" t="str">
        <f>_xlfn.XLOOKUP(B281,Cardholders_Reference!A:A,Cardholders_Reference!D:D)</f>
        <v>Nedbank</v>
      </c>
      <c r="O281" s="7" t="str">
        <f>_xlfn.XLOOKUP(B281,Cardholders_Reference!A:A,Cardholders_Reference!E:E)</f>
        <v>Mastercard</v>
      </c>
      <c r="P281" s="6">
        <f t="shared" si="33"/>
        <v>1.44704E-2</v>
      </c>
      <c r="Q281">
        <f t="shared" si="28"/>
        <v>1</v>
      </c>
      <c r="R281">
        <f t="shared" si="29"/>
        <v>0</v>
      </c>
      <c r="S281">
        <f>IF(COUNTIFS($B$1:$B$738,B280,$C$1:$C$738,#REF!)&gt;2,1,0)</f>
        <v>0</v>
      </c>
      <c r="T281">
        <f t="shared" si="30"/>
        <v>0</v>
      </c>
      <c r="U281">
        <f t="shared" si="31"/>
        <v>0</v>
      </c>
      <c r="V281">
        <f t="shared" si="32"/>
        <v>1</v>
      </c>
      <c r="W281">
        <f t="shared" si="34"/>
        <v>2</v>
      </c>
      <c r="X281" t="str" cm="1">
        <f t="array" ref="X281">_xlfn.IFS(W281&lt;=1,"Low",W281=2,"Medium",W281&gt;=3,"High")</f>
        <v>Medium</v>
      </c>
    </row>
    <row r="282" spans="1:24" x14ac:dyDescent="0.3">
      <c r="A282" t="s">
        <v>625</v>
      </c>
      <c r="B282" t="s">
        <v>615</v>
      </c>
      <c r="C282" s="3">
        <v>46271</v>
      </c>
      <c r="D282" s="8" t="s">
        <v>379</v>
      </c>
      <c r="E282" s="7" t="s">
        <v>70</v>
      </c>
      <c r="F282" s="7" t="s">
        <v>36</v>
      </c>
      <c r="G282" s="7" t="s">
        <v>118</v>
      </c>
      <c r="H282" s="4">
        <v>410.99</v>
      </c>
      <c r="I282" s="7" t="s">
        <v>95</v>
      </c>
      <c r="J282" s="7" t="s">
        <v>17</v>
      </c>
      <c r="L282" t="str">
        <f>PROPER(TRIM(SUBSTITUTE(_xlfn.XLOOKUP(B282,Cardholders_Reference!A:A,Cardholders_Reference!B:B),","," ")))</f>
        <v>Sipho Nkosi</v>
      </c>
      <c r="M282" s="5">
        <f>_xlfn.XLOOKUP(B282,Cardholders_Reference!A:A,Cardholders_Reference!G:G)</f>
        <v>25000</v>
      </c>
      <c r="N282" s="7" t="str">
        <f>_xlfn.XLOOKUP(B282,Cardholders_Reference!A:A,Cardholders_Reference!D:D)</f>
        <v>Nedbank</v>
      </c>
      <c r="O282" s="7" t="str">
        <f>_xlfn.XLOOKUP(B282,Cardholders_Reference!A:A,Cardholders_Reference!E:E)</f>
        <v>Mastercard</v>
      </c>
      <c r="P282" s="6">
        <f t="shared" si="33"/>
        <v>1.6439599999999999E-2</v>
      </c>
      <c r="Q282">
        <f t="shared" si="28"/>
        <v>1</v>
      </c>
      <c r="R282">
        <f t="shared" si="29"/>
        <v>0</v>
      </c>
      <c r="S282">
        <f>IF(COUNTIFS($B$1:$B$738,B281,$C$1:$C$738,#REF!)&gt;2,1,0)</f>
        <v>0</v>
      </c>
      <c r="T282">
        <f t="shared" si="30"/>
        <v>0</v>
      </c>
      <c r="U282">
        <f t="shared" si="31"/>
        <v>0</v>
      </c>
      <c r="V282">
        <f t="shared" si="32"/>
        <v>1</v>
      </c>
      <c r="W282">
        <f t="shared" si="34"/>
        <v>2</v>
      </c>
      <c r="X282" t="str" cm="1">
        <f t="array" ref="X282">_xlfn.IFS(W282&lt;=1,"Low",W282=2,"Medium",W282&gt;=3,"High")</f>
        <v>Medium</v>
      </c>
    </row>
    <row r="283" spans="1:24" x14ac:dyDescent="0.3">
      <c r="A283" t="s">
        <v>626</v>
      </c>
      <c r="B283" t="s">
        <v>615</v>
      </c>
      <c r="C283" s="3">
        <v>46049</v>
      </c>
      <c r="D283" s="8" t="s">
        <v>627</v>
      </c>
      <c r="E283" s="7" t="s">
        <v>242</v>
      </c>
      <c r="F283" s="7" t="s">
        <v>15</v>
      </c>
      <c r="G283" s="7" t="s">
        <v>108</v>
      </c>
      <c r="H283" s="4">
        <v>3399.31</v>
      </c>
      <c r="I283" s="7" t="s">
        <v>95</v>
      </c>
      <c r="J283" s="7" t="s">
        <v>17</v>
      </c>
      <c r="L283" t="str">
        <f>PROPER(TRIM(SUBSTITUTE(_xlfn.XLOOKUP(B283,Cardholders_Reference!A:A,Cardholders_Reference!B:B),","," ")))</f>
        <v>Sipho Nkosi</v>
      </c>
      <c r="M283" s="5">
        <f>_xlfn.XLOOKUP(B283,Cardholders_Reference!A:A,Cardholders_Reference!G:G)</f>
        <v>25000</v>
      </c>
      <c r="N283" s="7" t="str">
        <f>_xlfn.XLOOKUP(B283,Cardholders_Reference!A:A,Cardholders_Reference!D:D)</f>
        <v>Nedbank</v>
      </c>
      <c r="O283" s="7" t="str">
        <f>_xlfn.XLOOKUP(B283,Cardholders_Reference!A:A,Cardholders_Reference!E:E)</f>
        <v>Mastercard</v>
      </c>
      <c r="P283" s="6">
        <f t="shared" si="33"/>
        <v>0.13597239999999999</v>
      </c>
      <c r="Q283">
        <f t="shared" si="28"/>
        <v>1</v>
      </c>
      <c r="R283">
        <f t="shared" si="29"/>
        <v>0</v>
      </c>
      <c r="S283">
        <f>IF(COUNTIFS($B$1:$B$738,B282,$C$1:$C$738,#REF!)&gt;2,1,0)</f>
        <v>0</v>
      </c>
      <c r="T283">
        <f t="shared" si="30"/>
        <v>0</v>
      </c>
      <c r="U283">
        <f t="shared" si="31"/>
        <v>0</v>
      </c>
      <c r="V283">
        <f t="shared" si="32"/>
        <v>1</v>
      </c>
      <c r="W283">
        <f t="shared" si="34"/>
        <v>2</v>
      </c>
      <c r="X283" t="str" cm="1">
        <f t="array" ref="X283">_xlfn.IFS(W283&lt;=1,"Low",W283=2,"Medium",W283&gt;=3,"High")</f>
        <v>Medium</v>
      </c>
    </row>
    <row r="284" spans="1:24" x14ac:dyDescent="0.3">
      <c r="A284" t="s">
        <v>628</v>
      </c>
      <c r="B284" t="s">
        <v>615</v>
      </c>
      <c r="C284" s="3">
        <v>45787</v>
      </c>
      <c r="D284" s="8" t="s">
        <v>629</v>
      </c>
      <c r="E284" s="7" t="s">
        <v>242</v>
      </c>
      <c r="F284" s="7" t="s">
        <v>15</v>
      </c>
      <c r="G284" s="7" t="s">
        <v>108</v>
      </c>
      <c r="H284" s="4">
        <v>890.66</v>
      </c>
      <c r="I284" s="7" t="s">
        <v>32</v>
      </c>
      <c r="J284" s="7" t="s">
        <v>17</v>
      </c>
      <c r="L284" t="str">
        <f>PROPER(TRIM(SUBSTITUTE(_xlfn.XLOOKUP(B284,Cardholders_Reference!A:A,Cardholders_Reference!B:B),","," ")))</f>
        <v>Sipho Nkosi</v>
      </c>
      <c r="M284" s="5">
        <f>_xlfn.XLOOKUP(B284,Cardholders_Reference!A:A,Cardholders_Reference!G:G)</f>
        <v>25000</v>
      </c>
      <c r="N284" s="7" t="str">
        <f>_xlfn.XLOOKUP(B284,Cardholders_Reference!A:A,Cardholders_Reference!D:D)</f>
        <v>Nedbank</v>
      </c>
      <c r="O284" s="7" t="str">
        <f>_xlfn.XLOOKUP(B284,Cardholders_Reference!A:A,Cardholders_Reference!E:E)</f>
        <v>Mastercard</v>
      </c>
      <c r="P284" s="6">
        <f t="shared" si="33"/>
        <v>3.5626399999999996E-2</v>
      </c>
      <c r="Q284">
        <f t="shared" si="28"/>
        <v>1</v>
      </c>
      <c r="R284">
        <f t="shared" si="29"/>
        <v>0</v>
      </c>
      <c r="S284">
        <f>IF(COUNTIFS($B$1:$B$738,B283,$C$1:$C$738,#REF!)&gt;2,1,0)</f>
        <v>0</v>
      </c>
      <c r="T284">
        <f t="shared" si="30"/>
        <v>0</v>
      </c>
      <c r="U284">
        <f t="shared" si="31"/>
        <v>0</v>
      </c>
      <c r="V284">
        <f t="shared" si="32"/>
        <v>0</v>
      </c>
      <c r="W284">
        <f t="shared" si="34"/>
        <v>1</v>
      </c>
      <c r="X284" t="str" cm="1">
        <f t="array" ref="X284">_xlfn.IFS(W284&lt;=1,"Low",W284=2,"Medium",W284&gt;=3,"High")</f>
        <v>Low</v>
      </c>
    </row>
    <row r="285" spans="1:24" x14ac:dyDescent="0.3">
      <c r="A285" t="s">
        <v>630</v>
      </c>
      <c r="B285" t="s">
        <v>631</v>
      </c>
      <c r="C285" s="3">
        <v>45842</v>
      </c>
      <c r="D285" s="8" t="s">
        <v>632</v>
      </c>
      <c r="E285" s="7" t="s">
        <v>31</v>
      </c>
      <c r="F285" s="7" t="s">
        <v>25</v>
      </c>
      <c r="G285" s="7" t="s">
        <v>108</v>
      </c>
      <c r="H285" s="4">
        <v>833.61</v>
      </c>
      <c r="I285" s="7" t="s">
        <v>16</v>
      </c>
      <c r="J285" s="7" t="s">
        <v>17</v>
      </c>
      <c r="L285" t="str">
        <f>PROPER(TRIM(SUBSTITUTE(_xlfn.XLOOKUP(B285,Cardholders_Reference!A:A,Cardholders_Reference!B:B),","," ")))</f>
        <v>Sanele Khumalo</v>
      </c>
      <c r="M285" s="5">
        <f>_xlfn.XLOOKUP(B285,Cardholders_Reference!A:A,Cardholders_Reference!G:G)</f>
        <v>80000</v>
      </c>
      <c r="N285" s="7" t="str">
        <f>_xlfn.XLOOKUP(B285,Cardholders_Reference!A:A,Cardholders_Reference!D:D)</f>
        <v>Capitec</v>
      </c>
      <c r="O285" s="7" t="str">
        <f>_xlfn.XLOOKUP(B285,Cardholders_Reference!A:A,Cardholders_Reference!E:E)</f>
        <v>Visa</v>
      </c>
      <c r="P285" s="6">
        <f t="shared" si="33"/>
        <v>1.0420125000000001E-2</v>
      </c>
      <c r="Q285">
        <f t="shared" si="28"/>
        <v>1</v>
      </c>
      <c r="R285">
        <f t="shared" si="29"/>
        <v>0</v>
      </c>
      <c r="S285">
        <f>IF(COUNTIFS($B$1:$B$738,B284,$C$1:$C$738,#REF!)&gt;2,1,0)</f>
        <v>0</v>
      </c>
      <c r="T285">
        <f t="shared" si="30"/>
        <v>0</v>
      </c>
      <c r="U285">
        <f t="shared" si="31"/>
        <v>0</v>
      </c>
      <c r="V285">
        <f t="shared" si="32"/>
        <v>0</v>
      </c>
      <c r="W285">
        <f t="shared" si="34"/>
        <v>1</v>
      </c>
      <c r="X285" t="str" cm="1">
        <f t="array" ref="X285">_xlfn.IFS(W285&lt;=1,"Low",W285=2,"Medium",W285&gt;=3,"High")</f>
        <v>Low</v>
      </c>
    </row>
    <row r="286" spans="1:24" x14ac:dyDescent="0.3">
      <c r="A286" t="s">
        <v>633</v>
      </c>
      <c r="B286" t="s">
        <v>631</v>
      </c>
      <c r="C286" s="3">
        <v>46085</v>
      </c>
      <c r="D286" s="8" t="s">
        <v>634</v>
      </c>
      <c r="E286" s="7" t="s">
        <v>35</v>
      </c>
      <c r="F286" s="7" t="s">
        <v>36</v>
      </c>
      <c r="G286" s="7" t="s">
        <v>177</v>
      </c>
      <c r="H286" s="4">
        <v>612.94000000000005</v>
      </c>
      <c r="I286" s="7" t="s">
        <v>26</v>
      </c>
      <c r="J286" s="7" t="s">
        <v>17</v>
      </c>
      <c r="L286" t="str">
        <f>PROPER(TRIM(SUBSTITUTE(_xlfn.XLOOKUP(B286,Cardholders_Reference!A:A,Cardholders_Reference!B:B),","," ")))</f>
        <v>Sanele Khumalo</v>
      </c>
      <c r="M286" s="5">
        <f>_xlfn.XLOOKUP(B286,Cardholders_Reference!A:A,Cardholders_Reference!G:G)</f>
        <v>80000</v>
      </c>
      <c r="N286" s="7" t="str">
        <f>_xlfn.XLOOKUP(B286,Cardholders_Reference!A:A,Cardholders_Reference!D:D)</f>
        <v>Capitec</v>
      </c>
      <c r="O286" s="7" t="str">
        <f>_xlfn.XLOOKUP(B286,Cardholders_Reference!A:A,Cardholders_Reference!E:E)</f>
        <v>Visa</v>
      </c>
      <c r="P286" s="6">
        <f t="shared" si="33"/>
        <v>7.661750000000001E-3</v>
      </c>
      <c r="Q286">
        <f t="shared" si="28"/>
        <v>1</v>
      </c>
      <c r="R286">
        <f t="shared" si="29"/>
        <v>0</v>
      </c>
      <c r="S286">
        <f>IF(COUNTIFS($B$1:$B$738,B285,$C$1:$C$738,#REF!)&gt;2,1,0)</f>
        <v>0</v>
      </c>
      <c r="T286">
        <f t="shared" si="30"/>
        <v>0</v>
      </c>
      <c r="U286">
        <f t="shared" si="31"/>
        <v>0</v>
      </c>
      <c r="V286">
        <f t="shared" si="32"/>
        <v>1</v>
      </c>
      <c r="W286">
        <f t="shared" si="34"/>
        <v>2</v>
      </c>
      <c r="X286" t="str" cm="1">
        <f t="array" ref="X286">_xlfn.IFS(W286&lt;=1,"Low",W286=2,"Medium",W286&gt;=3,"High")</f>
        <v>Medium</v>
      </c>
    </row>
    <row r="287" spans="1:24" x14ac:dyDescent="0.3">
      <c r="A287" t="s">
        <v>635</v>
      </c>
      <c r="B287" t="s">
        <v>631</v>
      </c>
      <c r="C287" s="3">
        <v>45917</v>
      </c>
      <c r="D287" s="8" t="s">
        <v>636</v>
      </c>
      <c r="E287" s="7" t="s">
        <v>137</v>
      </c>
      <c r="F287" s="7" t="s">
        <v>40</v>
      </c>
      <c r="G287" s="7" t="s">
        <v>177</v>
      </c>
      <c r="H287" s="4">
        <v>291.62</v>
      </c>
      <c r="I287" s="7" t="s">
        <v>16</v>
      </c>
      <c r="J287" s="7" t="s">
        <v>17</v>
      </c>
      <c r="L287" t="str">
        <f>PROPER(TRIM(SUBSTITUTE(_xlfn.XLOOKUP(B287,Cardholders_Reference!A:A,Cardholders_Reference!B:B),","," ")))</f>
        <v>Sanele Khumalo</v>
      </c>
      <c r="M287" s="5">
        <f>_xlfn.XLOOKUP(B287,Cardholders_Reference!A:A,Cardholders_Reference!G:G)</f>
        <v>80000</v>
      </c>
      <c r="N287" s="7" t="str">
        <f>_xlfn.XLOOKUP(B287,Cardholders_Reference!A:A,Cardholders_Reference!D:D)</f>
        <v>Capitec</v>
      </c>
      <c r="O287" s="7" t="str">
        <f>_xlfn.XLOOKUP(B287,Cardholders_Reference!A:A,Cardholders_Reference!E:E)</f>
        <v>Visa</v>
      </c>
      <c r="P287" s="6">
        <f t="shared" si="33"/>
        <v>3.6452500000000001E-3</v>
      </c>
      <c r="Q287">
        <f t="shared" si="28"/>
        <v>0</v>
      </c>
      <c r="R287">
        <f t="shared" si="29"/>
        <v>0</v>
      </c>
      <c r="S287">
        <f>IF(COUNTIFS($B$1:$B$738,B286,$C$1:$C$738,#REF!)&gt;2,1,0)</f>
        <v>0</v>
      </c>
      <c r="T287">
        <f t="shared" si="30"/>
        <v>0</v>
      </c>
      <c r="U287">
        <f t="shared" si="31"/>
        <v>0</v>
      </c>
      <c r="V287">
        <f t="shared" si="32"/>
        <v>0</v>
      </c>
      <c r="W287">
        <f t="shared" si="34"/>
        <v>0</v>
      </c>
      <c r="X287" t="str" cm="1">
        <f t="array" ref="X287">_xlfn.IFS(W287&lt;=1,"Low",W287=2,"Medium",W287&gt;=3,"High")</f>
        <v>Low</v>
      </c>
    </row>
    <row r="288" spans="1:24" x14ac:dyDescent="0.3">
      <c r="A288" t="s">
        <v>637</v>
      </c>
      <c r="B288" t="s">
        <v>631</v>
      </c>
      <c r="C288" s="3">
        <v>45709</v>
      </c>
      <c r="D288" s="8" t="s">
        <v>638</v>
      </c>
      <c r="E288" s="7" t="s">
        <v>14</v>
      </c>
      <c r="F288" s="7" t="s">
        <v>15</v>
      </c>
      <c r="G288" s="7" t="s">
        <v>177</v>
      </c>
      <c r="H288" s="4">
        <v>1801</v>
      </c>
      <c r="I288" s="7" t="s">
        <v>95</v>
      </c>
      <c r="J288" s="7" t="s">
        <v>17</v>
      </c>
      <c r="L288" t="str">
        <f>PROPER(TRIM(SUBSTITUTE(_xlfn.XLOOKUP(B288,Cardholders_Reference!A:A,Cardholders_Reference!B:B),","," ")))</f>
        <v>Sanele Khumalo</v>
      </c>
      <c r="M288" s="5">
        <f>_xlfn.XLOOKUP(B288,Cardholders_Reference!A:A,Cardholders_Reference!G:G)</f>
        <v>80000</v>
      </c>
      <c r="N288" s="7" t="str">
        <f>_xlfn.XLOOKUP(B288,Cardholders_Reference!A:A,Cardholders_Reference!D:D)</f>
        <v>Capitec</v>
      </c>
      <c r="O288" s="7" t="str">
        <f>_xlfn.XLOOKUP(B288,Cardholders_Reference!A:A,Cardholders_Reference!E:E)</f>
        <v>Visa</v>
      </c>
      <c r="P288" s="6">
        <f t="shared" si="33"/>
        <v>2.2512500000000001E-2</v>
      </c>
      <c r="Q288">
        <f t="shared" si="28"/>
        <v>0</v>
      </c>
      <c r="R288">
        <f t="shared" si="29"/>
        <v>0</v>
      </c>
      <c r="S288">
        <f>IF(COUNTIFS($B$1:$B$738,B287,$C$1:$C$738,#REF!)&gt;2,1,0)</f>
        <v>0</v>
      </c>
      <c r="T288">
        <f t="shared" si="30"/>
        <v>0</v>
      </c>
      <c r="U288">
        <f t="shared" si="31"/>
        <v>0</v>
      </c>
      <c r="V288">
        <f t="shared" si="32"/>
        <v>1</v>
      </c>
      <c r="W288">
        <f t="shared" si="34"/>
        <v>1</v>
      </c>
      <c r="X288" t="str" cm="1">
        <f t="array" ref="X288">_xlfn.IFS(W288&lt;=1,"Low",W288=2,"Medium",W288&gt;=3,"High")</f>
        <v>Low</v>
      </c>
    </row>
    <row r="289" spans="1:24" x14ac:dyDescent="0.3">
      <c r="A289" t="s">
        <v>639</v>
      </c>
      <c r="B289" t="s">
        <v>631</v>
      </c>
      <c r="C289" s="3">
        <v>45944</v>
      </c>
      <c r="D289" s="8" t="s">
        <v>640</v>
      </c>
      <c r="E289" s="7" t="s">
        <v>215</v>
      </c>
      <c r="F289" s="7" t="s">
        <v>15</v>
      </c>
      <c r="G289" s="7" t="s">
        <v>177</v>
      </c>
      <c r="H289" s="4">
        <v>3014.91</v>
      </c>
      <c r="I289" s="7" t="s">
        <v>95</v>
      </c>
      <c r="J289" s="7" t="s">
        <v>17</v>
      </c>
      <c r="L289" t="str">
        <f>PROPER(TRIM(SUBSTITUTE(_xlfn.XLOOKUP(B289,Cardholders_Reference!A:A,Cardholders_Reference!B:B),","," ")))</f>
        <v>Sanele Khumalo</v>
      </c>
      <c r="M289" s="5">
        <f>_xlfn.XLOOKUP(B289,Cardholders_Reference!A:A,Cardholders_Reference!G:G)</f>
        <v>80000</v>
      </c>
      <c r="N289" s="7" t="str">
        <f>_xlfn.XLOOKUP(B289,Cardholders_Reference!A:A,Cardholders_Reference!D:D)</f>
        <v>Capitec</v>
      </c>
      <c r="O289" s="7" t="str">
        <f>_xlfn.XLOOKUP(B289,Cardholders_Reference!A:A,Cardholders_Reference!E:E)</f>
        <v>Visa</v>
      </c>
      <c r="P289" s="6">
        <f t="shared" si="33"/>
        <v>3.7686375000000001E-2</v>
      </c>
      <c r="Q289">
        <f t="shared" si="28"/>
        <v>0</v>
      </c>
      <c r="R289">
        <f t="shared" si="29"/>
        <v>0</v>
      </c>
      <c r="S289">
        <f>IF(COUNTIFS($B$1:$B$738,B288,$C$1:$C$738,#REF!)&gt;2,1,0)</f>
        <v>0</v>
      </c>
      <c r="T289">
        <f t="shared" si="30"/>
        <v>0</v>
      </c>
      <c r="U289">
        <f t="shared" si="31"/>
        <v>0</v>
      </c>
      <c r="V289">
        <f t="shared" si="32"/>
        <v>1</v>
      </c>
      <c r="W289">
        <f t="shared" si="34"/>
        <v>1</v>
      </c>
      <c r="X289" t="str" cm="1">
        <f t="array" ref="X289">_xlfn.IFS(W289&lt;=1,"Low",W289=2,"Medium",W289&gt;=3,"High")</f>
        <v>Low</v>
      </c>
    </row>
    <row r="290" spans="1:24" x14ac:dyDescent="0.3">
      <c r="A290" t="s">
        <v>641</v>
      </c>
      <c r="B290" t="s">
        <v>631</v>
      </c>
      <c r="C290" s="3">
        <v>46178</v>
      </c>
      <c r="D290" s="8" t="s">
        <v>335</v>
      </c>
      <c r="E290" s="7" t="s">
        <v>94</v>
      </c>
      <c r="F290" s="7" t="s">
        <v>53</v>
      </c>
      <c r="G290" s="7" t="s">
        <v>177</v>
      </c>
      <c r="H290" s="4">
        <v>881.2</v>
      </c>
      <c r="I290" s="7" t="s">
        <v>16</v>
      </c>
      <c r="J290" s="7" t="s">
        <v>17</v>
      </c>
      <c r="L290" t="str">
        <f>PROPER(TRIM(SUBSTITUTE(_xlfn.XLOOKUP(B290,Cardholders_Reference!A:A,Cardholders_Reference!B:B),","," ")))</f>
        <v>Sanele Khumalo</v>
      </c>
      <c r="M290" s="5">
        <f>_xlfn.XLOOKUP(B290,Cardholders_Reference!A:A,Cardholders_Reference!G:G)</f>
        <v>80000</v>
      </c>
      <c r="N290" s="7" t="str">
        <f>_xlfn.XLOOKUP(B290,Cardholders_Reference!A:A,Cardholders_Reference!D:D)</f>
        <v>Capitec</v>
      </c>
      <c r="O290" s="7" t="str">
        <f>_xlfn.XLOOKUP(B290,Cardholders_Reference!A:A,Cardholders_Reference!E:E)</f>
        <v>Visa</v>
      </c>
      <c r="P290" s="6">
        <f t="shared" si="33"/>
        <v>1.1015E-2</v>
      </c>
      <c r="Q290">
        <f t="shared" si="28"/>
        <v>0</v>
      </c>
      <c r="R290">
        <f t="shared" si="29"/>
        <v>0</v>
      </c>
      <c r="S290">
        <f>IF(COUNTIFS($B$1:$B$738,B289,$C$1:$C$738,#REF!)&gt;2,1,0)</f>
        <v>0</v>
      </c>
      <c r="T290">
        <f t="shared" si="30"/>
        <v>0</v>
      </c>
      <c r="U290">
        <f t="shared" si="31"/>
        <v>0</v>
      </c>
      <c r="V290">
        <f t="shared" si="32"/>
        <v>0</v>
      </c>
      <c r="W290">
        <f t="shared" si="34"/>
        <v>0</v>
      </c>
      <c r="X290" t="str" cm="1">
        <f t="array" ref="X290">_xlfn.IFS(W290&lt;=1,"Low",W290=2,"Medium",W290&gt;=3,"High")</f>
        <v>Low</v>
      </c>
    </row>
    <row r="291" spans="1:24" x14ac:dyDescent="0.3">
      <c r="A291" t="s">
        <v>642</v>
      </c>
      <c r="B291" t="s">
        <v>631</v>
      </c>
      <c r="C291" s="3">
        <v>45971</v>
      </c>
      <c r="D291" s="8" t="s">
        <v>643</v>
      </c>
      <c r="E291" s="7" t="s">
        <v>242</v>
      </c>
      <c r="F291" s="7" t="s">
        <v>15</v>
      </c>
      <c r="G291" s="7" t="s">
        <v>177</v>
      </c>
      <c r="H291" s="4">
        <v>208.11</v>
      </c>
      <c r="I291" s="7" t="s">
        <v>16</v>
      </c>
      <c r="J291" s="7" t="s">
        <v>17</v>
      </c>
      <c r="L291" t="str">
        <f>PROPER(TRIM(SUBSTITUTE(_xlfn.XLOOKUP(B291,Cardholders_Reference!A:A,Cardholders_Reference!B:B),","," ")))</f>
        <v>Sanele Khumalo</v>
      </c>
      <c r="M291" s="5">
        <f>_xlfn.XLOOKUP(B291,Cardholders_Reference!A:A,Cardholders_Reference!G:G)</f>
        <v>80000</v>
      </c>
      <c r="N291" s="7" t="str">
        <f>_xlfn.XLOOKUP(B291,Cardholders_Reference!A:A,Cardholders_Reference!D:D)</f>
        <v>Capitec</v>
      </c>
      <c r="O291" s="7" t="str">
        <f>_xlfn.XLOOKUP(B291,Cardholders_Reference!A:A,Cardholders_Reference!E:E)</f>
        <v>Visa</v>
      </c>
      <c r="P291" s="6">
        <f t="shared" si="33"/>
        <v>2.601375E-3</v>
      </c>
      <c r="Q291">
        <f t="shared" si="28"/>
        <v>0</v>
      </c>
      <c r="R291">
        <f t="shared" si="29"/>
        <v>0</v>
      </c>
      <c r="S291">
        <f>IF(COUNTIFS($B$1:$B$738,B290,$C$1:$C$738,#REF!)&gt;2,1,0)</f>
        <v>0</v>
      </c>
      <c r="T291">
        <f t="shared" si="30"/>
        <v>0</v>
      </c>
      <c r="U291">
        <f t="shared" si="31"/>
        <v>0</v>
      </c>
      <c r="V291">
        <f t="shared" si="32"/>
        <v>0</v>
      </c>
      <c r="W291">
        <f t="shared" si="34"/>
        <v>0</v>
      </c>
      <c r="X291" t="str" cm="1">
        <f t="array" ref="X291">_xlfn.IFS(W291&lt;=1,"Low",W291=2,"Medium",W291&gt;=3,"High")</f>
        <v>Low</v>
      </c>
    </row>
    <row r="292" spans="1:24" x14ac:dyDescent="0.3">
      <c r="A292" t="s">
        <v>644</v>
      </c>
      <c r="B292" t="s">
        <v>631</v>
      </c>
      <c r="C292" s="3">
        <v>46175</v>
      </c>
      <c r="D292" s="8" t="s">
        <v>645</v>
      </c>
      <c r="E292" s="7" t="s">
        <v>230</v>
      </c>
      <c r="F292" s="7" t="s">
        <v>81</v>
      </c>
      <c r="G292" s="7" t="s">
        <v>177</v>
      </c>
      <c r="H292" s="4">
        <v>11922.82</v>
      </c>
      <c r="I292" s="7" t="s">
        <v>26</v>
      </c>
      <c r="J292" s="7" t="s">
        <v>17</v>
      </c>
      <c r="L292" t="str">
        <f>PROPER(TRIM(SUBSTITUTE(_xlfn.XLOOKUP(B292,Cardholders_Reference!A:A,Cardholders_Reference!B:B),","," ")))</f>
        <v>Sanele Khumalo</v>
      </c>
      <c r="M292" s="5">
        <f>_xlfn.XLOOKUP(B292,Cardholders_Reference!A:A,Cardholders_Reference!G:G)</f>
        <v>80000</v>
      </c>
      <c r="N292" s="7" t="str">
        <f>_xlfn.XLOOKUP(B292,Cardholders_Reference!A:A,Cardholders_Reference!D:D)</f>
        <v>Capitec</v>
      </c>
      <c r="O292" s="7" t="str">
        <f>_xlfn.XLOOKUP(B292,Cardholders_Reference!A:A,Cardholders_Reference!E:E)</f>
        <v>Visa</v>
      </c>
      <c r="P292" s="6">
        <f t="shared" si="33"/>
        <v>0.14903525000000001</v>
      </c>
      <c r="Q292">
        <f t="shared" si="28"/>
        <v>0</v>
      </c>
      <c r="R292">
        <f t="shared" si="29"/>
        <v>0</v>
      </c>
      <c r="S292">
        <f>IF(COUNTIFS($B$1:$B$738,B291,$C$1:$C$738,#REF!)&gt;2,1,0)</f>
        <v>0</v>
      </c>
      <c r="T292">
        <f t="shared" si="30"/>
        <v>0</v>
      </c>
      <c r="U292">
        <f t="shared" si="31"/>
        <v>0</v>
      </c>
      <c r="V292">
        <f t="shared" si="32"/>
        <v>1</v>
      </c>
      <c r="W292">
        <f t="shared" si="34"/>
        <v>1</v>
      </c>
      <c r="X292" t="str" cm="1">
        <f t="array" ref="X292">_xlfn.IFS(W292&lt;=1,"Low",W292=2,"Medium",W292&gt;=3,"High")</f>
        <v>Low</v>
      </c>
    </row>
    <row r="293" spans="1:24" x14ac:dyDescent="0.3">
      <c r="A293" t="s">
        <v>646</v>
      </c>
      <c r="B293" t="s">
        <v>631</v>
      </c>
      <c r="C293" s="3">
        <v>45711</v>
      </c>
      <c r="D293" s="8" t="s">
        <v>520</v>
      </c>
      <c r="E293" s="7" t="s">
        <v>245</v>
      </c>
      <c r="F293" s="7" t="s">
        <v>48</v>
      </c>
      <c r="G293" s="7" t="s">
        <v>22</v>
      </c>
      <c r="H293" s="4">
        <v>1654.67</v>
      </c>
      <c r="I293" s="7" t="s">
        <v>32</v>
      </c>
      <c r="J293" s="7" t="s">
        <v>17</v>
      </c>
      <c r="L293" t="str">
        <f>PROPER(TRIM(SUBSTITUTE(_xlfn.XLOOKUP(B293,Cardholders_Reference!A:A,Cardholders_Reference!B:B),","," ")))</f>
        <v>Sanele Khumalo</v>
      </c>
      <c r="M293" s="5">
        <f>_xlfn.XLOOKUP(B293,Cardholders_Reference!A:A,Cardholders_Reference!G:G)</f>
        <v>80000</v>
      </c>
      <c r="N293" s="7" t="str">
        <f>_xlfn.XLOOKUP(B293,Cardholders_Reference!A:A,Cardholders_Reference!D:D)</f>
        <v>Capitec</v>
      </c>
      <c r="O293" s="7" t="str">
        <f>_xlfn.XLOOKUP(B293,Cardholders_Reference!A:A,Cardholders_Reference!E:E)</f>
        <v>Visa</v>
      </c>
      <c r="P293" s="6">
        <f t="shared" si="33"/>
        <v>2.0683375E-2</v>
      </c>
      <c r="Q293">
        <f t="shared" si="28"/>
        <v>0</v>
      </c>
      <c r="R293">
        <f t="shared" si="29"/>
        <v>0</v>
      </c>
      <c r="S293">
        <f>IF(COUNTIFS($B$1:$B$738,B292,$C$1:$C$738,#REF!)&gt;2,1,0)</f>
        <v>0</v>
      </c>
      <c r="T293">
        <f t="shared" si="30"/>
        <v>0</v>
      </c>
      <c r="U293">
        <f t="shared" si="31"/>
        <v>0</v>
      </c>
      <c r="V293">
        <f t="shared" si="32"/>
        <v>0</v>
      </c>
      <c r="W293">
        <f t="shared" si="34"/>
        <v>0</v>
      </c>
      <c r="X293" t="str" cm="1">
        <f t="array" ref="X293">_xlfn.IFS(W293&lt;=1,"Low",W293=2,"Medium",W293&gt;=3,"High")</f>
        <v>Low</v>
      </c>
    </row>
    <row r="294" spans="1:24" x14ac:dyDescent="0.3">
      <c r="A294" t="s">
        <v>647</v>
      </c>
      <c r="B294" t="s">
        <v>631</v>
      </c>
      <c r="C294" s="3">
        <v>45817</v>
      </c>
      <c r="D294" s="8" t="s">
        <v>648</v>
      </c>
      <c r="E294" s="7" t="s">
        <v>52</v>
      </c>
      <c r="F294" s="7" t="s">
        <v>53</v>
      </c>
      <c r="G294" s="7" t="s">
        <v>177</v>
      </c>
      <c r="H294" s="4">
        <v>1603.62</v>
      </c>
      <c r="I294" s="7" t="s">
        <v>16</v>
      </c>
      <c r="J294" s="7" t="s">
        <v>41</v>
      </c>
      <c r="L294" t="str">
        <f>PROPER(TRIM(SUBSTITUTE(_xlfn.XLOOKUP(B294,Cardholders_Reference!A:A,Cardholders_Reference!B:B),","," ")))</f>
        <v>Sanele Khumalo</v>
      </c>
      <c r="M294" s="5">
        <f>_xlfn.XLOOKUP(B294,Cardholders_Reference!A:A,Cardholders_Reference!G:G)</f>
        <v>80000</v>
      </c>
      <c r="N294" s="7" t="str">
        <f>_xlfn.XLOOKUP(B294,Cardholders_Reference!A:A,Cardholders_Reference!D:D)</f>
        <v>Capitec</v>
      </c>
      <c r="O294" s="7" t="str">
        <f>_xlfn.XLOOKUP(B294,Cardholders_Reference!A:A,Cardholders_Reference!E:E)</f>
        <v>Visa</v>
      </c>
      <c r="P294" s="6">
        <f t="shared" si="33"/>
        <v>2.0045249999999997E-2</v>
      </c>
      <c r="Q294">
        <f t="shared" si="28"/>
        <v>1</v>
      </c>
      <c r="R294">
        <f t="shared" si="29"/>
        <v>0</v>
      </c>
      <c r="S294">
        <f>IF(COUNTIFS($B$1:$B$738,B293,$C$1:$C$738,#REF!)&gt;2,1,0)</f>
        <v>0</v>
      </c>
      <c r="T294">
        <f t="shared" si="30"/>
        <v>0</v>
      </c>
      <c r="U294">
        <f t="shared" si="31"/>
        <v>0</v>
      </c>
      <c r="V294">
        <f t="shared" si="32"/>
        <v>0</v>
      </c>
      <c r="W294">
        <f t="shared" si="34"/>
        <v>1</v>
      </c>
      <c r="X294" t="str" cm="1">
        <f t="array" ref="X294">_xlfn.IFS(W294&lt;=1,"Low",W294=2,"Medium",W294&gt;=3,"High")</f>
        <v>Low</v>
      </c>
    </row>
    <row r="295" spans="1:24" x14ac:dyDescent="0.3">
      <c r="A295" t="s">
        <v>649</v>
      </c>
      <c r="B295" t="s">
        <v>631</v>
      </c>
      <c r="C295" s="3">
        <v>45849</v>
      </c>
      <c r="D295" s="8" t="s">
        <v>650</v>
      </c>
      <c r="E295" s="7" t="s">
        <v>39</v>
      </c>
      <c r="F295" s="7" t="s">
        <v>40</v>
      </c>
      <c r="G295" s="7" t="s">
        <v>177</v>
      </c>
      <c r="H295" s="4">
        <v>269.47000000000003</v>
      </c>
      <c r="I295" s="7" t="s">
        <v>16</v>
      </c>
      <c r="J295" s="7" t="s">
        <v>17</v>
      </c>
      <c r="L295" t="str">
        <f>PROPER(TRIM(SUBSTITUTE(_xlfn.XLOOKUP(B295,Cardholders_Reference!A:A,Cardholders_Reference!B:B),","," ")))</f>
        <v>Sanele Khumalo</v>
      </c>
      <c r="M295" s="5">
        <f>_xlfn.XLOOKUP(B295,Cardholders_Reference!A:A,Cardholders_Reference!G:G)</f>
        <v>80000</v>
      </c>
      <c r="N295" s="7" t="str">
        <f>_xlfn.XLOOKUP(B295,Cardholders_Reference!A:A,Cardholders_Reference!D:D)</f>
        <v>Capitec</v>
      </c>
      <c r="O295" s="7" t="str">
        <f>_xlfn.XLOOKUP(B295,Cardholders_Reference!A:A,Cardholders_Reference!E:E)</f>
        <v>Visa</v>
      </c>
      <c r="P295" s="6">
        <f t="shared" si="33"/>
        <v>3.3683750000000003E-3</v>
      </c>
      <c r="Q295">
        <f t="shared" si="28"/>
        <v>0</v>
      </c>
      <c r="R295">
        <f t="shared" si="29"/>
        <v>0</v>
      </c>
      <c r="S295">
        <f>IF(COUNTIFS($B$1:$B$738,B294,$C$1:$C$738,#REF!)&gt;2,1,0)</f>
        <v>0</v>
      </c>
      <c r="T295">
        <f t="shared" si="30"/>
        <v>0</v>
      </c>
      <c r="U295">
        <f t="shared" si="31"/>
        <v>0</v>
      </c>
      <c r="V295">
        <f t="shared" si="32"/>
        <v>0</v>
      </c>
      <c r="W295">
        <f t="shared" si="34"/>
        <v>0</v>
      </c>
      <c r="X295" t="str" cm="1">
        <f t="array" ref="X295">_xlfn.IFS(W295&lt;=1,"Low",W295=2,"Medium",W295&gt;=3,"High")</f>
        <v>Low</v>
      </c>
    </row>
    <row r="296" spans="1:24" x14ac:dyDescent="0.3">
      <c r="A296" t="s">
        <v>651</v>
      </c>
      <c r="B296" t="s">
        <v>631</v>
      </c>
      <c r="C296" s="3">
        <v>46483</v>
      </c>
      <c r="D296" s="8" t="s">
        <v>652</v>
      </c>
      <c r="E296" s="7" t="s">
        <v>94</v>
      </c>
      <c r="F296" s="7" t="s">
        <v>53</v>
      </c>
      <c r="G296" s="7" t="s">
        <v>192</v>
      </c>
      <c r="H296" s="4">
        <v>1355.11</v>
      </c>
      <c r="I296" s="7" t="s">
        <v>32</v>
      </c>
      <c r="J296" s="7" t="s">
        <v>17</v>
      </c>
      <c r="L296" t="str">
        <f>PROPER(TRIM(SUBSTITUTE(_xlfn.XLOOKUP(B296,Cardholders_Reference!A:A,Cardholders_Reference!B:B),","," ")))</f>
        <v>Sanele Khumalo</v>
      </c>
      <c r="M296" s="5">
        <f>_xlfn.XLOOKUP(B296,Cardholders_Reference!A:A,Cardholders_Reference!G:G)</f>
        <v>80000</v>
      </c>
      <c r="N296" s="7" t="str">
        <f>_xlfn.XLOOKUP(B296,Cardholders_Reference!A:A,Cardholders_Reference!D:D)</f>
        <v>Capitec</v>
      </c>
      <c r="O296" s="7" t="str">
        <f>_xlfn.XLOOKUP(B296,Cardholders_Reference!A:A,Cardholders_Reference!E:E)</f>
        <v>Visa</v>
      </c>
      <c r="P296" s="6">
        <f t="shared" si="33"/>
        <v>1.6938874999999999E-2</v>
      </c>
      <c r="Q296">
        <f t="shared" si="28"/>
        <v>0</v>
      </c>
      <c r="R296">
        <f t="shared" si="29"/>
        <v>0</v>
      </c>
      <c r="S296">
        <f>IF(COUNTIFS($B$1:$B$738,B295,$C$1:$C$738,#REF!)&gt;2,1,0)</f>
        <v>0</v>
      </c>
      <c r="T296">
        <f t="shared" si="30"/>
        <v>0</v>
      </c>
      <c r="U296">
        <f t="shared" si="31"/>
        <v>0</v>
      </c>
      <c r="V296">
        <f t="shared" si="32"/>
        <v>0</v>
      </c>
      <c r="W296">
        <f t="shared" si="34"/>
        <v>0</v>
      </c>
      <c r="X296" t="str" cm="1">
        <f t="array" ref="X296">_xlfn.IFS(W296&lt;=1,"Low",W296=2,"Medium",W296&gt;=3,"High")</f>
        <v>Low</v>
      </c>
    </row>
    <row r="297" spans="1:24" x14ac:dyDescent="0.3">
      <c r="A297" t="s">
        <v>653</v>
      </c>
      <c r="B297" t="s">
        <v>631</v>
      </c>
      <c r="C297" s="3">
        <v>45726</v>
      </c>
      <c r="D297" s="8" t="s">
        <v>654</v>
      </c>
      <c r="E297" s="7" t="s">
        <v>52</v>
      </c>
      <c r="F297" s="7" t="s">
        <v>53</v>
      </c>
      <c r="G297" s="7" t="s">
        <v>177</v>
      </c>
      <c r="H297" s="4">
        <v>1378.12</v>
      </c>
      <c r="I297" s="7" t="s">
        <v>95</v>
      </c>
      <c r="J297" s="7" t="s">
        <v>17</v>
      </c>
      <c r="L297" t="str">
        <f>PROPER(TRIM(SUBSTITUTE(_xlfn.XLOOKUP(B297,Cardholders_Reference!A:A,Cardholders_Reference!B:B),","," ")))</f>
        <v>Sanele Khumalo</v>
      </c>
      <c r="M297" s="5">
        <f>_xlfn.XLOOKUP(B297,Cardholders_Reference!A:A,Cardholders_Reference!G:G)</f>
        <v>80000</v>
      </c>
      <c r="N297" s="7" t="str">
        <f>_xlfn.XLOOKUP(B297,Cardholders_Reference!A:A,Cardholders_Reference!D:D)</f>
        <v>Capitec</v>
      </c>
      <c r="O297" s="7" t="str">
        <f>_xlfn.XLOOKUP(B297,Cardholders_Reference!A:A,Cardholders_Reference!E:E)</f>
        <v>Visa</v>
      </c>
      <c r="P297" s="6">
        <f t="shared" si="33"/>
        <v>1.7226499999999999E-2</v>
      </c>
      <c r="Q297">
        <f t="shared" si="28"/>
        <v>1</v>
      </c>
      <c r="R297">
        <f t="shared" si="29"/>
        <v>0</v>
      </c>
      <c r="S297">
        <f>IF(COUNTIFS($B$1:$B$738,B296,$C$1:$C$738,#REF!)&gt;2,1,0)</f>
        <v>0</v>
      </c>
      <c r="T297">
        <f t="shared" si="30"/>
        <v>0</v>
      </c>
      <c r="U297">
        <f t="shared" si="31"/>
        <v>0</v>
      </c>
      <c r="V297">
        <f t="shared" si="32"/>
        <v>1</v>
      </c>
      <c r="W297">
        <f t="shared" si="34"/>
        <v>2</v>
      </c>
      <c r="X297" t="str" cm="1">
        <f t="array" ref="X297">_xlfn.IFS(W297&lt;=1,"Low",W297=2,"Medium",W297&gt;=3,"High")</f>
        <v>Medium</v>
      </c>
    </row>
    <row r="298" spans="1:24" x14ac:dyDescent="0.3">
      <c r="A298" t="s">
        <v>655</v>
      </c>
      <c r="B298" t="s">
        <v>631</v>
      </c>
      <c r="C298" s="3">
        <v>45768</v>
      </c>
      <c r="D298" s="8" t="s">
        <v>656</v>
      </c>
      <c r="E298" s="7" t="s">
        <v>230</v>
      </c>
      <c r="F298" s="7" t="s">
        <v>81</v>
      </c>
      <c r="G298" s="7" t="s">
        <v>177</v>
      </c>
      <c r="H298" s="4">
        <v>5013.57</v>
      </c>
      <c r="I298" s="7" t="s">
        <v>32</v>
      </c>
      <c r="J298" s="7" t="s">
        <v>17</v>
      </c>
      <c r="L298" t="str">
        <f>PROPER(TRIM(SUBSTITUTE(_xlfn.XLOOKUP(B298,Cardholders_Reference!A:A,Cardholders_Reference!B:B),","," ")))</f>
        <v>Sanele Khumalo</v>
      </c>
      <c r="M298" s="5">
        <f>_xlfn.XLOOKUP(B298,Cardholders_Reference!A:A,Cardholders_Reference!G:G)</f>
        <v>80000</v>
      </c>
      <c r="N298" s="7" t="str">
        <f>_xlfn.XLOOKUP(B298,Cardholders_Reference!A:A,Cardholders_Reference!D:D)</f>
        <v>Capitec</v>
      </c>
      <c r="O298" s="7" t="str">
        <f>_xlfn.XLOOKUP(B298,Cardholders_Reference!A:A,Cardholders_Reference!E:E)</f>
        <v>Visa</v>
      </c>
      <c r="P298" s="6">
        <f t="shared" si="33"/>
        <v>6.2669624999999993E-2</v>
      </c>
      <c r="Q298">
        <f t="shared" si="28"/>
        <v>0</v>
      </c>
      <c r="R298">
        <f t="shared" si="29"/>
        <v>0</v>
      </c>
      <c r="S298">
        <f>IF(COUNTIFS($B$1:$B$738,B297,$C$1:$C$738,#REF!)&gt;2,1,0)</f>
        <v>0</v>
      </c>
      <c r="T298">
        <f t="shared" si="30"/>
        <v>0</v>
      </c>
      <c r="U298">
        <f t="shared" si="31"/>
        <v>0</v>
      </c>
      <c r="V298">
        <f t="shared" si="32"/>
        <v>0</v>
      </c>
      <c r="W298">
        <f t="shared" si="34"/>
        <v>0</v>
      </c>
      <c r="X298" t="str" cm="1">
        <f t="array" ref="X298">_xlfn.IFS(W298&lt;=1,"Low",W298=2,"Medium",W298&gt;=3,"High")</f>
        <v>Low</v>
      </c>
    </row>
    <row r="299" spans="1:24" x14ac:dyDescent="0.3">
      <c r="A299" t="s">
        <v>657</v>
      </c>
      <c r="B299" t="s">
        <v>658</v>
      </c>
      <c r="C299" s="3">
        <v>45712</v>
      </c>
      <c r="D299" s="8" t="s">
        <v>638</v>
      </c>
      <c r="E299" s="7" t="s">
        <v>87</v>
      </c>
      <c r="F299" s="7" t="s">
        <v>48</v>
      </c>
      <c r="G299" s="7" t="s">
        <v>108</v>
      </c>
      <c r="H299" s="4">
        <v>1087.22</v>
      </c>
      <c r="I299" s="7" t="s">
        <v>16</v>
      </c>
      <c r="J299" s="7" t="s">
        <v>17</v>
      </c>
      <c r="L299" t="str">
        <f>PROPER(TRIM(SUBSTITUTE(_xlfn.XLOOKUP(B299,Cardholders_Reference!A:A,Cardholders_Reference!B:B),","," ")))</f>
        <v>Precious Adams</v>
      </c>
      <c r="M299" s="5">
        <f>_xlfn.XLOOKUP(B299,Cardholders_Reference!A:A,Cardholders_Reference!G:G)</f>
        <v>20000</v>
      </c>
      <c r="N299" s="7" t="str">
        <f>_xlfn.XLOOKUP(B299,Cardholders_Reference!A:A,Cardholders_Reference!D:D)</f>
        <v>Capitec</v>
      </c>
      <c r="O299" s="7" t="str">
        <f>_xlfn.XLOOKUP(B299,Cardholders_Reference!A:A,Cardholders_Reference!E:E)</f>
        <v>Visa</v>
      </c>
      <c r="P299" s="6">
        <f t="shared" si="33"/>
        <v>5.4361E-2</v>
      </c>
      <c r="Q299">
        <f t="shared" si="28"/>
        <v>0</v>
      </c>
      <c r="R299">
        <f t="shared" si="29"/>
        <v>0</v>
      </c>
      <c r="S299">
        <f>IF(COUNTIFS($B$1:$B$738,B298,$C$1:$C$738,#REF!)&gt;2,1,0)</f>
        <v>0</v>
      </c>
      <c r="T299">
        <f t="shared" si="30"/>
        <v>0</v>
      </c>
      <c r="U299">
        <f t="shared" si="31"/>
        <v>0</v>
      </c>
      <c r="V299">
        <f t="shared" si="32"/>
        <v>0</v>
      </c>
      <c r="W299">
        <f t="shared" si="34"/>
        <v>0</v>
      </c>
      <c r="X299" t="str" cm="1">
        <f t="array" ref="X299">_xlfn.IFS(W299&lt;=1,"Low",W299=2,"Medium",W299&gt;=3,"High")</f>
        <v>Low</v>
      </c>
    </row>
    <row r="300" spans="1:24" x14ac:dyDescent="0.3">
      <c r="A300" t="s">
        <v>659</v>
      </c>
      <c r="B300" t="s">
        <v>658</v>
      </c>
      <c r="C300" s="3">
        <v>46098</v>
      </c>
      <c r="D300" s="8" t="s">
        <v>660</v>
      </c>
      <c r="E300" s="7" t="s">
        <v>70</v>
      </c>
      <c r="F300" s="7" t="s">
        <v>36</v>
      </c>
      <c r="G300" s="7" t="s">
        <v>108</v>
      </c>
      <c r="H300" s="4">
        <v>414.94</v>
      </c>
      <c r="I300" s="7" t="s">
        <v>95</v>
      </c>
      <c r="J300" s="7" t="s">
        <v>17</v>
      </c>
      <c r="L300" t="str">
        <f>PROPER(TRIM(SUBSTITUTE(_xlfn.XLOOKUP(B300,Cardholders_Reference!A:A,Cardholders_Reference!B:B),","," ")))</f>
        <v>Precious Adams</v>
      </c>
      <c r="M300" s="5">
        <f>_xlfn.XLOOKUP(B300,Cardholders_Reference!A:A,Cardholders_Reference!G:G)</f>
        <v>20000</v>
      </c>
      <c r="N300" s="7" t="str">
        <f>_xlfn.XLOOKUP(B300,Cardholders_Reference!A:A,Cardholders_Reference!D:D)</f>
        <v>Capitec</v>
      </c>
      <c r="O300" s="7" t="str">
        <f>_xlfn.XLOOKUP(B300,Cardholders_Reference!A:A,Cardholders_Reference!E:E)</f>
        <v>Visa</v>
      </c>
      <c r="P300" s="6">
        <f t="shared" si="33"/>
        <v>2.0747000000000002E-2</v>
      </c>
      <c r="Q300">
        <f t="shared" si="28"/>
        <v>0</v>
      </c>
      <c r="R300">
        <f t="shared" si="29"/>
        <v>0</v>
      </c>
      <c r="S300">
        <f>IF(COUNTIFS($B$1:$B$738,B299,$C$1:$C$738,#REF!)&gt;2,1,0)</f>
        <v>0</v>
      </c>
      <c r="T300">
        <f t="shared" si="30"/>
        <v>0</v>
      </c>
      <c r="U300">
        <f t="shared" si="31"/>
        <v>0</v>
      </c>
      <c r="V300">
        <f t="shared" si="32"/>
        <v>1</v>
      </c>
      <c r="W300">
        <f t="shared" si="34"/>
        <v>1</v>
      </c>
      <c r="X300" t="str" cm="1">
        <f t="array" ref="X300">_xlfn.IFS(W300&lt;=1,"Low",W300=2,"Medium",W300&gt;=3,"High")</f>
        <v>Low</v>
      </c>
    </row>
    <row r="301" spans="1:24" x14ac:dyDescent="0.3">
      <c r="A301" t="s">
        <v>661</v>
      </c>
      <c r="B301" t="s">
        <v>658</v>
      </c>
      <c r="C301" s="3">
        <v>45667</v>
      </c>
      <c r="D301" s="8" t="s">
        <v>662</v>
      </c>
      <c r="E301" s="7" t="s">
        <v>331</v>
      </c>
      <c r="F301" s="7" t="s">
        <v>40</v>
      </c>
      <c r="G301" s="7" t="s">
        <v>118</v>
      </c>
      <c r="H301" s="4">
        <v>354.69</v>
      </c>
      <c r="I301" s="7" t="s">
        <v>95</v>
      </c>
      <c r="J301" s="7" t="s">
        <v>17</v>
      </c>
      <c r="L301" t="str">
        <f>PROPER(TRIM(SUBSTITUTE(_xlfn.XLOOKUP(B301,Cardholders_Reference!A:A,Cardholders_Reference!B:B),","," ")))</f>
        <v>Precious Adams</v>
      </c>
      <c r="M301" s="5">
        <f>_xlfn.XLOOKUP(B301,Cardholders_Reference!A:A,Cardholders_Reference!G:G)</f>
        <v>20000</v>
      </c>
      <c r="N301" s="7" t="str">
        <f>_xlfn.XLOOKUP(B301,Cardholders_Reference!A:A,Cardholders_Reference!D:D)</f>
        <v>Capitec</v>
      </c>
      <c r="O301" s="7" t="str">
        <f>_xlfn.XLOOKUP(B301,Cardholders_Reference!A:A,Cardholders_Reference!E:E)</f>
        <v>Visa</v>
      </c>
      <c r="P301" s="6">
        <f t="shared" si="33"/>
        <v>1.77345E-2</v>
      </c>
      <c r="Q301">
        <f t="shared" si="28"/>
        <v>0</v>
      </c>
      <c r="R301">
        <f t="shared" si="29"/>
        <v>0</v>
      </c>
      <c r="S301">
        <f>IF(COUNTIFS($B$1:$B$738,B300,$C$1:$C$738,#REF!)&gt;2,1,0)</f>
        <v>0</v>
      </c>
      <c r="T301">
        <f t="shared" si="30"/>
        <v>0</v>
      </c>
      <c r="U301">
        <f t="shared" si="31"/>
        <v>0</v>
      </c>
      <c r="V301">
        <f t="shared" si="32"/>
        <v>1</v>
      </c>
      <c r="W301">
        <f t="shared" si="34"/>
        <v>1</v>
      </c>
      <c r="X301" t="str" cm="1">
        <f t="array" ref="X301">_xlfn.IFS(W301&lt;=1,"Low",W301=2,"Medium",W301&gt;=3,"High")</f>
        <v>Low</v>
      </c>
    </row>
    <row r="302" spans="1:24" x14ac:dyDescent="0.3">
      <c r="A302" t="s">
        <v>663</v>
      </c>
      <c r="B302" t="s">
        <v>658</v>
      </c>
      <c r="C302" s="3">
        <v>45714</v>
      </c>
      <c r="D302" s="8" t="s">
        <v>664</v>
      </c>
      <c r="E302" s="7" t="s">
        <v>377</v>
      </c>
      <c r="F302" s="7" t="s">
        <v>74</v>
      </c>
      <c r="G302" s="7" t="s">
        <v>192</v>
      </c>
      <c r="H302" s="4">
        <v>455.72</v>
      </c>
      <c r="I302" s="7" t="s">
        <v>95</v>
      </c>
      <c r="J302" s="7" t="s">
        <v>17</v>
      </c>
      <c r="K302" t="s">
        <v>141</v>
      </c>
      <c r="L302" t="str">
        <f>PROPER(TRIM(SUBSTITUTE(_xlfn.XLOOKUP(B302,Cardholders_Reference!A:A,Cardholders_Reference!B:B),","," ")))</f>
        <v>Precious Adams</v>
      </c>
      <c r="M302" s="5">
        <f>_xlfn.XLOOKUP(B302,Cardholders_Reference!A:A,Cardholders_Reference!G:G)</f>
        <v>20000</v>
      </c>
      <c r="N302" s="7" t="str">
        <f>_xlfn.XLOOKUP(B302,Cardholders_Reference!A:A,Cardholders_Reference!D:D)</f>
        <v>Capitec</v>
      </c>
      <c r="O302" s="7" t="str">
        <f>_xlfn.XLOOKUP(B302,Cardholders_Reference!A:A,Cardholders_Reference!E:E)</f>
        <v>Visa</v>
      </c>
      <c r="P302" s="6">
        <f t="shared" si="33"/>
        <v>2.2786000000000001E-2</v>
      </c>
      <c r="Q302">
        <f t="shared" si="28"/>
        <v>1</v>
      </c>
      <c r="R302">
        <f t="shared" si="29"/>
        <v>0</v>
      </c>
      <c r="S302">
        <f>IF(COUNTIFS($B$1:$B$738,B301,$C$1:$C$738,#REF!)&gt;2,1,0)</f>
        <v>0</v>
      </c>
      <c r="T302">
        <f t="shared" si="30"/>
        <v>0</v>
      </c>
      <c r="U302">
        <f t="shared" si="31"/>
        <v>0</v>
      </c>
      <c r="V302">
        <f t="shared" si="32"/>
        <v>1</v>
      </c>
      <c r="W302">
        <f t="shared" si="34"/>
        <v>2</v>
      </c>
      <c r="X302" t="str" cm="1">
        <f t="array" ref="X302">_xlfn.IFS(W302&lt;=1,"Low",W302=2,"Medium",W302&gt;=3,"High")</f>
        <v>Medium</v>
      </c>
    </row>
    <row r="303" spans="1:24" x14ac:dyDescent="0.3">
      <c r="A303" t="s">
        <v>665</v>
      </c>
      <c r="B303" t="s">
        <v>658</v>
      </c>
      <c r="C303" s="3">
        <v>46191</v>
      </c>
      <c r="D303" s="8" t="s">
        <v>666</v>
      </c>
      <c r="E303" s="7" t="s">
        <v>57</v>
      </c>
      <c r="F303" s="7" t="s">
        <v>36</v>
      </c>
      <c r="G303" s="7" t="s">
        <v>108</v>
      </c>
      <c r="H303" s="4">
        <v>207.18</v>
      </c>
      <c r="I303" s="7" t="s">
        <v>95</v>
      </c>
      <c r="J303" s="7" t="s">
        <v>41</v>
      </c>
      <c r="L303" t="str">
        <f>PROPER(TRIM(SUBSTITUTE(_xlfn.XLOOKUP(B303,Cardholders_Reference!A:A,Cardholders_Reference!B:B),","," ")))</f>
        <v>Precious Adams</v>
      </c>
      <c r="M303" s="5">
        <f>_xlfn.XLOOKUP(B303,Cardholders_Reference!A:A,Cardholders_Reference!G:G)</f>
        <v>20000</v>
      </c>
      <c r="N303" s="7" t="str">
        <f>_xlfn.XLOOKUP(B303,Cardholders_Reference!A:A,Cardholders_Reference!D:D)</f>
        <v>Capitec</v>
      </c>
      <c r="O303" s="7" t="str">
        <f>_xlfn.XLOOKUP(B303,Cardholders_Reference!A:A,Cardholders_Reference!E:E)</f>
        <v>Visa</v>
      </c>
      <c r="P303" s="6">
        <f t="shared" si="33"/>
        <v>1.0359E-2</v>
      </c>
      <c r="Q303">
        <f t="shared" si="28"/>
        <v>1</v>
      </c>
      <c r="R303">
        <f t="shared" si="29"/>
        <v>0</v>
      </c>
      <c r="S303">
        <f>IF(COUNTIFS($B$1:$B$738,B302,$C$1:$C$738,#REF!)&gt;2,1,0)</f>
        <v>0</v>
      </c>
      <c r="T303">
        <f t="shared" si="30"/>
        <v>0</v>
      </c>
      <c r="U303">
        <f t="shared" si="31"/>
        <v>0</v>
      </c>
      <c r="V303">
        <f t="shared" si="32"/>
        <v>1</v>
      </c>
      <c r="W303">
        <f t="shared" si="34"/>
        <v>2</v>
      </c>
      <c r="X303" t="str" cm="1">
        <f t="array" ref="X303">_xlfn.IFS(W303&lt;=1,"Low",W303=2,"Medium",W303&gt;=3,"High")</f>
        <v>Medium</v>
      </c>
    </row>
    <row r="304" spans="1:24" x14ac:dyDescent="0.3">
      <c r="A304" t="s">
        <v>667</v>
      </c>
      <c r="B304" t="s">
        <v>658</v>
      </c>
      <c r="C304" s="3">
        <v>45907</v>
      </c>
      <c r="D304" s="8" t="s">
        <v>1439</v>
      </c>
      <c r="E304" s="7" t="s">
        <v>14</v>
      </c>
      <c r="F304" s="7" t="s">
        <v>15</v>
      </c>
      <c r="G304" s="7" t="s">
        <v>22</v>
      </c>
      <c r="H304" s="4">
        <v>1818.98</v>
      </c>
      <c r="I304" s="7" t="s">
        <v>26</v>
      </c>
      <c r="J304" s="7" t="s">
        <v>17</v>
      </c>
      <c r="L304" t="str">
        <f>PROPER(TRIM(SUBSTITUTE(_xlfn.XLOOKUP(B304,Cardholders_Reference!A:A,Cardholders_Reference!B:B),","," ")))</f>
        <v>Precious Adams</v>
      </c>
      <c r="M304" s="5">
        <f>_xlfn.XLOOKUP(B304,Cardholders_Reference!A:A,Cardholders_Reference!G:G)</f>
        <v>20000</v>
      </c>
      <c r="N304" s="7" t="str">
        <f>_xlfn.XLOOKUP(B304,Cardholders_Reference!A:A,Cardholders_Reference!D:D)</f>
        <v>Capitec</v>
      </c>
      <c r="O304" s="7" t="str">
        <f>_xlfn.XLOOKUP(B304,Cardholders_Reference!A:A,Cardholders_Reference!E:E)</f>
        <v>Visa</v>
      </c>
      <c r="P304" s="6">
        <f t="shared" si="33"/>
        <v>9.0949000000000002E-2</v>
      </c>
      <c r="Q304">
        <f t="shared" si="28"/>
        <v>0</v>
      </c>
      <c r="R304">
        <f t="shared" si="29"/>
        <v>1</v>
      </c>
      <c r="S304">
        <f>IF(COUNTIFS($B$1:$B$738,B303,$C$1:$C$738,#REF!)&gt;2,1,0)</f>
        <v>0</v>
      </c>
      <c r="T304">
        <f t="shared" si="30"/>
        <v>0</v>
      </c>
      <c r="U304">
        <f t="shared" si="31"/>
        <v>0</v>
      </c>
      <c r="V304">
        <f t="shared" si="32"/>
        <v>1</v>
      </c>
      <c r="W304">
        <f t="shared" si="34"/>
        <v>2</v>
      </c>
      <c r="X304" t="str" cm="1">
        <f t="array" ref="X304">_xlfn.IFS(W304&lt;=1,"Low",W304=2,"Medium",W304&gt;=3,"High")</f>
        <v>Medium</v>
      </c>
    </row>
    <row r="305" spans="1:24" x14ac:dyDescent="0.3">
      <c r="A305" t="s">
        <v>668</v>
      </c>
      <c r="B305" t="s">
        <v>658</v>
      </c>
      <c r="C305" s="3">
        <v>45812</v>
      </c>
      <c r="D305" s="8" t="s">
        <v>669</v>
      </c>
      <c r="E305" s="7" t="s">
        <v>39</v>
      </c>
      <c r="F305" s="7" t="s">
        <v>40</v>
      </c>
      <c r="G305" s="7" t="s">
        <v>108</v>
      </c>
      <c r="H305" s="4">
        <v>455.55</v>
      </c>
      <c r="I305" s="7" t="s">
        <v>95</v>
      </c>
      <c r="J305" s="7" t="s">
        <v>17</v>
      </c>
      <c r="K305" t="s">
        <v>183</v>
      </c>
      <c r="L305" t="str">
        <f>PROPER(TRIM(SUBSTITUTE(_xlfn.XLOOKUP(B305,Cardholders_Reference!A:A,Cardholders_Reference!B:B),","," ")))</f>
        <v>Precious Adams</v>
      </c>
      <c r="M305" s="5">
        <f>_xlfn.XLOOKUP(B305,Cardholders_Reference!A:A,Cardholders_Reference!G:G)</f>
        <v>20000</v>
      </c>
      <c r="N305" s="7" t="str">
        <f>_xlfn.XLOOKUP(B305,Cardholders_Reference!A:A,Cardholders_Reference!D:D)</f>
        <v>Capitec</v>
      </c>
      <c r="O305" s="7" t="str">
        <f>_xlfn.XLOOKUP(B305,Cardholders_Reference!A:A,Cardholders_Reference!E:E)</f>
        <v>Visa</v>
      </c>
      <c r="P305" s="6">
        <f t="shared" si="33"/>
        <v>2.2777499999999999E-2</v>
      </c>
      <c r="Q305">
        <f t="shared" si="28"/>
        <v>1</v>
      </c>
      <c r="R305">
        <f t="shared" si="29"/>
        <v>0</v>
      </c>
      <c r="S305">
        <f>IF(COUNTIFS($B$1:$B$738,B304,$C$1:$C$738,#REF!)&gt;2,1,0)</f>
        <v>0</v>
      </c>
      <c r="T305">
        <f t="shared" si="30"/>
        <v>0</v>
      </c>
      <c r="U305">
        <f t="shared" si="31"/>
        <v>0</v>
      </c>
      <c r="V305">
        <f t="shared" si="32"/>
        <v>1</v>
      </c>
      <c r="W305">
        <f t="shared" si="34"/>
        <v>2</v>
      </c>
      <c r="X305" t="str" cm="1">
        <f t="array" ref="X305">_xlfn.IFS(W305&lt;=1,"Low",W305=2,"Medium",W305&gt;=3,"High")</f>
        <v>Medium</v>
      </c>
    </row>
    <row r="306" spans="1:24" x14ac:dyDescent="0.3">
      <c r="A306" t="s">
        <v>670</v>
      </c>
      <c r="B306" t="s">
        <v>658</v>
      </c>
      <c r="C306" s="3">
        <v>46040</v>
      </c>
      <c r="D306" s="8" t="s">
        <v>671</v>
      </c>
      <c r="E306" s="7" t="s">
        <v>73</v>
      </c>
      <c r="F306" s="7" t="s">
        <v>74</v>
      </c>
      <c r="G306" s="7" t="s">
        <v>108</v>
      </c>
      <c r="H306" s="4">
        <v>600.21</v>
      </c>
      <c r="I306" s="7" t="s">
        <v>16</v>
      </c>
      <c r="J306" s="7" t="s">
        <v>17</v>
      </c>
      <c r="L306" t="str">
        <f>PROPER(TRIM(SUBSTITUTE(_xlfn.XLOOKUP(B306,Cardholders_Reference!A:A,Cardholders_Reference!B:B),","," ")))</f>
        <v>Precious Adams</v>
      </c>
      <c r="M306" s="5">
        <f>_xlfn.XLOOKUP(B306,Cardholders_Reference!A:A,Cardholders_Reference!G:G)</f>
        <v>20000</v>
      </c>
      <c r="N306" s="7" t="str">
        <f>_xlfn.XLOOKUP(B306,Cardholders_Reference!A:A,Cardholders_Reference!D:D)</f>
        <v>Capitec</v>
      </c>
      <c r="O306" s="7" t="str">
        <f>_xlfn.XLOOKUP(B306,Cardholders_Reference!A:A,Cardholders_Reference!E:E)</f>
        <v>Visa</v>
      </c>
      <c r="P306" s="6">
        <f t="shared" si="33"/>
        <v>3.0010500000000002E-2</v>
      </c>
      <c r="Q306">
        <f t="shared" si="28"/>
        <v>0</v>
      </c>
      <c r="R306">
        <f t="shared" si="29"/>
        <v>0</v>
      </c>
      <c r="S306">
        <f>IF(COUNTIFS($B$1:$B$738,B305,$C$1:$C$738,#REF!)&gt;2,1,0)</f>
        <v>0</v>
      </c>
      <c r="T306">
        <f t="shared" si="30"/>
        <v>0</v>
      </c>
      <c r="U306">
        <f t="shared" si="31"/>
        <v>0</v>
      </c>
      <c r="V306">
        <f t="shared" si="32"/>
        <v>0</v>
      </c>
      <c r="W306">
        <f t="shared" si="34"/>
        <v>0</v>
      </c>
      <c r="X306" t="str" cm="1">
        <f t="array" ref="X306">_xlfn.IFS(W306&lt;=1,"Low",W306=2,"Medium",W306&gt;=3,"High")</f>
        <v>Low</v>
      </c>
    </row>
    <row r="307" spans="1:24" x14ac:dyDescent="0.3">
      <c r="A307" t="s">
        <v>672</v>
      </c>
      <c r="B307" t="s">
        <v>658</v>
      </c>
      <c r="C307" s="3">
        <v>46084</v>
      </c>
      <c r="D307" s="8" t="s">
        <v>673</v>
      </c>
      <c r="E307" s="7" t="s">
        <v>137</v>
      </c>
      <c r="F307" s="7" t="s">
        <v>40</v>
      </c>
      <c r="G307" s="7" t="s">
        <v>108</v>
      </c>
      <c r="H307" s="4">
        <v>281.52999999999997</v>
      </c>
      <c r="I307" s="7" t="s">
        <v>95</v>
      </c>
      <c r="J307" s="7" t="s">
        <v>17</v>
      </c>
      <c r="L307" t="str">
        <f>PROPER(TRIM(SUBSTITUTE(_xlfn.XLOOKUP(B307,Cardholders_Reference!A:A,Cardholders_Reference!B:B),","," ")))</f>
        <v>Precious Adams</v>
      </c>
      <c r="M307" s="5">
        <f>_xlfn.XLOOKUP(B307,Cardholders_Reference!A:A,Cardholders_Reference!G:G)</f>
        <v>20000</v>
      </c>
      <c r="N307" s="7" t="str">
        <f>_xlfn.XLOOKUP(B307,Cardholders_Reference!A:A,Cardholders_Reference!D:D)</f>
        <v>Capitec</v>
      </c>
      <c r="O307" s="7" t="str">
        <f>_xlfn.XLOOKUP(B307,Cardholders_Reference!A:A,Cardholders_Reference!E:E)</f>
        <v>Visa</v>
      </c>
      <c r="P307" s="6">
        <f t="shared" si="33"/>
        <v>1.4076499999999999E-2</v>
      </c>
      <c r="Q307">
        <f t="shared" si="28"/>
        <v>0</v>
      </c>
      <c r="R307">
        <f t="shared" si="29"/>
        <v>0</v>
      </c>
      <c r="S307">
        <f>IF(COUNTIFS($B$1:$B$738,B306,$C$1:$C$738,#REF!)&gt;2,1,0)</f>
        <v>0</v>
      </c>
      <c r="T307">
        <f t="shared" si="30"/>
        <v>0</v>
      </c>
      <c r="U307">
        <f t="shared" si="31"/>
        <v>0</v>
      </c>
      <c r="V307">
        <f t="shared" si="32"/>
        <v>1</v>
      </c>
      <c r="W307">
        <f t="shared" si="34"/>
        <v>1</v>
      </c>
      <c r="X307" t="str" cm="1">
        <f t="array" ref="X307">_xlfn.IFS(W307&lt;=1,"Low",W307=2,"Medium",W307&gt;=3,"High")</f>
        <v>Low</v>
      </c>
    </row>
    <row r="308" spans="1:24" x14ac:dyDescent="0.3">
      <c r="A308" t="s">
        <v>674</v>
      </c>
      <c r="B308" t="s">
        <v>658</v>
      </c>
      <c r="C308" s="3">
        <v>46296</v>
      </c>
      <c r="D308" s="8" t="s">
        <v>675</v>
      </c>
      <c r="E308" s="7" t="s">
        <v>90</v>
      </c>
      <c r="F308" s="7" t="s">
        <v>91</v>
      </c>
      <c r="G308" s="7" t="s">
        <v>108</v>
      </c>
      <c r="H308" s="4">
        <v>3249.26</v>
      </c>
      <c r="I308" s="7" t="s">
        <v>95</v>
      </c>
      <c r="J308" s="7" t="s">
        <v>17</v>
      </c>
      <c r="L308" t="str">
        <f>PROPER(TRIM(SUBSTITUTE(_xlfn.XLOOKUP(B308,Cardholders_Reference!A:A,Cardholders_Reference!B:B),","," ")))</f>
        <v>Precious Adams</v>
      </c>
      <c r="M308" s="5">
        <f>_xlfn.XLOOKUP(B308,Cardholders_Reference!A:A,Cardholders_Reference!G:G)</f>
        <v>20000</v>
      </c>
      <c r="N308" s="7" t="str">
        <f>_xlfn.XLOOKUP(B308,Cardholders_Reference!A:A,Cardholders_Reference!D:D)</f>
        <v>Capitec</v>
      </c>
      <c r="O308" s="7" t="str">
        <f>_xlfn.XLOOKUP(B308,Cardholders_Reference!A:A,Cardholders_Reference!E:E)</f>
        <v>Visa</v>
      </c>
      <c r="P308" s="6">
        <f t="shared" si="33"/>
        <v>0.16246300000000002</v>
      </c>
      <c r="Q308">
        <f t="shared" si="28"/>
        <v>0</v>
      </c>
      <c r="R308">
        <f t="shared" si="29"/>
        <v>0</v>
      </c>
      <c r="S308">
        <f>IF(COUNTIFS($B$1:$B$738,B307,$C$1:$C$738,#REF!)&gt;2,1,0)</f>
        <v>0</v>
      </c>
      <c r="T308">
        <f t="shared" si="30"/>
        <v>0</v>
      </c>
      <c r="U308">
        <f t="shared" si="31"/>
        <v>0</v>
      </c>
      <c r="V308">
        <f t="shared" si="32"/>
        <v>1</v>
      </c>
      <c r="W308">
        <f t="shared" si="34"/>
        <v>1</v>
      </c>
      <c r="X308" t="str" cm="1">
        <f t="array" ref="X308">_xlfn.IFS(W308&lt;=1,"Low",W308=2,"Medium",W308&gt;=3,"High")</f>
        <v>Low</v>
      </c>
    </row>
    <row r="309" spans="1:24" x14ac:dyDescent="0.3">
      <c r="A309" t="s">
        <v>676</v>
      </c>
      <c r="B309" t="s">
        <v>658</v>
      </c>
      <c r="C309" s="3">
        <v>45992</v>
      </c>
      <c r="D309" s="8" t="s">
        <v>677</v>
      </c>
      <c r="E309" s="7" t="s">
        <v>111</v>
      </c>
      <c r="F309" s="7" t="s">
        <v>48</v>
      </c>
      <c r="G309" s="7" t="s">
        <v>108</v>
      </c>
      <c r="H309" s="4">
        <v>269.22000000000003</v>
      </c>
      <c r="I309" s="7" t="s">
        <v>32</v>
      </c>
      <c r="J309" s="7" t="s">
        <v>17</v>
      </c>
      <c r="L309" t="str">
        <f>PROPER(TRIM(SUBSTITUTE(_xlfn.XLOOKUP(B309,Cardholders_Reference!A:A,Cardholders_Reference!B:B),","," ")))</f>
        <v>Precious Adams</v>
      </c>
      <c r="M309" s="5">
        <f>_xlfn.XLOOKUP(B309,Cardholders_Reference!A:A,Cardholders_Reference!G:G)</f>
        <v>20000</v>
      </c>
      <c r="N309" s="7" t="str">
        <f>_xlfn.XLOOKUP(B309,Cardholders_Reference!A:A,Cardholders_Reference!D:D)</f>
        <v>Capitec</v>
      </c>
      <c r="O309" s="7" t="str">
        <f>_xlfn.XLOOKUP(B309,Cardholders_Reference!A:A,Cardholders_Reference!E:E)</f>
        <v>Visa</v>
      </c>
      <c r="P309" s="6">
        <f t="shared" si="33"/>
        <v>1.3461000000000001E-2</v>
      </c>
      <c r="Q309">
        <f t="shared" si="28"/>
        <v>0</v>
      </c>
      <c r="R309">
        <f t="shared" si="29"/>
        <v>0</v>
      </c>
      <c r="S309">
        <f>IF(COUNTIFS($B$1:$B$738,B308,$C$1:$C$738,#REF!)&gt;2,1,0)</f>
        <v>0</v>
      </c>
      <c r="T309">
        <f t="shared" si="30"/>
        <v>0</v>
      </c>
      <c r="U309">
        <f t="shared" si="31"/>
        <v>0</v>
      </c>
      <c r="V309">
        <f t="shared" si="32"/>
        <v>0</v>
      </c>
      <c r="W309">
        <f t="shared" si="34"/>
        <v>0</v>
      </c>
      <c r="X309" t="str" cm="1">
        <f t="array" ref="X309">_xlfn.IFS(W309&lt;=1,"Low",W309=2,"Medium",W309&gt;=3,"High")</f>
        <v>Low</v>
      </c>
    </row>
    <row r="310" spans="1:24" x14ac:dyDescent="0.3">
      <c r="A310" t="s">
        <v>678</v>
      </c>
      <c r="B310" t="s">
        <v>658</v>
      </c>
      <c r="C310" s="3">
        <v>45727</v>
      </c>
      <c r="D310" s="8" t="s">
        <v>679</v>
      </c>
      <c r="E310" s="7" t="s">
        <v>57</v>
      </c>
      <c r="F310" s="7" t="s">
        <v>36</v>
      </c>
      <c r="G310" s="7" t="s">
        <v>108</v>
      </c>
      <c r="H310" s="4">
        <v>412.5</v>
      </c>
      <c r="I310" s="7" t="s">
        <v>26</v>
      </c>
      <c r="J310" s="7" t="s">
        <v>17</v>
      </c>
      <c r="L310" t="str">
        <f>PROPER(TRIM(SUBSTITUTE(_xlfn.XLOOKUP(B310,Cardholders_Reference!A:A,Cardholders_Reference!B:B),","," ")))</f>
        <v>Precious Adams</v>
      </c>
      <c r="M310" s="5">
        <f>_xlfn.XLOOKUP(B310,Cardholders_Reference!A:A,Cardholders_Reference!G:G)</f>
        <v>20000</v>
      </c>
      <c r="N310" s="7" t="str">
        <f>_xlfn.XLOOKUP(B310,Cardholders_Reference!A:A,Cardholders_Reference!D:D)</f>
        <v>Capitec</v>
      </c>
      <c r="O310" s="7" t="str">
        <f>_xlfn.XLOOKUP(B310,Cardholders_Reference!A:A,Cardholders_Reference!E:E)</f>
        <v>Visa</v>
      </c>
      <c r="P310" s="6">
        <f t="shared" si="33"/>
        <v>2.0625000000000001E-2</v>
      </c>
      <c r="Q310">
        <f t="shared" si="28"/>
        <v>0</v>
      </c>
      <c r="R310">
        <f t="shared" si="29"/>
        <v>0</v>
      </c>
      <c r="S310">
        <f>IF(COUNTIFS($B$1:$B$738,B309,$C$1:$C$738,#REF!)&gt;2,1,0)</f>
        <v>0</v>
      </c>
      <c r="T310">
        <f t="shared" si="30"/>
        <v>0</v>
      </c>
      <c r="U310">
        <f t="shared" si="31"/>
        <v>0</v>
      </c>
      <c r="V310">
        <f t="shared" si="32"/>
        <v>1</v>
      </c>
      <c r="W310">
        <f t="shared" si="34"/>
        <v>1</v>
      </c>
      <c r="X310" t="str" cm="1">
        <f t="array" ref="X310">_xlfn.IFS(W310&lt;=1,"Low",W310=2,"Medium",W310&gt;=3,"High")</f>
        <v>Low</v>
      </c>
    </row>
    <row r="311" spans="1:24" x14ac:dyDescent="0.3">
      <c r="A311" t="s">
        <v>680</v>
      </c>
      <c r="B311" t="s">
        <v>658</v>
      </c>
      <c r="C311" s="3">
        <v>46296</v>
      </c>
      <c r="D311" s="8" t="s">
        <v>681</v>
      </c>
      <c r="E311" s="7" t="s">
        <v>173</v>
      </c>
      <c r="F311" s="7" t="s">
        <v>21</v>
      </c>
      <c r="G311" s="7" t="s">
        <v>108</v>
      </c>
      <c r="H311" s="4">
        <v>2859.56</v>
      </c>
      <c r="I311" s="7" t="s">
        <v>32</v>
      </c>
      <c r="J311" s="7" t="s">
        <v>17</v>
      </c>
      <c r="L311" t="str">
        <f>PROPER(TRIM(SUBSTITUTE(_xlfn.XLOOKUP(B311,Cardholders_Reference!A:A,Cardholders_Reference!B:B),","," ")))</f>
        <v>Precious Adams</v>
      </c>
      <c r="M311" s="5">
        <f>_xlfn.XLOOKUP(B311,Cardholders_Reference!A:A,Cardholders_Reference!G:G)</f>
        <v>20000</v>
      </c>
      <c r="N311" s="7" t="str">
        <f>_xlfn.XLOOKUP(B311,Cardholders_Reference!A:A,Cardholders_Reference!D:D)</f>
        <v>Capitec</v>
      </c>
      <c r="O311" s="7" t="str">
        <f>_xlfn.XLOOKUP(B311,Cardholders_Reference!A:A,Cardholders_Reference!E:E)</f>
        <v>Visa</v>
      </c>
      <c r="P311" s="6">
        <f t="shared" si="33"/>
        <v>0.14297799999999999</v>
      </c>
      <c r="Q311">
        <f t="shared" si="28"/>
        <v>0</v>
      </c>
      <c r="R311">
        <f t="shared" si="29"/>
        <v>0</v>
      </c>
      <c r="S311">
        <f>IF(COUNTIFS($B$1:$B$738,B310,$C$1:$C$738,#REF!)&gt;2,1,0)</f>
        <v>0</v>
      </c>
      <c r="T311">
        <f t="shared" si="30"/>
        <v>0</v>
      </c>
      <c r="U311">
        <f t="shared" si="31"/>
        <v>0</v>
      </c>
      <c r="V311">
        <f t="shared" si="32"/>
        <v>0</v>
      </c>
      <c r="W311">
        <f t="shared" si="34"/>
        <v>0</v>
      </c>
      <c r="X311" t="str" cm="1">
        <f t="array" ref="X311">_xlfn.IFS(W311&lt;=1,"Low",W311=2,"Medium",W311&gt;=3,"High")</f>
        <v>Low</v>
      </c>
    </row>
    <row r="312" spans="1:24" x14ac:dyDescent="0.3">
      <c r="A312" t="s">
        <v>682</v>
      </c>
      <c r="B312" t="s">
        <v>683</v>
      </c>
      <c r="C312" s="3">
        <v>45870</v>
      </c>
      <c r="D312" s="8" t="s">
        <v>684</v>
      </c>
      <c r="E312" s="7" t="s">
        <v>486</v>
      </c>
      <c r="F312" s="7" t="s">
        <v>21</v>
      </c>
      <c r="G312" s="7" t="s">
        <v>108</v>
      </c>
      <c r="H312" s="4">
        <v>2457.33</v>
      </c>
      <c r="I312" s="7" t="s">
        <v>95</v>
      </c>
      <c r="J312" s="7" t="s">
        <v>17</v>
      </c>
      <c r="L312" t="str">
        <f>PROPER(TRIM(SUBSTITUTE(_xlfn.XLOOKUP(B312,Cardholders_Reference!A:A,Cardholders_Reference!B:B),","," ")))</f>
        <v>Kabelo Govender</v>
      </c>
      <c r="M312" s="5">
        <f>_xlfn.XLOOKUP(B312,Cardholders_Reference!A:A,Cardholders_Reference!G:G)</f>
        <v>80000</v>
      </c>
      <c r="N312" s="7" t="str">
        <f>_xlfn.XLOOKUP(B312,Cardholders_Reference!A:A,Cardholders_Reference!D:D)</f>
        <v>ABSA</v>
      </c>
      <c r="O312" s="7" t="str">
        <f>_xlfn.XLOOKUP(B312,Cardholders_Reference!A:A,Cardholders_Reference!E:E)</f>
        <v>Mastercard</v>
      </c>
      <c r="P312" s="6">
        <f t="shared" si="33"/>
        <v>3.0716624999999997E-2</v>
      </c>
      <c r="Q312">
        <f t="shared" si="28"/>
        <v>0</v>
      </c>
      <c r="R312">
        <f t="shared" si="29"/>
        <v>0</v>
      </c>
      <c r="S312">
        <f>IF(COUNTIFS($B$1:$B$738,B311,$C$1:$C$738,#REF!)&gt;2,1,0)</f>
        <v>0</v>
      </c>
      <c r="T312">
        <f t="shared" si="30"/>
        <v>0</v>
      </c>
      <c r="U312">
        <f t="shared" si="31"/>
        <v>1</v>
      </c>
      <c r="V312">
        <f t="shared" si="32"/>
        <v>1</v>
      </c>
      <c r="W312">
        <f t="shared" si="34"/>
        <v>2</v>
      </c>
      <c r="X312" t="str" cm="1">
        <f t="array" ref="X312">_xlfn.IFS(W312&lt;=1,"Low",W312=2,"Medium",W312&gt;=3,"High")</f>
        <v>Medium</v>
      </c>
    </row>
    <row r="313" spans="1:24" x14ac:dyDescent="0.3">
      <c r="A313" t="s">
        <v>685</v>
      </c>
      <c r="B313" t="s">
        <v>683</v>
      </c>
      <c r="C313" s="3">
        <v>45725</v>
      </c>
      <c r="D313" s="8" t="s">
        <v>686</v>
      </c>
      <c r="E313" s="7" t="s">
        <v>180</v>
      </c>
      <c r="F313" s="7" t="s">
        <v>21</v>
      </c>
      <c r="G313" s="7" t="s">
        <v>108</v>
      </c>
      <c r="H313" s="4">
        <v>2885.2</v>
      </c>
      <c r="I313" s="7" t="s">
        <v>95</v>
      </c>
      <c r="J313" s="7" t="s">
        <v>17</v>
      </c>
      <c r="L313" t="str">
        <f>PROPER(TRIM(SUBSTITUTE(_xlfn.XLOOKUP(B313,Cardholders_Reference!A:A,Cardholders_Reference!B:B),","," ")))</f>
        <v>Kabelo Govender</v>
      </c>
      <c r="M313" s="5">
        <f>_xlfn.XLOOKUP(B313,Cardholders_Reference!A:A,Cardholders_Reference!G:G)</f>
        <v>80000</v>
      </c>
      <c r="N313" s="7" t="str">
        <f>_xlfn.XLOOKUP(B313,Cardholders_Reference!A:A,Cardholders_Reference!D:D)</f>
        <v>ABSA</v>
      </c>
      <c r="O313" s="7" t="str">
        <f>_xlfn.XLOOKUP(B313,Cardholders_Reference!A:A,Cardholders_Reference!E:E)</f>
        <v>Mastercard</v>
      </c>
      <c r="P313" s="6">
        <f t="shared" si="33"/>
        <v>3.6065E-2</v>
      </c>
      <c r="Q313">
        <f t="shared" si="28"/>
        <v>0</v>
      </c>
      <c r="R313">
        <f t="shared" si="29"/>
        <v>0</v>
      </c>
      <c r="S313">
        <f>IF(COUNTIFS($B$1:$B$738,B312,$C$1:$C$738,#REF!)&gt;2,1,0)</f>
        <v>0</v>
      </c>
      <c r="T313">
        <f t="shared" si="30"/>
        <v>0</v>
      </c>
      <c r="U313">
        <f t="shared" si="31"/>
        <v>1</v>
      </c>
      <c r="V313">
        <f t="shared" si="32"/>
        <v>1</v>
      </c>
      <c r="W313">
        <f t="shared" si="34"/>
        <v>2</v>
      </c>
      <c r="X313" t="str" cm="1">
        <f t="array" ref="X313">_xlfn.IFS(W313&lt;=1,"Low",W313=2,"Medium",W313&gt;=3,"High")</f>
        <v>Medium</v>
      </c>
    </row>
    <row r="314" spans="1:24" x14ac:dyDescent="0.3">
      <c r="A314" t="s">
        <v>687</v>
      </c>
      <c r="B314" t="s">
        <v>683</v>
      </c>
      <c r="C314" s="3">
        <v>45743</v>
      </c>
      <c r="D314" s="8" t="s">
        <v>134</v>
      </c>
      <c r="E314" s="7" t="s">
        <v>126</v>
      </c>
      <c r="F314" s="7" t="s">
        <v>53</v>
      </c>
      <c r="G314" s="7" t="s">
        <v>108</v>
      </c>
      <c r="H314" s="4">
        <v>532.26</v>
      </c>
      <c r="I314" s="7" t="s">
        <v>32</v>
      </c>
      <c r="J314" s="7" t="s">
        <v>17</v>
      </c>
      <c r="L314" t="str">
        <f>PROPER(TRIM(SUBSTITUTE(_xlfn.XLOOKUP(B314,Cardholders_Reference!A:A,Cardholders_Reference!B:B),","," ")))</f>
        <v>Kabelo Govender</v>
      </c>
      <c r="M314" s="5">
        <f>_xlfn.XLOOKUP(B314,Cardholders_Reference!A:A,Cardholders_Reference!G:G)</f>
        <v>80000</v>
      </c>
      <c r="N314" s="7" t="str">
        <f>_xlfn.XLOOKUP(B314,Cardholders_Reference!A:A,Cardholders_Reference!D:D)</f>
        <v>ABSA</v>
      </c>
      <c r="O314" s="7" t="str">
        <f>_xlfn.XLOOKUP(B314,Cardholders_Reference!A:A,Cardholders_Reference!E:E)</f>
        <v>Mastercard</v>
      </c>
      <c r="P314" s="6">
        <f t="shared" si="33"/>
        <v>6.6532500000000003E-3</v>
      </c>
      <c r="Q314">
        <f t="shared" si="28"/>
        <v>0</v>
      </c>
      <c r="R314">
        <f t="shared" si="29"/>
        <v>0</v>
      </c>
      <c r="S314">
        <f>IF(COUNTIFS($B$1:$B$738,B313,$C$1:$C$738,#REF!)&gt;2,1,0)</f>
        <v>0</v>
      </c>
      <c r="T314">
        <f t="shared" si="30"/>
        <v>0</v>
      </c>
      <c r="U314">
        <f t="shared" si="31"/>
        <v>1</v>
      </c>
      <c r="V314">
        <f t="shared" si="32"/>
        <v>0</v>
      </c>
      <c r="W314">
        <f t="shared" si="34"/>
        <v>1</v>
      </c>
      <c r="X314" t="str" cm="1">
        <f t="array" ref="X314">_xlfn.IFS(W314&lt;=1,"Low",W314=2,"Medium",W314&gt;=3,"High")</f>
        <v>Low</v>
      </c>
    </row>
    <row r="315" spans="1:24" x14ac:dyDescent="0.3">
      <c r="A315" t="s">
        <v>688</v>
      </c>
      <c r="B315" t="s">
        <v>683</v>
      </c>
      <c r="C315" s="3">
        <v>45986</v>
      </c>
      <c r="D315" s="8" t="s">
        <v>270</v>
      </c>
      <c r="E315" s="7" t="s">
        <v>140</v>
      </c>
      <c r="F315" s="7" t="s">
        <v>53</v>
      </c>
      <c r="G315" s="7" t="s">
        <v>108</v>
      </c>
      <c r="H315" s="4">
        <v>1492.52</v>
      </c>
      <c r="I315" s="7" t="s">
        <v>32</v>
      </c>
      <c r="J315" s="7" t="s">
        <v>17</v>
      </c>
      <c r="L315" t="str">
        <f>PROPER(TRIM(SUBSTITUTE(_xlfn.XLOOKUP(B315,Cardholders_Reference!A:A,Cardholders_Reference!B:B),","," ")))</f>
        <v>Kabelo Govender</v>
      </c>
      <c r="M315" s="5">
        <f>_xlfn.XLOOKUP(B315,Cardholders_Reference!A:A,Cardholders_Reference!G:G)</f>
        <v>80000</v>
      </c>
      <c r="N315" s="7" t="str">
        <f>_xlfn.XLOOKUP(B315,Cardholders_Reference!A:A,Cardholders_Reference!D:D)</f>
        <v>ABSA</v>
      </c>
      <c r="O315" s="7" t="str">
        <f>_xlfn.XLOOKUP(B315,Cardholders_Reference!A:A,Cardholders_Reference!E:E)</f>
        <v>Mastercard</v>
      </c>
      <c r="P315" s="6">
        <f t="shared" si="33"/>
        <v>1.8656499999999999E-2</v>
      </c>
      <c r="Q315">
        <f t="shared" si="28"/>
        <v>0</v>
      </c>
      <c r="R315">
        <f t="shared" si="29"/>
        <v>0</v>
      </c>
      <c r="S315">
        <f>IF(COUNTIFS($B$1:$B$738,B314,$C$1:$C$738,#REF!)&gt;2,1,0)</f>
        <v>0</v>
      </c>
      <c r="T315">
        <f t="shared" si="30"/>
        <v>0</v>
      </c>
      <c r="U315">
        <f t="shared" si="31"/>
        <v>0</v>
      </c>
      <c r="V315">
        <f t="shared" si="32"/>
        <v>0</v>
      </c>
      <c r="W315">
        <f t="shared" si="34"/>
        <v>0</v>
      </c>
      <c r="X315" t="str" cm="1">
        <f t="array" ref="X315">_xlfn.IFS(W315&lt;=1,"Low",W315=2,"Medium",W315&gt;=3,"High")</f>
        <v>Low</v>
      </c>
    </row>
    <row r="316" spans="1:24" x14ac:dyDescent="0.3">
      <c r="A316" t="s">
        <v>689</v>
      </c>
      <c r="B316" t="s">
        <v>683</v>
      </c>
      <c r="C316" s="3">
        <v>45708</v>
      </c>
      <c r="D316" s="8" t="s">
        <v>690</v>
      </c>
      <c r="E316" s="7" t="s">
        <v>77</v>
      </c>
      <c r="F316" s="7" t="s">
        <v>15</v>
      </c>
      <c r="G316" s="7" t="s">
        <v>118</v>
      </c>
      <c r="H316" s="4">
        <v>2243.37</v>
      </c>
      <c r="I316" s="7" t="s">
        <v>32</v>
      </c>
      <c r="J316" s="7" t="s">
        <v>41</v>
      </c>
      <c r="L316" t="str">
        <f>PROPER(TRIM(SUBSTITUTE(_xlfn.XLOOKUP(B316,Cardholders_Reference!A:A,Cardholders_Reference!B:B),","," ")))</f>
        <v>Kabelo Govender</v>
      </c>
      <c r="M316" s="5">
        <f>_xlfn.XLOOKUP(B316,Cardholders_Reference!A:A,Cardholders_Reference!G:G)</f>
        <v>80000</v>
      </c>
      <c r="N316" s="7" t="str">
        <f>_xlfn.XLOOKUP(B316,Cardholders_Reference!A:A,Cardholders_Reference!D:D)</f>
        <v>ABSA</v>
      </c>
      <c r="O316" s="7" t="str">
        <f>_xlfn.XLOOKUP(B316,Cardholders_Reference!A:A,Cardholders_Reference!E:E)</f>
        <v>Mastercard</v>
      </c>
      <c r="P316" s="6">
        <f t="shared" si="33"/>
        <v>2.8042124999999998E-2</v>
      </c>
      <c r="Q316">
        <f t="shared" si="28"/>
        <v>0</v>
      </c>
      <c r="R316">
        <f t="shared" si="29"/>
        <v>0</v>
      </c>
      <c r="S316">
        <f>IF(COUNTIFS($B$1:$B$738,B315,$C$1:$C$738,#REF!)&gt;2,1,0)</f>
        <v>0</v>
      </c>
      <c r="T316">
        <f t="shared" si="30"/>
        <v>0</v>
      </c>
      <c r="U316">
        <f t="shared" si="31"/>
        <v>0</v>
      </c>
      <c r="V316">
        <f t="shared" si="32"/>
        <v>0</v>
      </c>
      <c r="W316">
        <f t="shared" si="34"/>
        <v>0</v>
      </c>
      <c r="X316" t="str" cm="1">
        <f t="array" ref="X316">_xlfn.IFS(W316&lt;=1,"Low",W316=2,"Medium",W316&gt;=3,"High")</f>
        <v>Low</v>
      </c>
    </row>
    <row r="317" spans="1:24" x14ac:dyDescent="0.3">
      <c r="A317" t="s">
        <v>691</v>
      </c>
      <c r="B317" t="s">
        <v>683</v>
      </c>
      <c r="C317" s="3">
        <v>46161</v>
      </c>
      <c r="D317" s="8" t="s">
        <v>692</v>
      </c>
      <c r="E317" s="7" t="s">
        <v>87</v>
      </c>
      <c r="F317" s="7" t="s">
        <v>48</v>
      </c>
      <c r="G317" s="7" t="s">
        <v>108</v>
      </c>
      <c r="H317" s="4">
        <v>512.98</v>
      </c>
      <c r="I317" s="7" t="s">
        <v>32</v>
      </c>
      <c r="J317" s="7" t="s">
        <v>17</v>
      </c>
      <c r="L317" t="str">
        <f>PROPER(TRIM(SUBSTITUTE(_xlfn.XLOOKUP(B317,Cardholders_Reference!A:A,Cardholders_Reference!B:B),","," ")))</f>
        <v>Kabelo Govender</v>
      </c>
      <c r="M317" s="5">
        <f>_xlfn.XLOOKUP(B317,Cardholders_Reference!A:A,Cardholders_Reference!G:G)</f>
        <v>80000</v>
      </c>
      <c r="N317" s="7" t="str">
        <f>_xlfn.XLOOKUP(B317,Cardholders_Reference!A:A,Cardholders_Reference!D:D)</f>
        <v>ABSA</v>
      </c>
      <c r="O317" s="7" t="str">
        <f>_xlfn.XLOOKUP(B317,Cardholders_Reference!A:A,Cardholders_Reference!E:E)</f>
        <v>Mastercard</v>
      </c>
      <c r="P317" s="6">
        <f t="shared" si="33"/>
        <v>6.4122500000000004E-3</v>
      </c>
      <c r="Q317">
        <f t="shared" si="28"/>
        <v>1</v>
      </c>
      <c r="R317">
        <f t="shared" si="29"/>
        <v>0</v>
      </c>
      <c r="S317">
        <f>IF(COUNTIFS($B$1:$B$738,B316,$C$1:$C$738,#REF!)&gt;2,1,0)</f>
        <v>0</v>
      </c>
      <c r="T317">
        <f t="shared" si="30"/>
        <v>0</v>
      </c>
      <c r="U317">
        <f t="shared" si="31"/>
        <v>0</v>
      </c>
      <c r="V317">
        <f t="shared" si="32"/>
        <v>0</v>
      </c>
      <c r="W317">
        <f t="shared" si="34"/>
        <v>1</v>
      </c>
      <c r="X317" t="str" cm="1">
        <f t="array" ref="X317">_xlfn.IFS(W317&lt;=1,"Low",W317=2,"Medium",W317&gt;=3,"High")</f>
        <v>Low</v>
      </c>
    </row>
    <row r="318" spans="1:24" x14ac:dyDescent="0.3">
      <c r="A318" t="s">
        <v>693</v>
      </c>
      <c r="B318" t="s">
        <v>683</v>
      </c>
      <c r="C318" s="3">
        <v>45964</v>
      </c>
      <c r="D318" s="8" t="s">
        <v>662</v>
      </c>
      <c r="E318" s="7" t="s">
        <v>170</v>
      </c>
      <c r="F318" s="7" t="s">
        <v>91</v>
      </c>
      <c r="G318" s="7" t="s">
        <v>118</v>
      </c>
      <c r="H318" s="4">
        <v>1100.7</v>
      </c>
      <c r="I318" s="7" t="s">
        <v>32</v>
      </c>
      <c r="J318" s="7" t="s">
        <v>17</v>
      </c>
      <c r="L318" t="str">
        <f>PROPER(TRIM(SUBSTITUTE(_xlfn.XLOOKUP(B318,Cardholders_Reference!A:A,Cardholders_Reference!B:B),","," ")))</f>
        <v>Kabelo Govender</v>
      </c>
      <c r="M318" s="5">
        <f>_xlfn.XLOOKUP(B318,Cardholders_Reference!A:A,Cardholders_Reference!G:G)</f>
        <v>80000</v>
      </c>
      <c r="N318" s="7" t="str">
        <f>_xlfn.XLOOKUP(B318,Cardholders_Reference!A:A,Cardholders_Reference!D:D)</f>
        <v>ABSA</v>
      </c>
      <c r="O318" s="7" t="str">
        <f>_xlfn.XLOOKUP(B318,Cardholders_Reference!A:A,Cardholders_Reference!E:E)</f>
        <v>Mastercard</v>
      </c>
      <c r="P318" s="6">
        <f t="shared" si="33"/>
        <v>1.375875E-2</v>
      </c>
      <c r="Q318">
        <f t="shared" si="28"/>
        <v>0</v>
      </c>
      <c r="R318">
        <f t="shared" si="29"/>
        <v>0</v>
      </c>
      <c r="S318">
        <f>IF(COUNTIFS($B$1:$B$738,B317,$C$1:$C$738,#REF!)&gt;2,1,0)</f>
        <v>0</v>
      </c>
      <c r="T318">
        <f t="shared" si="30"/>
        <v>0</v>
      </c>
      <c r="U318">
        <f t="shared" si="31"/>
        <v>0</v>
      </c>
      <c r="V318">
        <f t="shared" si="32"/>
        <v>0</v>
      </c>
      <c r="W318">
        <f t="shared" si="34"/>
        <v>0</v>
      </c>
      <c r="X318" t="str" cm="1">
        <f t="array" ref="X318">_xlfn.IFS(W318&lt;=1,"Low",W318=2,"Medium",W318&gt;=3,"High")</f>
        <v>Low</v>
      </c>
    </row>
    <row r="319" spans="1:24" x14ac:dyDescent="0.3">
      <c r="A319" t="s">
        <v>694</v>
      </c>
      <c r="B319" t="s">
        <v>683</v>
      </c>
      <c r="C319" s="3">
        <v>45840</v>
      </c>
      <c r="D319" s="8" t="s">
        <v>695</v>
      </c>
      <c r="E319" s="7" t="s">
        <v>170</v>
      </c>
      <c r="F319" s="7" t="s">
        <v>91</v>
      </c>
      <c r="G319" s="7" t="s">
        <v>108</v>
      </c>
      <c r="H319" s="4">
        <v>2597.9499999999998</v>
      </c>
      <c r="I319" s="7" t="s">
        <v>16</v>
      </c>
      <c r="J319" s="7" t="s">
        <v>17</v>
      </c>
      <c r="L319" t="str">
        <f>PROPER(TRIM(SUBSTITUTE(_xlfn.XLOOKUP(B319,Cardholders_Reference!A:A,Cardholders_Reference!B:B),","," ")))</f>
        <v>Kabelo Govender</v>
      </c>
      <c r="M319" s="5">
        <f>_xlfn.XLOOKUP(B319,Cardholders_Reference!A:A,Cardholders_Reference!G:G)</f>
        <v>80000</v>
      </c>
      <c r="N319" s="7" t="str">
        <f>_xlfn.XLOOKUP(B319,Cardholders_Reference!A:A,Cardholders_Reference!D:D)</f>
        <v>ABSA</v>
      </c>
      <c r="O319" s="7" t="str">
        <f>_xlfn.XLOOKUP(B319,Cardholders_Reference!A:A,Cardholders_Reference!E:E)</f>
        <v>Mastercard</v>
      </c>
      <c r="P319" s="6">
        <f t="shared" si="33"/>
        <v>3.2474375E-2</v>
      </c>
      <c r="Q319">
        <f t="shared" si="28"/>
        <v>1</v>
      </c>
      <c r="R319">
        <f t="shared" si="29"/>
        <v>0</v>
      </c>
      <c r="S319">
        <f>IF(COUNTIFS($B$1:$B$738,B318,$C$1:$C$738,#REF!)&gt;2,1,0)</f>
        <v>0</v>
      </c>
      <c r="T319">
        <f t="shared" si="30"/>
        <v>0</v>
      </c>
      <c r="U319">
        <f t="shared" si="31"/>
        <v>0</v>
      </c>
      <c r="V319">
        <f t="shared" si="32"/>
        <v>0</v>
      </c>
      <c r="W319">
        <f t="shared" si="34"/>
        <v>1</v>
      </c>
      <c r="X319" t="str" cm="1">
        <f t="array" ref="X319">_xlfn.IFS(W319&lt;=1,"Low",W319=2,"Medium",W319&gt;=3,"High")</f>
        <v>Low</v>
      </c>
    </row>
    <row r="320" spans="1:24" x14ac:dyDescent="0.3">
      <c r="A320" t="s">
        <v>696</v>
      </c>
      <c r="B320" t="s">
        <v>683</v>
      </c>
      <c r="C320" s="3">
        <v>45947</v>
      </c>
      <c r="D320" s="8" t="s">
        <v>460</v>
      </c>
      <c r="E320" s="7" t="s">
        <v>331</v>
      </c>
      <c r="F320" s="7" t="s">
        <v>40</v>
      </c>
      <c r="G320" s="7" t="s">
        <v>192</v>
      </c>
      <c r="H320" s="4">
        <v>365.24</v>
      </c>
      <c r="I320" s="7" t="s">
        <v>26</v>
      </c>
      <c r="J320" s="7" t="s">
        <v>17</v>
      </c>
      <c r="L320" t="str">
        <f>PROPER(TRIM(SUBSTITUTE(_xlfn.XLOOKUP(B320,Cardholders_Reference!A:A,Cardholders_Reference!B:B),","," ")))</f>
        <v>Kabelo Govender</v>
      </c>
      <c r="M320" s="5">
        <f>_xlfn.XLOOKUP(B320,Cardholders_Reference!A:A,Cardholders_Reference!G:G)</f>
        <v>80000</v>
      </c>
      <c r="N320" s="7" t="str">
        <f>_xlfn.XLOOKUP(B320,Cardholders_Reference!A:A,Cardholders_Reference!D:D)</f>
        <v>ABSA</v>
      </c>
      <c r="O320" s="7" t="str">
        <f>_xlfn.XLOOKUP(B320,Cardholders_Reference!A:A,Cardholders_Reference!E:E)</f>
        <v>Mastercard</v>
      </c>
      <c r="P320" s="6">
        <f t="shared" si="33"/>
        <v>4.5655000000000001E-3</v>
      </c>
      <c r="Q320">
        <f t="shared" si="28"/>
        <v>0</v>
      </c>
      <c r="R320">
        <f t="shared" si="29"/>
        <v>0</v>
      </c>
      <c r="S320">
        <f>IF(COUNTIFS($B$1:$B$738,B319,$C$1:$C$738,#REF!)&gt;2,1,0)</f>
        <v>0</v>
      </c>
      <c r="T320">
        <f t="shared" si="30"/>
        <v>0</v>
      </c>
      <c r="U320">
        <f t="shared" si="31"/>
        <v>0</v>
      </c>
      <c r="V320">
        <f t="shared" si="32"/>
        <v>1</v>
      </c>
      <c r="W320">
        <f t="shared" si="34"/>
        <v>1</v>
      </c>
      <c r="X320" t="str" cm="1">
        <f t="array" ref="X320">_xlfn.IFS(W320&lt;=1,"Low",W320=2,"Medium",W320&gt;=3,"High")</f>
        <v>Low</v>
      </c>
    </row>
    <row r="321" spans="1:24" x14ac:dyDescent="0.3">
      <c r="A321" t="s">
        <v>697</v>
      </c>
      <c r="B321" t="s">
        <v>683</v>
      </c>
      <c r="C321" s="3">
        <v>45973</v>
      </c>
      <c r="D321" s="8" t="s">
        <v>227</v>
      </c>
      <c r="E321" s="7" t="s">
        <v>126</v>
      </c>
      <c r="F321" s="7" t="s">
        <v>53</v>
      </c>
      <c r="G321" s="7" t="s">
        <v>108</v>
      </c>
      <c r="H321" s="4">
        <v>1579.73</v>
      </c>
      <c r="I321" s="7" t="s">
        <v>16</v>
      </c>
      <c r="J321" s="7" t="s">
        <v>17</v>
      </c>
      <c r="L321" t="str">
        <f>PROPER(TRIM(SUBSTITUTE(_xlfn.XLOOKUP(B321,Cardholders_Reference!A:A,Cardholders_Reference!B:B),","," ")))</f>
        <v>Kabelo Govender</v>
      </c>
      <c r="M321" s="5">
        <f>_xlfn.XLOOKUP(B321,Cardholders_Reference!A:A,Cardholders_Reference!G:G)</f>
        <v>80000</v>
      </c>
      <c r="N321" s="7" t="str">
        <f>_xlfn.XLOOKUP(B321,Cardholders_Reference!A:A,Cardholders_Reference!D:D)</f>
        <v>ABSA</v>
      </c>
      <c r="O321" s="7" t="str">
        <f>_xlfn.XLOOKUP(B321,Cardholders_Reference!A:A,Cardholders_Reference!E:E)</f>
        <v>Mastercard</v>
      </c>
      <c r="P321" s="6">
        <f t="shared" si="33"/>
        <v>1.9746625E-2</v>
      </c>
      <c r="Q321">
        <f t="shared" si="28"/>
        <v>1</v>
      </c>
      <c r="R321">
        <f t="shared" si="29"/>
        <v>0</v>
      </c>
      <c r="S321">
        <f>IF(COUNTIFS($B$1:$B$738,B320,$C$1:$C$738,#REF!)&gt;2,1,0)</f>
        <v>0</v>
      </c>
      <c r="T321">
        <f t="shared" si="30"/>
        <v>0</v>
      </c>
      <c r="U321">
        <f t="shared" si="31"/>
        <v>0</v>
      </c>
      <c r="V321">
        <f t="shared" si="32"/>
        <v>0</v>
      </c>
      <c r="W321">
        <f t="shared" si="34"/>
        <v>1</v>
      </c>
      <c r="X321" t="str" cm="1">
        <f t="array" ref="X321">_xlfn.IFS(W321&lt;=1,"Low",W321=2,"Medium",W321&gt;=3,"High")</f>
        <v>Low</v>
      </c>
    </row>
    <row r="322" spans="1:24" x14ac:dyDescent="0.3">
      <c r="A322" t="s">
        <v>698</v>
      </c>
      <c r="B322" t="s">
        <v>699</v>
      </c>
      <c r="C322" s="3">
        <v>45788</v>
      </c>
      <c r="D322" s="8" t="s">
        <v>700</v>
      </c>
      <c r="E322" s="7" t="s">
        <v>548</v>
      </c>
      <c r="F322" s="7" t="s">
        <v>40</v>
      </c>
      <c r="G322" s="7" t="s">
        <v>22</v>
      </c>
      <c r="H322" s="4">
        <v>436.52</v>
      </c>
      <c r="I322" s="7" t="s">
        <v>95</v>
      </c>
      <c r="J322" s="7" t="s">
        <v>41</v>
      </c>
      <c r="L322" t="str">
        <f>PROPER(TRIM(SUBSTITUTE(_xlfn.XLOOKUP(B322,Cardholders_Reference!A:A,Cardholders_Reference!B:B),","," ")))</f>
        <v>Sipho Naidoo</v>
      </c>
      <c r="M322" s="5">
        <f>_xlfn.XLOOKUP(B322,Cardholders_Reference!A:A,Cardholders_Reference!G:G)</f>
        <v>15000</v>
      </c>
      <c r="N322" s="7" t="str">
        <f>_xlfn.XLOOKUP(B322,Cardholders_Reference!A:A,Cardholders_Reference!D:D)</f>
        <v>FNB</v>
      </c>
      <c r="O322" s="7" t="str">
        <f>_xlfn.XLOOKUP(B322,Cardholders_Reference!A:A,Cardholders_Reference!E:E)</f>
        <v>Mastercard</v>
      </c>
      <c r="P322" s="6">
        <f t="shared" si="33"/>
        <v>2.9101333333333333E-2</v>
      </c>
      <c r="Q322">
        <f t="shared" ref="Q322:Q385" si="35">IF(COUNTIFS($B$1:$B$738,B321,$G$1:$G$738,G321)/COUNTIF($B$1:$B$738,B321)&lt;0.5,1,0)</f>
        <v>0</v>
      </c>
      <c r="R322">
        <f t="shared" ref="R322:R385" si="36">IF(D322="Unknown",1,IF(OR(TIMEVALUE(D322)&lt;TIME(5,0,0),TIMEVALUE(D322)&gt;=TIME(23,0,0)),1,0))</f>
        <v>0</v>
      </c>
      <c r="S322">
        <f>IF(COUNTIFS($B$1:$B$738,B321,$C$1:$C$738,#REF!)&gt;2,1,0)</f>
        <v>0</v>
      </c>
      <c r="T322">
        <f t="shared" ref="T322:T385" si="37">IF(P321&gt;0.4,1,0)</f>
        <v>0</v>
      </c>
      <c r="U322">
        <f t="shared" ref="U322:U385" si="38">IF(OR(F321="Gambling",F321="ATM Withdrawal"),1,0)</f>
        <v>0</v>
      </c>
      <c r="V322">
        <f t="shared" ref="V322:V385" si="39">IF(OR(I322="Card Not Present (Phone)",I322="Online"),1,0)</f>
        <v>1</v>
      </c>
      <c r="W322">
        <f t="shared" si="34"/>
        <v>1</v>
      </c>
      <c r="X322" t="str" cm="1">
        <f t="array" ref="X322">_xlfn.IFS(W322&lt;=1,"Low",W322=2,"Medium",W322&gt;=3,"High")</f>
        <v>Low</v>
      </c>
    </row>
    <row r="323" spans="1:24" x14ac:dyDescent="0.3">
      <c r="A323" t="s">
        <v>701</v>
      </c>
      <c r="B323" t="s">
        <v>699</v>
      </c>
      <c r="C323" s="3">
        <v>45952</v>
      </c>
      <c r="D323" s="8" t="s">
        <v>702</v>
      </c>
      <c r="E323" s="7" t="s">
        <v>132</v>
      </c>
      <c r="F323" s="7" t="s">
        <v>25</v>
      </c>
      <c r="G323" s="7" t="s">
        <v>22</v>
      </c>
      <c r="H323" s="4">
        <v>382.17</v>
      </c>
      <c r="I323" s="7" t="s">
        <v>16</v>
      </c>
      <c r="J323" s="7" t="s">
        <v>17</v>
      </c>
      <c r="L323" t="str">
        <f>PROPER(TRIM(SUBSTITUTE(_xlfn.XLOOKUP(B323,Cardholders_Reference!A:A,Cardholders_Reference!B:B),","," ")))</f>
        <v>Sipho Naidoo</v>
      </c>
      <c r="M323" s="5">
        <f>_xlfn.XLOOKUP(B323,Cardholders_Reference!A:A,Cardholders_Reference!G:G)</f>
        <v>15000</v>
      </c>
      <c r="N323" s="7" t="str">
        <f>_xlfn.XLOOKUP(B323,Cardholders_Reference!A:A,Cardholders_Reference!D:D)</f>
        <v>FNB</v>
      </c>
      <c r="O323" s="7" t="str">
        <f>_xlfn.XLOOKUP(B323,Cardholders_Reference!A:A,Cardholders_Reference!E:E)</f>
        <v>Mastercard</v>
      </c>
      <c r="P323" s="6">
        <f t="shared" ref="P323:P386" si="40">H323/M323</f>
        <v>2.5478000000000001E-2</v>
      </c>
      <c r="Q323">
        <f t="shared" si="35"/>
        <v>0</v>
      </c>
      <c r="R323">
        <f t="shared" si="36"/>
        <v>0</v>
      </c>
      <c r="S323">
        <f>IF(COUNTIFS($B$1:$B$738,B322,$C$1:$C$738,#REF!)&gt;2,1,0)</f>
        <v>0</v>
      </c>
      <c r="T323">
        <f t="shared" si="37"/>
        <v>0</v>
      </c>
      <c r="U323">
        <f t="shared" si="38"/>
        <v>0</v>
      </c>
      <c r="V323">
        <f t="shared" si="39"/>
        <v>0</v>
      </c>
      <c r="W323">
        <f t="shared" ref="W323:W386" si="41">SUM(Q323:V323)</f>
        <v>0</v>
      </c>
      <c r="X323" t="str" cm="1">
        <f t="array" ref="X323">_xlfn.IFS(W323&lt;=1,"Low",W323=2,"Medium",W323&gt;=3,"High")</f>
        <v>Low</v>
      </c>
    </row>
    <row r="324" spans="1:24" x14ac:dyDescent="0.3">
      <c r="A324" t="s">
        <v>703</v>
      </c>
      <c r="B324" t="s">
        <v>699</v>
      </c>
      <c r="C324" s="3">
        <v>45660</v>
      </c>
      <c r="D324" s="8" t="s">
        <v>704</v>
      </c>
      <c r="E324" s="7" t="s">
        <v>368</v>
      </c>
      <c r="F324" s="7" t="s">
        <v>21</v>
      </c>
      <c r="G324" s="7" t="s">
        <v>22</v>
      </c>
      <c r="H324" s="4">
        <v>1221.6600000000001</v>
      </c>
      <c r="I324" s="7" t="s">
        <v>95</v>
      </c>
      <c r="J324" s="7" t="s">
        <v>17</v>
      </c>
      <c r="L324" t="str">
        <f>PROPER(TRIM(SUBSTITUTE(_xlfn.XLOOKUP(B324,Cardholders_Reference!A:A,Cardholders_Reference!B:B),","," ")))</f>
        <v>Sipho Naidoo</v>
      </c>
      <c r="M324" s="5">
        <f>_xlfn.XLOOKUP(B324,Cardholders_Reference!A:A,Cardholders_Reference!G:G)</f>
        <v>15000</v>
      </c>
      <c r="N324" s="7" t="str">
        <f>_xlfn.XLOOKUP(B324,Cardholders_Reference!A:A,Cardholders_Reference!D:D)</f>
        <v>FNB</v>
      </c>
      <c r="O324" s="7" t="str">
        <f>_xlfn.XLOOKUP(B324,Cardholders_Reference!A:A,Cardholders_Reference!E:E)</f>
        <v>Mastercard</v>
      </c>
      <c r="P324" s="6">
        <f t="shared" si="40"/>
        <v>8.1444000000000003E-2</v>
      </c>
      <c r="Q324">
        <f t="shared" si="35"/>
        <v>0</v>
      </c>
      <c r="R324">
        <f t="shared" si="36"/>
        <v>0</v>
      </c>
      <c r="S324">
        <f>IF(COUNTIFS($B$1:$B$738,B323,$C$1:$C$738,#REF!)&gt;2,1,0)</f>
        <v>0</v>
      </c>
      <c r="T324">
        <f t="shared" si="37"/>
        <v>0</v>
      </c>
      <c r="U324">
        <f t="shared" si="38"/>
        <v>0</v>
      </c>
      <c r="V324">
        <f t="shared" si="39"/>
        <v>1</v>
      </c>
      <c r="W324">
        <f t="shared" si="41"/>
        <v>1</v>
      </c>
      <c r="X324" t="str" cm="1">
        <f t="array" ref="X324">_xlfn.IFS(W324&lt;=1,"Low",W324=2,"Medium",W324&gt;=3,"High")</f>
        <v>Low</v>
      </c>
    </row>
    <row r="325" spans="1:24" x14ac:dyDescent="0.3">
      <c r="A325" t="s">
        <v>705</v>
      </c>
      <c r="B325" t="s">
        <v>699</v>
      </c>
      <c r="C325" s="3">
        <v>45870</v>
      </c>
      <c r="D325" s="8" t="s">
        <v>706</v>
      </c>
      <c r="E325" s="7" t="s">
        <v>52</v>
      </c>
      <c r="F325" s="7" t="s">
        <v>53</v>
      </c>
      <c r="G325" s="7" t="s">
        <v>22</v>
      </c>
      <c r="H325" s="4">
        <v>526.54999999999995</v>
      </c>
      <c r="I325" s="7" t="s">
        <v>32</v>
      </c>
      <c r="J325" s="7" t="s">
        <v>17</v>
      </c>
      <c r="L325" t="str">
        <f>PROPER(TRIM(SUBSTITUTE(_xlfn.XLOOKUP(B325,Cardholders_Reference!A:A,Cardholders_Reference!B:B),","," ")))</f>
        <v>Sipho Naidoo</v>
      </c>
      <c r="M325" s="5">
        <f>_xlfn.XLOOKUP(B325,Cardholders_Reference!A:A,Cardholders_Reference!G:G)</f>
        <v>15000</v>
      </c>
      <c r="N325" s="7" t="str">
        <f>_xlfn.XLOOKUP(B325,Cardholders_Reference!A:A,Cardholders_Reference!D:D)</f>
        <v>FNB</v>
      </c>
      <c r="O325" s="7" t="str">
        <f>_xlfn.XLOOKUP(B325,Cardholders_Reference!A:A,Cardholders_Reference!E:E)</f>
        <v>Mastercard</v>
      </c>
      <c r="P325" s="6">
        <f t="shared" si="40"/>
        <v>3.5103333333333334E-2</v>
      </c>
      <c r="Q325">
        <f t="shared" si="35"/>
        <v>0</v>
      </c>
      <c r="R325">
        <f t="shared" si="36"/>
        <v>0</v>
      </c>
      <c r="S325">
        <f>IF(COUNTIFS($B$1:$B$738,B324,$C$1:$C$738,#REF!)&gt;2,1,0)</f>
        <v>0</v>
      </c>
      <c r="T325">
        <f t="shared" si="37"/>
        <v>0</v>
      </c>
      <c r="U325">
        <f t="shared" si="38"/>
        <v>1</v>
      </c>
      <c r="V325">
        <f t="shared" si="39"/>
        <v>0</v>
      </c>
      <c r="W325">
        <f t="shared" si="41"/>
        <v>1</v>
      </c>
      <c r="X325" t="str" cm="1">
        <f t="array" ref="X325">_xlfn.IFS(W325&lt;=1,"Low",W325=2,"Medium",W325&gt;=3,"High")</f>
        <v>Low</v>
      </c>
    </row>
    <row r="326" spans="1:24" x14ac:dyDescent="0.3">
      <c r="A326" t="s">
        <v>707</v>
      </c>
      <c r="B326" t="s">
        <v>699</v>
      </c>
      <c r="C326" s="3">
        <v>46027</v>
      </c>
      <c r="D326" s="8" t="s">
        <v>708</v>
      </c>
      <c r="E326" s="7" t="s">
        <v>35</v>
      </c>
      <c r="F326" s="7" t="s">
        <v>36</v>
      </c>
      <c r="G326" s="7" t="s">
        <v>22</v>
      </c>
      <c r="H326" s="4">
        <v>379.39</v>
      </c>
      <c r="I326" s="7" t="s">
        <v>32</v>
      </c>
      <c r="J326" s="7" t="s">
        <v>17</v>
      </c>
      <c r="L326" t="str">
        <f>PROPER(TRIM(SUBSTITUTE(_xlfn.XLOOKUP(B326,Cardholders_Reference!A:A,Cardholders_Reference!B:B),","," ")))</f>
        <v>Sipho Naidoo</v>
      </c>
      <c r="M326" s="5">
        <f>_xlfn.XLOOKUP(B326,Cardholders_Reference!A:A,Cardholders_Reference!G:G)</f>
        <v>15000</v>
      </c>
      <c r="N326" s="7" t="str">
        <f>_xlfn.XLOOKUP(B326,Cardholders_Reference!A:A,Cardholders_Reference!D:D)</f>
        <v>FNB</v>
      </c>
      <c r="O326" s="7" t="str">
        <f>_xlfn.XLOOKUP(B326,Cardholders_Reference!A:A,Cardholders_Reference!E:E)</f>
        <v>Mastercard</v>
      </c>
      <c r="P326" s="6">
        <f t="shared" si="40"/>
        <v>2.5292666666666665E-2</v>
      </c>
      <c r="Q326">
        <f t="shared" si="35"/>
        <v>0</v>
      </c>
      <c r="R326">
        <f t="shared" si="36"/>
        <v>0</v>
      </c>
      <c r="S326">
        <f>IF(COUNTIFS($B$1:$B$738,B325,$C$1:$C$738,#REF!)&gt;2,1,0)</f>
        <v>0</v>
      </c>
      <c r="T326">
        <f t="shared" si="37"/>
        <v>0</v>
      </c>
      <c r="U326">
        <f t="shared" si="38"/>
        <v>0</v>
      </c>
      <c r="V326">
        <f t="shared" si="39"/>
        <v>0</v>
      </c>
      <c r="W326">
        <f t="shared" si="41"/>
        <v>0</v>
      </c>
      <c r="X326" t="str" cm="1">
        <f t="array" ref="X326">_xlfn.IFS(W326&lt;=1,"Low",W326=2,"Medium",W326&gt;=3,"High")</f>
        <v>Low</v>
      </c>
    </row>
    <row r="327" spans="1:24" x14ac:dyDescent="0.3">
      <c r="A327" t="s">
        <v>709</v>
      </c>
      <c r="B327" t="s">
        <v>699</v>
      </c>
      <c r="C327" s="3">
        <v>45700</v>
      </c>
      <c r="D327" s="8" t="s">
        <v>710</v>
      </c>
      <c r="E327" s="7" t="s">
        <v>31</v>
      </c>
      <c r="F327" s="7" t="s">
        <v>25</v>
      </c>
      <c r="G327" s="7" t="s">
        <v>22</v>
      </c>
      <c r="H327" s="4">
        <v>694.21</v>
      </c>
      <c r="I327" s="7" t="s">
        <v>95</v>
      </c>
      <c r="J327" s="7" t="s">
        <v>17</v>
      </c>
      <c r="L327" t="str">
        <f>PROPER(TRIM(SUBSTITUTE(_xlfn.XLOOKUP(B327,Cardholders_Reference!A:A,Cardholders_Reference!B:B),","," ")))</f>
        <v>Sipho Naidoo</v>
      </c>
      <c r="M327" s="5">
        <f>_xlfn.XLOOKUP(B327,Cardholders_Reference!A:A,Cardholders_Reference!G:G)</f>
        <v>15000</v>
      </c>
      <c r="N327" s="7" t="str">
        <f>_xlfn.XLOOKUP(B327,Cardholders_Reference!A:A,Cardholders_Reference!D:D)</f>
        <v>FNB</v>
      </c>
      <c r="O327" s="7" t="str">
        <f>_xlfn.XLOOKUP(B327,Cardholders_Reference!A:A,Cardholders_Reference!E:E)</f>
        <v>Mastercard</v>
      </c>
      <c r="P327" s="6">
        <f t="shared" si="40"/>
        <v>4.6280666666666671E-2</v>
      </c>
      <c r="Q327">
        <f t="shared" si="35"/>
        <v>0</v>
      </c>
      <c r="R327">
        <f t="shared" si="36"/>
        <v>0</v>
      </c>
      <c r="S327">
        <f>IF(COUNTIFS($B$1:$B$738,B326,$C$1:$C$738,#REF!)&gt;2,1,0)</f>
        <v>0</v>
      </c>
      <c r="T327">
        <f t="shared" si="37"/>
        <v>0</v>
      </c>
      <c r="U327">
        <f t="shared" si="38"/>
        <v>0</v>
      </c>
      <c r="V327">
        <f t="shared" si="39"/>
        <v>1</v>
      </c>
      <c r="W327">
        <f t="shared" si="41"/>
        <v>1</v>
      </c>
      <c r="X327" t="str" cm="1">
        <f t="array" ref="X327">_xlfn.IFS(W327&lt;=1,"Low",W327=2,"Medium",W327&gt;=3,"High")</f>
        <v>Low</v>
      </c>
    </row>
    <row r="328" spans="1:24" x14ac:dyDescent="0.3">
      <c r="A328" t="s">
        <v>711</v>
      </c>
      <c r="B328" t="s">
        <v>699</v>
      </c>
      <c r="C328" s="3">
        <v>45725</v>
      </c>
      <c r="D328" s="8" t="s">
        <v>712</v>
      </c>
      <c r="E328" s="7" t="s">
        <v>129</v>
      </c>
      <c r="F328" s="7" t="s">
        <v>25</v>
      </c>
      <c r="G328" s="7" t="s">
        <v>22</v>
      </c>
      <c r="H328" s="4">
        <v>478.28</v>
      </c>
      <c r="I328" s="7" t="s">
        <v>32</v>
      </c>
      <c r="J328" s="7" t="s">
        <v>17</v>
      </c>
      <c r="L328" t="str">
        <f>PROPER(TRIM(SUBSTITUTE(_xlfn.XLOOKUP(B328,Cardholders_Reference!A:A,Cardholders_Reference!B:B),","," ")))</f>
        <v>Sipho Naidoo</v>
      </c>
      <c r="M328" s="5">
        <f>_xlfn.XLOOKUP(B328,Cardholders_Reference!A:A,Cardholders_Reference!G:G)</f>
        <v>15000</v>
      </c>
      <c r="N328" s="7" t="str">
        <f>_xlfn.XLOOKUP(B328,Cardholders_Reference!A:A,Cardholders_Reference!D:D)</f>
        <v>FNB</v>
      </c>
      <c r="O328" s="7" t="str">
        <f>_xlfn.XLOOKUP(B328,Cardholders_Reference!A:A,Cardholders_Reference!E:E)</f>
        <v>Mastercard</v>
      </c>
      <c r="P328" s="6">
        <f t="shared" si="40"/>
        <v>3.1885333333333335E-2</v>
      </c>
      <c r="Q328">
        <f t="shared" si="35"/>
        <v>0</v>
      </c>
      <c r="R328">
        <f t="shared" si="36"/>
        <v>0</v>
      </c>
      <c r="S328">
        <f>IF(COUNTIFS($B$1:$B$738,B327,$C$1:$C$738,#REF!)&gt;2,1,0)</f>
        <v>0</v>
      </c>
      <c r="T328">
        <f t="shared" si="37"/>
        <v>0</v>
      </c>
      <c r="U328">
        <f t="shared" si="38"/>
        <v>0</v>
      </c>
      <c r="V328">
        <f t="shared" si="39"/>
        <v>0</v>
      </c>
      <c r="W328">
        <f t="shared" si="41"/>
        <v>0</v>
      </c>
      <c r="X328" t="str" cm="1">
        <f t="array" ref="X328">_xlfn.IFS(W328&lt;=1,"Low",W328=2,"Medium",W328&gt;=3,"High")</f>
        <v>Low</v>
      </c>
    </row>
    <row r="329" spans="1:24" x14ac:dyDescent="0.3">
      <c r="A329" t="s">
        <v>713</v>
      </c>
      <c r="B329" t="s">
        <v>699</v>
      </c>
      <c r="C329" s="3">
        <v>45799</v>
      </c>
      <c r="D329" s="8" t="s">
        <v>714</v>
      </c>
      <c r="E329" s="7" t="s">
        <v>94</v>
      </c>
      <c r="F329" s="7" t="s">
        <v>53</v>
      </c>
      <c r="G329" s="7" t="s">
        <v>22</v>
      </c>
      <c r="H329" s="4">
        <v>776.69</v>
      </c>
      <c r="I329" s="7" t="s">
        <v>95</v>
      </c>
      <c r="J329" s="7" t="s">
        <v>17</v>
      </c>
      <c r="L329" t="str">
        <f>PROPER(TRIM(SUBSTITUTE(_xlfn.XLOOKUP(B329,Cardholders_Reference!A:A,Cardholders_Reference!B:B),","," ")))</f>
        <v>Sipho Naidoo</v>
      </c>
      <c r="M329" s="5">
        <f>_xlfn.XLOOKUP(B329,Cardholders_Reference!A:A,Cardholders_Reference!G:G)</f>
        <v>15000</v>
      </c>
      <c r="N329" s="7" t="str">
        <f>_xlfn.XLOOKUP(B329,Cardholders_Reference!A:A,Cardholders_Reference!D:D)</f>
        <v>FNB</v>
      </c>
      <c r="O329" s="7" t="str">
        <f>_xlfn.XLOOKUP(B329,Cardholders_Reference!A:A,Cardholders_Reference!E:E)</f>
        <v>Mastercard</v>
      </c>
      <c r="P329" s="6">
        <f t="shared" si="40"/>
        <v>5.1779333333333337E-2</v>
      </c>
      <c r="Q329">
        <f t="shared" si="35"/>
        <v>0</v>
      </c>
      <c r="R329">
        <f t="shared" si="36"/>
        <v>0</v>
      </c>
      <c r="S329">
        <f>IF(COUNTIFS($B$1:$B$738,B328,$C$1:$C$738,#REF!)&gt;2,1,0)</f>
        <v>0</v>
      </c>
      <c r="T329">
        <f t="shared" si="37"/>
        <v>0</v>
      </c>
      <c r="U329">
        <f t="shared" si="38"/>
        <v>0</v>
      </c>
      <c r="V329">
        <f t="shared" si="39"/>
        <v>1</v>
      </c>
      <c r="W329">
        <f t="shared" si="41"/>
        <v>1</v>
      </c>
      <c r="X329" t="str" cm="1">
        <f t="array" ref="X329">_xlfn.IFS(W329&lt;=1,"Low",W329=2,"Medium",W329&gt;=3,"High")</f>
        <v>Low</v>
      </c>
    </row>
    <row r="330" spans="1:24" x14ac:dyDescent="0.3">
      <c r="A330" t="s">
        <v>715</v>
      </c>
      <c r="B330" t="s">
        <v>699</v>
      </c>
      <c r="C330" s="3">
        <v>45962</v>
      </c>
      <c r="D330" s="8" t="s">
        <v>716</v>
      </c>
      <c r="E330" s="7" t="s">
        <v>180</v>
      </c>
      <c r="F330" s="7" t="s">
        <v>21</v>
      </c>
      <c r="G330" s="7" t="s">
        <v>49</v>
      </c>
      <c r="H330" s="4">
        <v>1092.17</v>
      </c>
      <c r="I330" s="7" t="s">
        <v>95</v>
      </c>
      <c r="J330" s="7" t="s">
        <v>41</v>
      </c>
      <c r="L330" t="str">
        <f>PROPER(TRIM(SUBSTITUTE(_xlfn.XLOOKUP(B330,Cardholders_Reference!A:A,Cardholders_Reference!B:B),","," ")))</f>
        <v>Sipho Naidoo</v>
      </c>
      <c r="M330" s="5">
        <f>_xlfn.XLOOKUP(B330,Cardholders_Reference!A:A,Cardholders_Reference!G:G)</f>
        <v>15000</v>
      </c>
      <c r="N330" s="7" t="str">
        <f>_xlfn.XLOOKUP(B330,Cardholders_Reference!A:A,Cardholders_Reference!D:D)</f>
        <v>FNB</v>
      </c>
      <c r="O330" s="7" t="str">
        <f>_xlfn.XLOOKUP(B330,Cardholders_Reference!A:A,Cardholders_Reference!E:E)</f>
        <v>Mastercard</v>
      </c>
      <c r="P330" s="6">
        <f t="shared" si="40"/>
        <v>7.2811333333333339E-2</v>
      </c>
      <c r="Q330">
        <f t="shared" si="35"/>
        <v>0</v>
      </c>
      <c r="R330">
        <f t="shared" si="36"/>
        <v>0</v>
      </c>
      <c r="S330">
        <f>IF(COUNTIFS($B$1:$B$738,B329,$C$1:$C$738,#REF!)&gt;2,1,0)</f>
        <v>0</v>
      </c>
      <c r="T330">
        <f t="shared" si="37"/>
        <v>0</v>
      </c>
      <c r="U330">
        <f t="shared" si="38"/>
        <v>0</v>
      </c>
      <c r="V330">
        <f t="shared" si="39"/>
        <v>1</v>
      </c>
      <c r="W330">
        <f t="shared" si="41"/>
        <v>1</v>
      </c>
      <c r="X330" t="str" cm="1">
        <f t="array" ref="X330">_xlfn.IFS(W330&lt;=1,"Low",W330=2,"Medium",W330&gt;=3,"High")</f>
        <v>Low</v>
      </c>
    </row>
    <row r="331" spans="1:24" x14ac:dyDescent="0.3">
      <c r="A331" t="s">
        <v>717</v>
      </c>
      <c r="B331" t="s">
        <v>699</v>
      </c>
      <c r="C331" s="3">
        <v>45873</v>
      </c>
      <c r="D331" s="8" t="s">
        <v>718</v>
      </c>
      <c r="E331" s="7" t="s">
        <v>242</v>
      </c>
      <c r="F331" s="7" t="s">
        <v>15</v>
      </c>
      <c r="G331" s="7" t="s">
        <v>22</v>
      </c>
      <c r="H331" s="4">
        <v>2933.05</v>
      </c>
      <c r="I331" s="7" t="s">
        <v>95</v>
      </c>
      <c r="J331" s="7" t="s">
        <v>41</v>
      </c>
      <c r="L331" t="str">
        <f>PROPER(TRIM(SUBSTITUTE(_xlfn.XLOOKUP(B331,Cardholders_Reference!A:A,Cardholders_Reference!B:B),","," ")))</f>
        <v>Sipho Naidoo</v>
      </c>
      <c r="M331" s="5">
        <f>_xlfn.XLOOKUP(B331,Cardholders_Reference!A:A,Cardholders_Reference!G:G)</f>
        <v>15000</v>
      </c>
      <c r="N331" s="7" t="str">
        <f>_xlfn.XLOOKUP(B331,Cardholders_Reference!A:A,Cardholders_Reference!D:D)</f>
        <v>FNB</v>
      </c>
      <c r="O331" s="7" t="str">
        <f>_xlfn.XLOOKUP(B331,Cardholders_Reference!A:A,Cardholders_Reference!E:E)</f>
        <v>Mastercard</v>
      </c>
      <c r="P331" s="6">
        <f t="shared" si="40"/>
        <v>0.19553666666666669</v>
      </c>
      <c r="Q331">
        <f t="shared" si="35"/>
        <v>1</v>
      </c>
      <c r="R331">
        <f t="shared" si="36"/>
        <v>0</v>
      </c>
      <c r="S331">
        <f>IF(COUNTIFS($B$1:$B$738,B330,$C$1:$C$738,#REF!)&gt;2,1,0)</f>
        <v>0</v>
      </c>
      <c r="T331">
        <f t="shared" si="37"/>
        <v>0</v>
      </c>
      <c r="U331">
        <f t="shared" si="38"/>
        <v>1</v>
      </c>
      <c r="V331">
        <f t="shared" si="39"/>
        <v>1</v>
      </c>
      <c r="W331">
        <f t="shared" si="41"/>
        <v>3</v>
      </c>
      <c r="X331" t="str" cm="1">
        <f t="array" ref="X331">_xlfn.IFS(W331&lt;=1,"Low",W331=2,"Medium",W331&gt;=3,"High")</f>
        <v>High</v>
      </c>
    </row>
    <row r="332" spans="1:24" x14ac:dyDescent="0.3">
      <c r="A332" t="s">
        <v>719</v>
      </c>
      <c r="B332" t="s">
        <v>699</v>
      </c>
      <c r="C332" s="3">
        <v>45829</v>
      </c>
      <c r="D332" s="8" t="s">
        <v>720</v>
      </c>
      <c r="E332" s="7" t="s">
        <v>104</v>
      </c>
      <c r="F332" s="7" t="s">
        <v>65</v>
      </c>
      <c r="G332" s="7" t="s">
        <v>22</v>
      </c>
      <c r="H332" s="4">
        <v>3322.03</v>
      </c>
      <c r="I332" s="7" t="s">
        <v>26</v>
      </c>
      <c r="J332" s="7" t="s">
        <v>17</v>
      </c>
      <c r="L332" t="str">
        <f>PROPER(TRIM(SUBSTITUTE(_xlfn.XLOOKUP(B332,Cardholders_Reference!A:A,Cardholders_Reference!B:B),","," ")))</f>
        <v>Sipho Naidoo</v>
      </c>
      <c r="M332" s="5">
        <f>_xlfn.XLOOKUP(B332,Cardholders_Reference!A:A,Cardholders_Reference!G:G)</f>
        <v>15000</v>
      </c>
      <c r="N332" s="7" t="str">
        <f>_xlfn.XLOOKUP(B332,Cardholders_Reference!A:A,Cardholders_Reference!D:D)</f>
        <v>FNB</v>
      </c>
      <c r="O332" s="7" t="str">
        <f>_xlfn.XLOOKUP(B332,Cardholders_Reference!A:A,Cardholders_Reference!E:E)</f>
        <v>Mastercard</v>
      </c>
      <c r="P332" s="6">
        <f t="shared" si="40"/>
        <v>0.22146866666666667</v>
      </c>
      <c r="Q332">
        <f t="shared" si="35"/>
        <v>0</v>
      </c>
      <c r="R332">
        <f t="shared" si="36"/>
        <v>0</v>
      </c>
      <c r="S332">
        <f>IF(COUNTIFS($B$1:$B$738,B331,$C$1:$C$738,#REF!)&gt;2,1,0)</f>
        <v>0</v>
      </c>
      <c r="T332">
        <f t="shared" si="37"/>
        <v>0</v>
      </c>
      <c r="U332">
        <f t="shared" si="38"/>
        <v>0</v>
      </c>
      <c r="V332">
        <f t="shared" si="39"/>
        <v>1</v>
      </c>
      <c r="W332">
        <f t="shared" si="41"/>
        <v>1</v>
      </c>
      <c r="X332" t="str" cm="1">
        <f t="array" ref="X332">_xlfn.IFS(W332&lt;=1,"Low",W332=2,"Medium",W332&gt;=3,"High")</f>
        <v>Low</v>
      </c>
    </row>
    <row r="333" spans="1:24" x14ac:dyDescent="0.3">
      <c r="A333" t="s">
        <v>721</v>
      </c>
      <c r="B333" t="s">
        <v>699</v>
      </c>
      <c r="C333" s="3">
        <v>45733</v>
      </c>
      <c r="D333" s="8" t="s">
        <v>247</v>
      </c>
      <c r="E333" s="7" t="s">
        <v>368</v>
      </c>
      <c r="F333" s="7" t="s">
        <v>21</v>
      </c>
      <c r="G333" s="7" t="s">
        <v>22</v>
      </c>
      <c r="H333" s="4">
        <v>2239.69</v>
      </c>
      <c r="I333" s="7" t="s">
        <v>16</v>
      </c>
      <c r="J333" s="7" t="s">
        <v>17</v>
      </c>
      <c r="L333" t="str">
        <f>PROPER(TRIM(SUBSTITUTE(_xlfn.XLOOKUP(B333,Cardholders_Reference!A:A,Cardholders_Reference!B:B),","," ")))</f>
        <v>Sipho Naidoo</v>
      </c>
      <c r="M333" s="5">
        <f>_xlfn.XLOOKUP(B333,Cardholders_Reference!A:A,Cardholders_Reference!G:G)</f>
        <v>15000</v>
      </c>
      <c r="N333" s="7" t="str">
        <f>_xlfn.XLOOKUP(B333,Cardholders_Reference!A:A,Cardholders_Reference!D:D)</f>
        <v>FNB</v>
      </c>
      <c r="O333" s="7" t="str">
        <f>_xlfn.XLOOKUP(B333,Cardholders_Reference!A:A,Cardholders_Reference!E:E)</f>
        <v>Mastercard</v>
      </c>
      <c r="P333" s="6">
        <f t="shared" si="40"/>
        <v>0.14931266666666668</v>
      </c>
      <c r="Q333">
        <f t="shared" si="35"/>
        <v>0</v>
      </c>
      <c r="R333">
        <f t="shared" si="36"/>
        <v>0</v>
      </c>
      <c r="S333">
        <f>IF(COUNTIFS($B$1:$B$738,B332,$C$1:$C$738,#REF!)&gt;2,1,0)</f>
        <v>0</v>
      </c>
      <c r="T333">
        <f t="shared" si="37"/>
        <v>0</v>
      </c>
      <c r="U333">
        <f t="shared" si="38"/>
        <v>1</v>
      </c>
      <c r="V333">
        <f t="shared" si="39"/>
        <v>0</v>
      </c>
      <c r="W333">
        <f t="shared" si="41"/>
        <v>1</v>
      </c>
      <c r="X333" t="str" cm="1">
        <f t="array" ref="X333">_xlfn.IFS(W333&lt;=1,"Low",W333=2,"Medium",W333&gt;=3,"High")</f>
        <v>Low</v>
      </c>
    </row>
    <row r="334" spans="1:24" x14ac:dyDescent="0.3">
      <c r="A334" t="s">
        <v>722</v>
      </c>
      <c r="B334" t="s">
        <v>699</v>
      </c>
      <c r="C334" s="3">
        <v>45779</v>
      </c>
      <c r="D334" s="8" t="s">
        <v>179</v>
      </c>
      <c r="E334" s="7" t="s">
        <v>308</v>
      </c>
      <c r="F334" s="7" t="s">
        <v>91</v>
      </c>
      <c r="G334" s="7" t="s">
        <v>108</v>
      </c>
      <c r="H334" s="4">
        <v>3374.05</v>
      </c>
      <c r="I334" s="7" t="s">
        <v>95</v>
      </c>
      <c r="J334" s="7" t="s">
        <v>41</v>
      </c>
      <c r="L334" t="str">
        <f>PROPER(TRIM(SUBSTITUTE(_xlfn.XLOOKUP(B334,Cardholders_Reference!A:A,Cardholders_Reference!B:B),","," ")))</f>
        <v>Sipho Naidoo</v>
      </c>
      <c r="M334" s="5">
        <f>_xlfn.XLOOKUP(B334,Cardholders_Reference!A:A,Cardholders_Reference!G:G)</f>
        <v>15000</v>
      </c>
      <c r="N334" s="7" t="str">
        <f>_xlfn.XLOOKUP(B334,Cardholders_Reference!A:A,Cardholders_Reference!D:D)</f>
        <v>FNB</v>
      </c>
      <c r="O334" s="7" t="str">
        <f>_xlfn.XLOOKUP(B334,Cardholders_Reference!A:A,Cardholders_Reference!E:E)</f>
        <v>Mastercard</v>
      </c>
      <c r="P334" s="6">
        <f t="shared" si="40"/>
        <v>0.22493666666666667</v>
      </c>
      <c r="Q334">
        <f t="shared" si="35"/>
        <v>0</v>
      </c>
      <c r="R334">
        <f t="shared" si="36"/>
        <v>0</v>
      </c>
      <c r="S334">
        <f>IF(COUNTIFS($B$1:$B$738,B333,$C$1:$C$738,#REF!)&gt;2,1,0)</f>
        <v>0</v>
      </c>
      <c r="T334">
        <f t="shared" si="37"/>
        <v>0</v>
      </c>
      <c r="U334">
        <f t="shared" si="38"/>
        <v>1</v>
      </c>
      <c r="V334">
        <f t="shared" si="39"/>
        <v>1</v>
      </c>
      <c r="W334">
        <f t="shared" si="41"/>
        <v>2</v>
      </c>
      <c r="X334" t="str" cm="1">
        <f t="array" ref="X334">_xlfn.IFS(W334&lt;=1,"Low",W334=2,"Medium",W334&gt;=3,"High")</f>
        <v>Medium</v>
      </c>
    </row>
    <row r="335" spans="1:24" x14ac:dyDescent="0.3">
      <c r="A335" t="s">
        <v>723</v>
      </c>
      <c r="B335" t="s">
        <v>699</v>
      </c>
      <c r="C335" s="3">
        <v>46846</v>
      </c>
      <c r="D335" s="8" t="s">
        <v>532</v>
      </c>
      <c r="E335" s="7" t="s">
        <v>90</v>
      </c>
      <c r="F335" s="7" t="s">
        <v>91</v>
      </c>
      <c r="G335" s="7" t="s">
        <v>22</v>
      </c>
      <c r="H335" s="4">
        <v>2020.98</v>
      </c>
      <c r="I335" s="7" t="s">
        <v>95</v>
      </c>
      <c r="J335" s="7" t="s">
        <v>17</v>
      </c>
      <c r="L335" t="str">
        <f>PROPER(TRIM(SUBSTITUTE(_xlfn.XLOOKUP(B335,Cardholders_Reference!A:A,Cardholders_Reference!B:B),","," ")))</f>
        <v>Sipho Naidoo</v>
      </c>
      <c r="M335" s="5">
        <f>_xlfn.XLOOKUP(B335,Cardholders_Reference!A:A,Cardholders_Reference!G:G)</f>
        <v>15000</v>
      </c>
      <c r="N335" s="7" t="str">
        <f>_xlfn.XLOOKUP(B335,Cardholders_Reference!A:A,Cardholders_Reference!D:D)</f>
        <v>FNB</v>
      </c>
      <c r="O335" s="7" t="str">
        <f>_xlfn.XLOOKUP(B335,Cardholders_Reference!A:A,Cardholders_Reference!E:E)</f>
        <v>Mastercard</v>
      </c>
      <c r="P335" s="6">
        <f t="shared" si="40"/>
        <v>0.13473199999999999</v>
      </c>
      <c r="Q335">
        <f t="shared" si="35"/>
        <v>1</v>
      </c>
      <c r="R335">
        <f t="shared" si="36"/>
        <v>0</v>
      </c>
      <c r="S335">
        <f>IF(COUNTIFS($B$1:$B$738,B334,$C$1:$C$738,#REF!)&gt;2,1,0)</f>
        <v>0</v>
      </c>
      <c r="T335">
        <f t="shared" si="37"/>
        <v>0</v>
      </c>
      <c r="U335">
        <f t="shared" si="38"/>
        <v>0</v>
      </c>
      <c r="V335">
        <f t="shared" si="39"/>
        <v>1</v>
      </c>
      <c r="W335">
        <f t="shared" si="41"/>
        <v>2</v>
      </c>
      <c r="X335" t="str" cm="1">
        <f t="array" ref="X335">_xlfn.IFS(W335&lt;=1,"Low",W335=2,"Medium",W335&gt;=3,"High")</f>
        <v>Medium</v>
      </c>
    </row>
    <row r="336" spans="1:24" x14ac:dyDescent="0.3">
      <c r="A336" t="s">
        <v>724</v>
      </c>
      <c r="B336" t="s">
        <v>699</v>
      </c>
      <c r="C336" s="3">
        <v>46124</v>
      </c>
      <c r="D336" s="8" t="s">
        <v>725</v>
      </c>
      <c r="E336" s="7" t="s">
        <v>39</v>
      </c>
      <c r="F336" s="7" t="s">
        <v>40</v>
      </c>
      <c r="G336" s="7" t="s">
        <v>22</v>
      </c>
      <c r="H336" s="4">
        <v>392.73</v>
      </c>
      <c r="I336" s="7" t="s">
        <v>95</v>
      </c>
      <c r="J336" s="7" t="s">
        <v>17</v>
      </c>
      <c r="K336" t="s">
        <v>183</v>
      </c>
      <c r="L336" t="str">
        <f>PROPER(TRIM(SUBSTITUTE(_xlfn.XLOOKUP(B336,Cardholders_Reference!A:A,Cardholders_Reference!B:B),","," ")))</f>
        <v>Sipho Naidoo</v>
      </c>
      <c r="M336" s="5">
        <f>_xlfn.XLOOKUP(B336,Cardholders_Reference!A:A,Cardholders_Reference!G:G)</f>
        <v>15000</v>
      </c>
      <c r="N336" s="7" t="str">
        <f>_xlfn.XLOOKUP(B336,Cardholders_Reference!A:A,Cardholders_Reference!D:D)</f>
        <v>FNB</v>
      </c>
      <c r="O336" s="7" t="str">
        <f>_xlfn.XLOOKUP(B336,Cardholders_Reference!A:A,Cardholders_Reference!E:E)</f>
        <v>Mastercard</v>
      </c>
      <c r="P336" s="6">
        <f t="shared" si="40"/>
        <v>2.6182E-2</v>
      </c>
      <c r="Q336">
        <f t="shared" si="35"/>
        <v>0</v>
      </c>
      <c r="R336">
        <f t="shared" si="36"/>
        <v>0</v>
      </c>
      <c r="S336">
        <f>IF(COUNTIFS($B$1:$B$738,B335,$C$1:$C$738,#REF!)&gt;2,1,0)</f>
        <v>0</v>
      </c>
      <c r="T336">
        <f t="shared" si="37"/>
        <v>0</v>
      </c>
      <c r="U336">
        <f t="shared" si="38"/>
        <v>0</v>
      </c>
      <c r="V336">
        <f t="shared" si="39"/>
        <v>1</v>
      </c>
      <c r="W336">
        <f t="shared" si="41"/>
        <v>1</v>
      </c>
      <c r="X336" t="str" cm="1">
        <f t="array" ref="X336">_xlfn.IFS(W336&lt;=1,"Low",W336=2,"Medium",W336&gt;=3,"High")</f>
        <v>Low</v>
      </c>
    </row>
    <row r="337" spans="1:24" x14ac:dyDescent="0.3">
      <c r="A337" t="s">
        <v>726</v>
      </c>
      <c r="B337" t="s">
        <v>699</v>
      </c>
      <c r="C337" s="3">
        <v>45923</v>
      </c>
      <c r="D337" s="8" t="s">
        <v>493</v>
      </c>
      <c r="E337" s="7" t="s">
        <v>80</v>
      </c>
      <c r="F337" s="7" t="s">
        <v>81</v>
      </c>
      <c r="G337" s="7" t="s">
        <v>22</v>
      </c>
      <c r="H337" s="4">
        <v>12877.2</v>
      </c>
      <c r="I337" s="7" t="s">
        <v>32</v>
      </c>
      <c r="J337" s="7" t="s">
        <v>17</v>
      </c>
      <c r="L337" t="str">
        <f>PROPER(TRIM(SUBSTITUTE(_xlfn.XLOOKUP(B337,Cardholders_Reference!A:A,Cardholders_Reference!B:B),","," ")))</f>
        <v>Sipho Naidoo</v>
      </c>
      <c r="M337" s="5">
        <f>_xlfn.XLOOKUP(B337,Cardholders_Reference!A:A,Cardholders_Reference!G:G)</f>
        <v>15000</v>
      </c>
      <c r="N337" s="7" t="str">
        <f>_xlfn.XLOOKUP(B337,Cardholders_Reference!A:A,Cardholders_Reference!D:D)</f>
        <v>FNB</v>
      </c>
      <c r="O337" s="7" t="str">
        <f>_xlfn.XLOOKUP(B337,Cardholders_Reference!A:A,Cardholders_Reference!E:E)</f>
        <v>Mastercard</v>
      </c>
      <c r="P337" s="6">
        <f t="shared" si="40"/>
        <v>0.85848000000000002</v>
      </c>
      <c r="Q337">
        <f t="shared" si="35"/>
        <v>0</v>
      </c>
      <c r="R337">
        <f t="shared" si="36"/>
        <v>0</v>
      </c>
      <c r="S337">
        <f>IF(COUNTIFS($B$1:$B$738,B336,$C$1:$C$738,#REF!)&gt;2,1,0)</f>
        <v>0</v>
      </c>
      <c r="T337">
        <f t="shared" si="37"/>
        <v>0</v>
      </c>
      <c r="U337">
        <f t="shared" si="38"/>
        <v>0</v>
      </c>
      <c r="V337">
        <f t="shared" si="39"/>
        <v>0</v>
      </c>
      <c r="W337">
        <f t="shared" si="41"/>
        <v>0</v>
      </c>
      <c r="X337" t="str" cm="1">
        <f t="array" ref="X337">_xlfn.IFS(W337&lt;=1,"Low",W337=2,"Medium",W337&gt;=3,"High")</f>
        <v>Low</v>
      </c>
    </row>
    <row r="338" spans="1:24" x14ac:dyDescent="0.3">
      <c r="A338" t="s">
        <v>727</v>
      </c>
      <c r="B338" t="s">
        <v>728</v>
      </c>
      <c r="C338" s="3">
        <v>46135</v>
      </c>
      <c r="D338" s="8" t="s">
        <v>729</v>
      </c>
      <c r="E338" s="7" t="s">
        <v>64</v>
      </c>
      <c r="F338" s="7" t="s">
        <v>65</v>
      </c>
      <c r="G338" s="7" t="s">
        <v>22</v>
      </c>
      <c r="H338" s="4">
        <v>4829.03</v>
      </c>
      <c r="I338" s="7" t="s">
        <v>32</v>
      </c>
      <c r="J338" s="7" t="s">
        <v>17</v>
      </c>
      <c r="L338" t="str">
        <f>PROPER(TRIM(SUBSTITUTE(_xlfn.XLOOKUP(B338,Cardholders_Reference!A:A,Cardholders_Reference!B:B),","," ")))</f>
        <v>Naledi Sithole</v>
      </c>
      <c r="M338" s="5">
        <f>_xlfn.XLOOKUP(B338,Cardholders_Reference!A:A,Cardholders_Reference!G:G)</f>
        <v>25000</v>
      </c>
      <c r="N338" s="7" t="str">
        <f>_xlfn.XLOOKUP(B338,Cardholders_Reference!A:A,Cardholders_Reference!D:D)</f>
        <v>Capitec</v>
      </c>
      <c r="O338" s="7" t="str">
        <f>_xlfn.XLOOKUP(B338,Cardholders_Reference!A:A,Cardholders_Reference!E:E)</f>
        <v>Mastercard</v>
      </c>
      <c r="P338" s="6">
        <f t="shared" si="40"/>
        <v>0.19316119999999998</v>
      </c>
      <c r="Q338">
        <f t="shared" si="35"/>
        <v>0</v>
      </c>
      <c r="R338">
        <f t="shared" si="36"/>
        <v>0</v>
      </c>
      <c r="S338">
        <f>IF(COUNTIFS($B$1:$B$738,B337,$C$1:$C$738,#REF!)&gt;2,1,0)</f>
        <v>0</v>
      </c>
      <c r="T338">
        <f t="shared" si="37"/>
        <v>1</v>
      </c>
      <c r="U338">
        <f t="shared" si="38"/>
        <v>0</v>
      </c>
      <c r="V338">
        <f t="shared" si="39"/>
        <v>0</v>
      </c>
      <c r="W338">
        <f t="shared" si="41"/>
        <v>1</v>
      </c>
      <c r="X338" t="str" cm="1">
        <f t="array" ref="X338">_xlfn.IFS(W338&lt;=1,"Low",W338=2,"Medium",W338&gt;=3,"High")</f>
        <v>Low</v>
      </c>
    </row>
    <row r="339" spans="1:24" x14ac:dyDescent="0.3">
      <c r="A339" t="s">
        <v>730</v>
      </c>
      <c r="B339" t="s">
        <v>728</v>
      </c>
      <c r="C339" s="3">
        <v>45755</v>
      </c>
      <c r="D339" s="8" t="s">
        <v>1439</v>
      </c>
      <c r="E339" s="7" t="s">
        <v>121</v>
      </c>
      <c r="F339" s="7" t="s">
        <v>36</v>
      </c>
      <c r="G339" s="7" t="s">
        <v>22</v>
      </c>
      <c r="H339" s="4">
        <v>441.56</v>
      </c>
      <c r="I339" s="7" t="s">
        <v>32</v>
      </c>
      <c r="J339" s="7" t="s">
        <v>17</v>
      </c>
      <c r="L339" t="str">
        <f>PROPER(TRIM(SUBSTITUTE(_xlfn.XLOOKUP(B339,Cardholders_Reference!A:A,Cardholders_Reference!B:B),","," ")))</f>
        <v>Naledi Sithole</v>
      </c>
      <c r="M339" s="5">
        <f>_xlfn.XLOOKUP(B339,Cardholders_Reference!A:A,Cardholders_Reference!G:G)</f>
        <v>25000</v>
      </c>
      <c r="N339" s="7" t="str">
        <f>_xlfn.XLOOKUP(B339,Cardholders_Reference!A:A,Cardholders_Reference!D:D)</f>
        <v>Capitec</v>
      </c>
      <c r="O339" s="7" t="str">
        <f>_xlfn.XLOOKUP(B339,Cardholders_Reference!A:A,Cardholders_Reference!E:E)</f>
        <v>Mastercard</v>
      </c>
      <c r="P339" s="6">
        <f t="shared" si="40"/>
        <v>1.7662400000000002E-2</v>
      </c>
      <c r="Q339">
        <f t="shared" si="35"/>
        <v>0</v>
      </c>
      <c r="R339">
        <f t="shared" si="36"/>
        <v>1</v>
      </c>
      <c r="S339">
        <f>IF(COUNTIFS($B$1:$B$738,B338,$C$1:$C$738,#REF!)&gt;2,1,0)</f>
        <v>0</v>
      </c>
      <c r="T339">
        <f t="shared" si="37"/>
        <v>0</v>
      </c>
      <c r="U339">
        <f t="shared" si="38"/>
        <v>1</v>
      </c>
      <c r="V339">
        <f t="shared" si="39"/>
        <v>0</v>
      </c>
      <c r="W339">
        <f t="shared" si="41"/>
        <v>2</v>
      </c>
      <c r="X339" t="str" cm="1">
        <f t="array" ref="X339">_xlfn.IFS(W339&lt;=1,"Low",W339=2,"Medium",W339&gt;=3,"High")</f>
        <v>Medium</v>
      </c>
    </row>
    <row r="340" spans="1:24" x14ac:dyDescent="0.3">
      <c r="A340" t="s">
        <v>731</v>
      </c>
      <c r="B340" t="s">
        <v>728</v>
      </c>
      <c r="C340" s="3">
        <v>46118</v>
      </c>
      <c r="D340" s="8" t="s">
        <v>414</v>
      </c>
      <c r="E340" s="7" t="s">
        <v>132</v>
      </c>
      <c r="F340" s="7" t="s">
        <v>25</v>
      </c>
      <c r="G340" s="7" t="s">
        <v>22</v>
      </c>
      <c r="H340" s="4">
        <v>711.04</v>
      </c>
      <c r="I340" s="7" t="s">
        <v>26</v>
      </c>
      <c r="J340" s="7" t="s">
        <v>17</v>
      </c>
      <c r="L340" t="str">
        <f>PROPER(TRIM(SUBSTITUTE(_xlfn.XLOOKUP(B340,Cardholders_Reference!A:A,Cardholders_Reference!B:B),","," ")))</f>
        <v>Naledi Sithole</v>
      </c>
      <c r="M340" s="5">
        <f>_xlfn.XLOOKUP(B340,Cardholders_Reference!A:A,Cardholders_Reference!G:G)</f>
        <v>25000</v>
      </c>
      <c r="N340" s="7" t="str">
        <f>_xlfn.XLOOKUP(B340,Cardholders_Reference!A:A,Cardholders_Reference!D:D)</f>
        <v>Capitec</v>
      </c>
      <c r="O340" s="7" t="str">
        <f>_xlfn.XLOOKUP(B340,Cardholders_Reference!A:A,Cardholders_Reference!E:E)</f>
        <v>Mastercard</v>
      </c>
      <c r="P340" s="6">
        <f t="shared" si="40"/>
        <v>2.8441599999999997E-2</v>
      </c>
      <c r="Q340">
        <f t="shared" si="35"/>
        <v>0</v>
      </c>
      <c r="R340">
        <f t="shared" si="36"/>
        <v>0</v>
      </c>
      <c r="S340">
        <f>IF(COUNTIFS($B$1:$B$738,B339,$C$1:$C$738,#REF!)&gt;2,1,0)</f>
        <v>0</v>
      </c>
      <c r="T340">
        <f t="shared" si="37"/>
        <v>0</v>
      </c>
      <c r="U340">
        <f t="shared" si="38"/>
        <v>0</v>
      </c>
      <c r="V340">
        <f t="shared" si="39"/>
        <v>1</v>
      </c>
      <c r="W340">
        <f t="shared" si="41"/>
        <v>1</v>
      </c>
      <c r="X340" t="str" cm="1">
        <f t="array" ref="X340">_xlfn.IFS(W340&lt;=1,"Low",W340=2,"Medium",W340&gt;=3,"High")</f>
        <v>Low</v>
      </c>
    </row>
    <row r="341" spans="1:24" x14ac:dyDescent="0.3">
      <c r="A341" t="s">
        <v>732</v>
      </c>
      <c r="B341" t="s">
        <v>728</v>
      </c>
      <c r="C341" s="3">
        <v>45904</v>
      </c>
      <c r="D341" s="8" t="s">
        <v>381</v>
      </c>
      <c r="E341" s="7" t="s">
        <v>331</v>
      </c>
      <c r="F341" s="7" t="s">
        <v>40</v>
      </c>
      <c r="G341" s="7" t="s">
        <v>22</v>
      </c>
      <c r="H341" s="4">
        <v>288.37</v>
      </c>
      <c r="I341" s="7" t="s">
        <v>95</v>
      </c>
      <c r="J341" s="7" t="s">
        <v>17</v>
      </c>
      <c r="L341" t="str">
        <f>PROPER(TRIM(SUBSTITUTE(_xlfn.XLOOKUP(B341,Cardholders_Reference!A:A,Cardholders_Reference!B:B),","," ")))</f>
        <v>Naledi Sithole</v>
      </c>
      <c r="M341" s="5">
        <f>_xlfn.XLOOKUP(B341,Cardholders_Reference!A:A,Cardholders_Reference!G:G)</f>
        <v>25000</v>
      </c>
      <c r="N341" s="7" t="str">
        <f>_xlfn.XLOOKUP(B341,Cardholders_Reference!A:A,Cardholders_Reference!D:D)</f>
        <v>Capitec</v>
      </c>
      <c r="O341" s="7" t="str">
        <f>_xlfn.XLOOKUP(B341,Cardholders_Reference!A:A,Cardholders_Reference!E:E)</f>
        <v>Mastercard</v>
      </c>
      <c r="P341" s="6">
        <f t="shared" si="40"/>
        <v>1.15348E-2</v>
      </c>
      <c r="Q341">
        <f t="shared" si="35"/>
        <v>0</v>
      </c>
      <c r="R341">
        <f t="shared" si="36"/>
        <v>0</v>
      </c>
      <c r="S341">
        <f>IF(COUNTIFS($B$1:$B$738,B340,$C$1:$C$738,#REF!)&gt;2,1,0)</f>
        <v>0</v>
      </c>
      <c r="T341">
        <f t="shared" si="37"/>
        <v>0</v>
      </c>
      <c r="U341">
        <f t="shared" si="38"/>
        <v>0</v>
      </c>
      <c r="V341">
        <f t="shared" si="39"/>
        <v>1</v>
      </c>
      <c r="W341">
        <f t="shared" si="41"/>
        <v>1</v>
      </c>
      <c r="X341" t="str" cm="1">
        <f t="array" ref="X341">_xlfn.IFS(W341&lt;=1,"Low",W341=2,"Medium",W341&gt;=3,"High")</f>
        <v>Low</v>
      </c>
    </row>
    <row r="342" spans="1:24" x14ac:dyDescent="0.3">
      <c r="A342" t="s">
        <v>733</v>
      </c>
      <c r="B342" t="s">
        <v>728</v>
      </c>
      <c r="C342" s="3">
        <v>45701</v>
      </c>
      <c r="D342" s="8" t="s">
        <v>734</v>
      </c>
      <c r="E342" s="7" t="s">
        <v>132</v>
      </c>
      <c r="F342" s="7" t="s">
        <v>25</v>
      </c>
      <c r="G342" s="7" t="s">
        <v>177</v>
      </c>
      <c r="H342" s="4">
        <v>366.82</v>
      </c>
      <c r="I342" s="7" t="s">
        <v>32</v>
      </c>
      <c r="J342" s="7" t="s">
        <v>17</v>
      </c>
      <c r="L342" t="str">
        <f>PROPER(TRIM(SUBSTITUTE(_xlfn.XLOOKUP(B342,Cardholders_Reference!A:A,Cardholders_Reference!B:B),","," ")))</f>
        <v>Naledi Sithole</v>
      </c>
      <c r="M342" s="5">
        <f>_xlfn.XLOOKUP(B342,Cardholders_Reference!A:A,Cardholders_Reference!G:G)</f>
        <v>25000</v>
      </c>
      <c r="N342" s="7" t="str">
        <f>_xlfn.XLOOKUP(B342,Cardholders_Reference!A:A,Cardholders_Reference!D:D)</f>
        <v>Capitec</v>
      </c>
      <c r="O342" s="7" t="str">
        <f>_xlfn.XLOOKUP(B342,Cardholders_Reference!A:A,Cardholders_Reference!E:E)</f>
        <v>Mastercard</v>
      </c>
      <c r="P342" s="6">
        <f t="shared" si="40"/>
        <v>1.46728E-2</v>
      </c>
      <c r="Q342">
        <f t="shared" si="35"/>
        <v>0</v>
      </c>
      <c r="R342">
        <f t="shared" si="36"/>
        <v>0</v>
      </c>
      <c r="S342">
        <f>IF(COUNTIFS($B$1:$B$738,B341,$C$1:$C$738,#REF!)&gt;2,1,0)</f>
        <v>0</v>
      </c>
      <c r="T342">
        <f t="shared" si="37"/>
        <v>0</v>
      </c>
      <c r="U342">
        <f t="shared" si="38"/>
        <v>0</v>
      </c>
      <c r="V342">
        <f t="shared" si="39"/>
        <v>0</v>
      </c>
      <c r="W342">
        <f t="shared" si="41"/>
        <v>0</v>
      </c>
      <c r="X342" t="str" cm="1">
        <f t="array" ref="X342">_xlfn.IFS(W342&lt;=1,"Low",W342=2,"Medium",W342&gt;=3,"High")</f>
        <v>Low</v>
      </c>
    </row>
    <row r="343" spans="1:24" x14ac:dyDescent="0.3">
      <c r="A343" t="s">
        <v>735</v>
      </c>
      <c r="B343" t="s">
        <v>728</v>
      </c>
      <c r="C343" s="3">
        <v>46012</v>
      </c>
      <c r="D343" s="8" t="s">
        <v>736</v>
      </c>
      <c r="E343" s="7" t="s">
        <v>97</v>
      </c>
      <c r="F343" s="7" t="s">
        <v>53</v>
      </c>
      <c r="G343" s="7" t="s">
        <v>22</v>
      </c>
      <c r="H343" s="4">
        <v>1192.5899999999999</v>
      </c>
      <c r="I343" s="7" t="s">
        <v>26</v>
      </c>
      <c r="J343" s="7" t="s">
        <v>17</v>
      </c>
      <c r="L343" t="str">
        <f>PROPER(TRIM(SUBSTITUTE(_xlfn.XLOOKUP(B343,Cardholders_Reference!A:A,Cardholders_Reference!B:B),","," ")))</f>
        <v>Naledi Sithole</v>
      </c>
      <c r="M343" s="5">
        <f>_xlfn.XLOOKUP(B343,Cardholders_Reference!A:A,Cardholders_Reference!G:G)</f>
        <v>25000</v>
      </c>
      <c r="N343" s="7" t="str">
        <f>_xlfn.XLOOKUP(B343,Cardholders_Reference!A:A,Cardholders_Reference!D:D)</f>
        <v>Capitec</v>
      </c>
      <c r="O343" s="7" t="str">
        <f>_xlfn.XLOOKUP(B343,Cardholders_Reference!A:A,Cardholders_Reference!E:E)</f>
        <v>Mastercard</v>
      </c>
      <c r="P343" s="6">
        <f t="shared" si="40"/>
        <v>4.7703599999999999E-2</v>
      </c>
      <c r="Q343">
        <f t="shared" si="35"/>
        <v>1</v>
      </c>
      <c r="R343">
        <f t="shared" si="36"/>
        <v>0</v>
      </c>
      <c r="S343">
        <f>IF(COUNTIFS($B$1:$B$738,B342,$C$1:$C$738,#REF!)&gt;2,1,0)</f>
        <v>0</v>
      </c>
      <c r="T343">
        <f t="shared" si="37"/>
        <v>0</v>
      </c>
      <c r="U343">
        <f t="shared" si="38"/>
        <v>0</v>
      </c>
      <c r="V343">
        <f t="shared" si="39"/>
        <v>1</v>
      </c>
      <c r="W343">
        <f t="shared" si="41"/>
        <v>2</v>
      </c>
      <c r="X343" t="str" cm="1">
        <f t="array" ref="X343">_xlfn.IFS(W343&lt;=1,"Low",W343=2,"Medium",W343&gt;=3,"High")</f>
        <v>Medium</v>
      </c>
    </row>
    <row r="344" spans="1:24" x14ac:dyDescent="0.3">
      <c r="A344" t="s">
        <v>737</v>
      </c>
      <c r="B344" t="s">
        <v>728</v>
      </c>
      <c r="C344" s="3">
        <v>45833</v>
      </c>
      <c r="D344" s="8" t="s">
        <v>1439</v>
      </c>
      <c r="E344" s="7" t="s">
        <v>170</v>
      </c>
      <c r="F344" s="7" t="s">
        <v>91</v>
      </c>
      <c r="G344" s="7" t="s">
        <v>145</v>
      </c>
      <c r="H344" s="4">
        <v>1021.75</v>
      </c>
      <c r="I344" s="7" t="s">
        <v>26</v>
      </c>
      <c r="J344" s="7" t="s">
        <v>41</v>
      </c>
      <c r="L344" t="str">
        <f>PROPER(TRIM(SUBSTITUTE(_xlfn.XLOOKUP(B344,Cardholders_Reference!A:A,Cardholders_Reference!B:B),","," ")))</f>
        <v>Naledi Sithole</v>
      </c>
      <c r="M344" s="5">
        <f>_xlfn.XLOOKUP(B344,Cardholders_Reference!A:A,Cardholders_Reference!G:G)</f>
        <v>25000</v>
      </c>
      <c r="N344" s="7" t="str">
        <f>_xlfn.XLOOKUP(B344,Cardholders_Reference!A:A,Cardholders_Reference!D:D)</f>
        <v>Capitec</v>
      </c>
      <c r="O344" s="7" t="str">
        <f>_xlfn.XLOOKUP(B344,Cardholders_Reference!A:A,Cardholders_Reference!E:E)</f>
        <v>Mastercard</v>
      </c>
      <c r="P344" s="6">
        <f t="shared" si="40"/>
        <v>4.0869999999999997E-2</v>
      </c>
      <c r="Q344">
        <f t="shared" si="35"/>
        <v>0</v>
      </c>
      <c r="R344">
        <f t="shared" si="36"/>
        <v>1</v>
      </c>
      <c r="S344">
        <f>IF(COUNTIFS($B$1:$B$738,B343,$C$1:$C$738,#REF!)&gt;2,1,0)</f>
        <v>0</v>
      </c>
      <c r="T344">
        <f t="shared" si="37"/>
        <v>0</v>
      </c>
      <c r="U344">
        <f t="shared" si="38"/>
        <v>0</v>
      </c>
      <c r="V344">
        <f t="shared" si="39"/>
        <v>1</v>
      </c>
      <c r="W344">
        <f t="shared" si="41"/>
        <v>2</v>
      </c>
      <c r="X344" t="str" cm="1">
        <f t="array" ref="X344">_xlfn.IFS(W344&lt;=1,"Low",W344=2,"Medium",W344&gt;=3,"High")</f>
        <v>Medium</v>
      </c>
    </row>
    <row r="345" spans="1:24" x14ac:dyDescent="0.3">
      <c r="A345" t="s">
        <v>738</v>
      </c>
      <c r="B345" t="s">
        <v>728</v>
      </c>
      <c r="C345" s="3">
        <v>46031</v>
      </c>
      <c r="D345" s="8" t="s">
        <v>739</v>
      </c>
      <c r="E345" s="7" t="s">
        <v>121</v>
      </c>
      <c r="F345" s="7" t="s">
        <v>36</v>
      </c>
      <c r="G345" s="7" t="s">
        <v>22</v>
      </c>
      <c r="H345" s="4">
        <v>559.23</v>
      </c>
      <c r="I345" s="7" t="s">
        <v>95</v>
      </c>
      <c r="J345" s="7" t="s">
        <v>17</v>
      </c>
      <c r="L345" t="str">
        <f>PROPER(TRIM(SUBSTITUTE(_xlfn.XLOOKUP(B345,Cardholders_Reference!A:A,Cardholders_Reference!B:B),","," ")))</f>
        <v>Naledi Sithole</v>
      </c>
      <c r="M345" s="5">
        <f>_xlfn.XLOOKUP(B345,Cardholders_Reference!A:A,Cardholders_Reference!G:G)</f>
        <v>25000</v>
      </c>
      <c r="N345" s="7" t="str">
        <f>_xlfn.XLOOKUP(B345,Cardholders_Reference!A:A,Cardholders_Reference!D:D)</f>
        <v>Capitec</v>
      </c>
      <c r="O345" s="7" t="str">
        <f>_xlfn.XLOOKUP(B345,Cardholders_Reference!A:A,Cardholders_Reference!E:E)</f>
        <v>Mastercard</v>
      </c>
      <c r="P345" s="6">
        <f t="shared" si="40"/>
        <v>2.2369200000000002E-2</v>
      </c>
      <c r="Q345">
        <f t="shared" si="35"/>
        <v>1</v>
      </c>
      <c r="R345">
        <f t="shared" si="36"/>
        <v>0</v>
      </c>
      <c r="S345">
        <f>IF(COUNTIFS($B$1:$B$738,B344,$C$1:$C$738,#REF!)&gt;2,1,0)</f>
        <v>0</v>
      </c>
      <c r="T345">
        <f t="shared" si="37"/>
        <v>0</v>
      </c>
      <c r="U345">
        <f t="shared" si="38"/>
        <v>0</v>
      </c>
      <c r="V345">
        <f t="shared" si="39"/>
        <v>1</v>
      </c>
      <c r="W345">
        <f t="shared" si="41"/>
        <v>2</v>
      </c>
      <c r="X345" t="str" cm="1">
        <f t="array" ref="X345">_xlfn.IFS(W345&lt;=1,"Low",W345=2,"Medium",W345&gt;=3,"High")</f>
        <v>Medium</v>
      </c>
    </row>
    <row r="346" spans="1:24" x14ac:dyDescent="0.3">
      <c r="A346" t="s">
        <v>740</v>
      </c>
      <c r="B346" t="s">
        <v>728</v>
      </c>
      <c r="C346" s="3">
        <v>45862</v>
      </c>
      <c r="D346" s="8" t="s">
        <v>1439</v>
      </c>
      <c r="E346" s="7" t="s">
        <v>90</v>
      </c>
      <c r="F346" s="7" t="s">
        <v>91</v>
      </c>
      <c r="G346" s="7" t="s">
        <v>22</v>
      </c>
      <c r="H346" s="4">
        <v>2866.87</v>
      </c>
      <c r="I346" s="7" t="s">
        <v>16</v>
      </c>
      <c r="J346" s="7" t="s">
        <v>17</v>
      </c>
      <c r="L346" t="str">
        <f>PROPER(TRIM(SUBSTITUTE(_xlfn.XLOOKUP(B346,Cardholders_Reference!A:A,Cardholders_Reference!B:B),","," ")))</f>
        <v>Naledi Sithole</v>
      </c>
      <c r="M346" s="5">
        <f>_xlfn.XLOOKUP(B346,Cardholders_Reference!A:A,Cardholders_Reference!G:G)</f>
        <v>25000</v>
      </c>
      <c r="N346" s="7" t="str">
        <f>_xlfn.XLOOKUP(B346,Cardholders_Reference!A:A,Cardholders_Reference!D:D)</f>
        <v>Capitec</v>
      </c>
      <c r="O346" s="7" t="str">
        <f>_xlfn.XLOOKUP(B346,Cardholders_Reference!A:A,Cardholders_Reference!E:E)</f>
        <v>Mastercard</v>
      </c>
      <c r="P346" s="6">
        <f t="shared" si="40"/>
        <v>0.11467479999999999</v>
      </c>
      <c r="Q346">
        <f t="shared" si="35"/>
        <v>0</v>
      </c>
      <c r="R346">
        <f t="shared" si="36"/>
        <v>1</v>
      </c>
      <c r="S346">
        <f>IF(COUNTIFS($B$1:$B$738,B345,$C$1:$C$738,#REF!)&gt;2,1,0)</f>
        <v>0</v>
      </c>
      <c r="T346">
        <f t="shared" si="37"/>
        <v>0</v>
      </c>
      <c r="U346">
        <f t="shared" si="38"/>
        <v>0</v>
      </c>
      <c r="V346">
        <f t="shared" si="39"/>
        <v>0</v>
      </c>
      <c r="W346">
        <f t="shared" si="41"/>
        <v>1</v>
      </c>
      <c r="X346" t="str" cm="1">
        <f t="array" ref="X346">_xlfn.IFS(W346&lt;=1,"Low",W346=2,"Medium",W346&gt;=3,"High")</f>
        <v>Low</v>
      </c>
    </row>
    <row r="347" spans="1:24" x14ac:dyDescent="0.3">
      <c r="A347" t="s">
        <v>741</v>
      </c>
      <c r="B347" t="s">
        <v>728</v>
      </c>
      <c r="C347" s="3">
        <v>46087</v>
      </c>
      <c r="D347" s="8" t="s">
        <v>742</v>
      </c>
      <c r="E347" s="7" t="s">
        <v>140</v>
      </c>
      <c r="F347" s="7" t="s">
        <v>53</v>
      </c>
      <c r="G347" s="7" t="s">
        <v>49</v>
      </c>
      <c r="H347" s="4">
        <v>156.02000000000001</v>
      </c>
      <c r="I347" s="7" t="s">
        <v>95</v>
      </c>
      <c r="J347" s="7" t="s">
        <v>17</v>
      </c>
      <c r="L347" t="str">
        <f>PROPER(TRIM(SUBSTITUTE(_xlfn.XLOOKUP(B347,Cardholders_Reference!A:A,Cardholders_Reference!B:B),","," ")))</f>
        <v>Naledi Sithole</v>
      </c>
      <c r="M347" s="5">
        <f>_xlfn.XLOOKUP(B347,Cardholders_Reference!A:A,Cardholders_Reference!G:G)</f>
        <v>25000</v>
      </c>
      <c r="N347" s="7" t="str">
        <f>_xlfn.XLOOKUP(B347,Cardholders_Reference!A:A,Cardholders_Reference!D:D)</f>
        <v>Capitec</v>
      </c>
      <c r="O347" s="7" t="str">
        <f>_xlfn.XLOOKUP(B347,Cardholders_Reference!A:A,Cardholders_Reference!E:E)</f>
        <v>Mastercard</v>
      </c>
      <c r="P347" s="6">
        <f t="shared" si="40"/>
        <v>6.2408000000000003E-3</v>
      </c>
      <c r="Q347">
        <f t="shared" si="35"/>
        <v>0</v>
      </c>
      <c r="R347">
        <f t="shared" si="36"/>
        <v>0</v>
      </c>
      <c r="S347">
        <f>IF(COUNTIFS($B$1:$B$738,B346,$C$1:$C$738,#REF!)&gt;2,1,0)</f>
        <v>0</v>
      </c>
      <c r="T347">
        <f t="shared" si="37"/>
        <v>0</v>
      </c>
      <c r="U347">
        <f t="shared" si="38"/>
        <v>0</v>
      </c>
      <c r="V347">
        <f t="shared" si="39"/>
        <v>1</v>
      </c>
      <c r="W347">
        <f t="shared" si="41"/>
        <v>1</v>
      </c>
      <c r="X347" t="str" cm="1">
        <f t="array" ref="X347">_xlfn.IFS(W347&lt;=1,"Low",W347=2,"Medium",W347&gt;=3,"High")</f>
        <v>Low</v>
      </c>
    </row>
    <row r="348" spans="1:24" x14ac:dyDescent="0.3">
      <c r="A348" t="s">
        <v>743</v>
      </c>
      <c r="B348" t="s">
        <v>728</v>
      </c>
      <c r="C348" s="3">
        <v>46170</v>
      </c>
      <c r="D348" s="8" t="s">
        <v>744</v>
      </c>
      <c r="E348" s="7" t="s">
        <v>47</v>
      </c>
      <c r="F348" s="7" t="s">
        <v>48</v>
      </c>
      <c r="G348" s="7" t="s">
        <v>264</v>
      </c>
      <c r="H348" s="4">
        <v>1762.86</v>
      </c>
      <c r="I348" s="7" t="s">
        <v>16</v>
      </c>
      <c r="J348" s="7" t="s">
        <v>17</v>
      </c>
      <c r="L348" t="str">
        <f>PROPER(TRIM(SUBSTITUTE(_xlfn.XLOOKUP(B348,Cardholders_Reference!A:A,Cardholders_Reference!B:B),","," ")))</f>
        <v>Naledi Sithole</v>
      </c>
      <c r="M348" s="5">
        <f>_xlfn.XLOOKUP(B348,Cardholders_Reference!A:A,Cardholders_Reference!G:G)</f>
        <v>25000</v>
      </c>
      <c r="N348" s="7" t="str">
        <f>_xlfn.XLOOKUP(B348,Cardholders_Reference!A:A,Cardholders_Reference!D:D)</f>
        <v>Capitec</v>
      </c>
      <c r="O348" s="7" t="str">
        <f>_xlfn.XLOOKUP(B348,Cardholders_Reference!A:A,Cardholders_Reference!E:E)</f>
        <v>Mastercard</v>
      </c>
      <c r="P348" s="6">
        <f t="shared" si="40"/>
        <v>7.0514399999999991E-2</v>
      </c>
      <c r="Q348">
        <f t="shared" si="35"/>
        <v>1</v>
      </c>
      <c r="R348">
        <f t="shared" si="36"/>
        <v>0</v>
      </c>
      <c r="S348">
        <f>IF(COUNTIFS($B$1:$B$738,B347,$C$1:$C$738,#REF!)&gt;2,1,0)</f>
        <v>0</v>
      </c>
      <c r="T348">
        <f t="shared" si="37"/>
        <v>0</v>
      </c>
      <c r="U348">
        <f t="shared" si="38"/>
        <v>0</v>
      </c>
      <c r="V348">
        <f t="shared" si="39"/>
        <v>0</v>
      </c>
      <c r="W348">
        <f t="shared" si="41"/>
        <v>1</v>
      </c>
      <c r="X348" t="str" cm="1">
        <f t="array" ref="X348">_xlfn.IFS(W348&lt;=1,"Low",W348=2,"Medium",W348&gt;=3,"High")</f>
        <v>Low</v>
      </c>
    </row>
    <row r="349" spans="1:24" x14ac:dyDescent="0.3">
      <c r="A349" t="s">
        <v>745</v>
      </c>
      <c r="B349" t="s">
        <v>728</v>
      </c>
      <c r="C349" s="3">
        <v>45946</v>
      </c>
      <c r="D349" s="8" t="s">
        <v>746</v>
      </c>
      <c r="E349" s="7" t="s">
        <v>80</v>
      </c>
      <c r="F349" s="7" t="s">
        <v>81</v>
      </c>
      <c r="G349" s="7" t="s">
        <v>22</v>
      </c>
      <c r="H349" s="4">
        <v>8228.44</v>
      </c>
      <c r="I349" s="7" t="s">
        <v>16</v>
      </c>
      <c r="J349" s="7" t="s">
        <v>17</v>
      </c>
      <c r="L349" t="str">
        <f>PROPER(TRIM(SUBSTITUTE(_xlfn.XLOOKUP(B349,Cardholders_Reference!A:A,Cardholders_Reference!B:B),","," ")))</f>
        <v>Naledi Sithole</v>
      </c>
      <c r="M349" s="5">
        <f>_xlfn.XLOOKUP(B349,Cardholders_Reference!A:A,Cardholders_Reference!G:G)</f>
        <v>25000</v>
      </c>
      <c r="N349" s="7" t="str">
        <f>_xlfn.XLOOKUP(B349,Cardholders_Reference!A:A,Cardholders_Reference!D:D)</f>
        <v>Capitec</v>
      </c>
      <c r="O349" s="7" t="str">
        <f>_xlfn.XLOOKUP(B349,Cardholders_Reference!A:A,Cardholders_Reference!E:E)</f>
        <v>Mastercard</v>
      </c>
      <c r="P349" s="6">
        <f t="shared" si="40"/>
        <v>0.32913760000000003</v>
      </c>
      <c r="Q349">
        <f t="shared" si="35"/>
        <v>1</v>
      </c>
      <c r="R349">
        <f t="shared" si="36"/>
        <v>0</v>
      </c>
      <c r="S349">
        <f>IF(COUNTIFS($B$1:$B$738,B348,$C$1:$C$738,#REF!)&gt;2,1,0)</f>
        <v>0</v>
      </c>
      <c r="T349">
        <f t="shared" si="37"/>
        <v>0</v>
      </c>
      <c r="U349">
        <f t="shared" si="38"/>
        <v>0</v>
      </c>
      <c r="V349">
        <f t="shared" si="39"/>
        <v>0</v>
      </c>
      <c r="W349">
        <f t="shared" si="41"/>
        <v>1</v>
      </c>
      <c r="X349" t="str" cm="1">
        <f t="array" ref="X349">_xlfn.IFS(W349&lt;=1,"Low",W349=2,"Medium",W349&gt;=3,"High")</f>
        <v>Low</v>
      </c>
    </row>
    <row r="350" spans="1:24" x14ac:dyDescent="0.3">
      <c r="A350" t="s">
        <v>747</v>
      </c>
      <c r="B350" t="s">
        <v>748</v>
      </c>
      <c r="C350" s="3">
        <v>45845</v>
      </c>
      <c r="D350" s="8" t="s">
        <v>664</v>
      </c>
      <c r="E350" s="7" t="s">
        <v>73</v>
      </c>
      <c r="F350" s="7" t="s">
        <v>74</v>
      </c>
      <c r="G350" s="7" t="s">
        <v>192</v>
      </c>
      <c r="H350" s="4">
        <v>783.69</v>
      </c>
      <c r="I350" s="7" t="s">
        <v>32</v>
      </c>
      <c r="J350" s="7" t="s">
        <v>17</v>
      </c>
      <c r="L350" t="str">
        <f>PROPER(TRIM(SUBSTITUTE(_xlfn.XLOOKUP(B350,Cardholders_Reference!A:A,Cardholders_Reference!B:B),","," ")))</f>
        <v>Pieter Naidoo</v>
      </c>
      <c r="M350" s="5">
        <f>_xlfn.XLOOKUP(B350,Cardholders_Reference!A:A,Cardholders_Reference!G:G)</f>
        <v>60000</v>
      </c>
      <c r="N350" s="7" t="str">
        <f>_xlfn.XLOOKUP(B350,Cardholders_Reference!A:A,Cardholders_Reference!D:D)</f>
        <v>ABSA</v>
      </c>
      <c r="O350" s="7" t="str">
        <f>_xlfn.XLOOKUP(B350,Cardholders_Reference!A:A,Cardholders_Reference!E:E)</f>
        <v>Mastercard</v>
      </c>
      <c r="P350" s="6">
        <f t="shared" si="40"/>
        <v>1.30615E-2</v>
      </c>
      <c r="Q350">
        <f t="shared" si="35"/>
        <v>0</v>
      </c>
      <c r="R350">
        <f t="shared" si="36"/>
        <v>0</v>
      </c>
      <c r="S350">
        <f>IF(COUNTIFS($B$1:$B$738,B349,$C$1:$C$738,#REF!)&gt;2,1,0)</f>
        <v>0</v>
      </c>
      <c r="T350">
        <f t="shared" si="37"/>
        <v>0</v>
      </c>
      <c r="U350">
        <f t="shared" si="38"/>
        <v>0</v>
      </c>
      <c r="V350">
        <f t="shared" si="39"/>
        <v>0</v>
      </c>
      <c r="W350">
        <f t="shared" si="41"/>
        <v>0</v>
      </c>
      <c r="X350" t="str" cm="1">
        <f t="array" ref="X350">_xlfn.IFS(W350&lt;=1,"Low",W350=2,"Medium",W350&gt;=3,"High")</f>
        <v>Low</v>
      </c>
    </row>
    <row r="351" spans="1:24" x14ac:dyDescent="0.3">
      <c r="A351" t="s">
        <v>749</v>
      </c>
      <c r="B351" t="s">
        <v>748</v>
      </c>
      <c r="C351" s="3">
        <v>46480</v>
      </c>
      <c r="D351" s="8" t="s">
        <v>750</v>
      </c>
      <c r="E351" s="7" t="s">
        <v>104</v>
      </c>
      <c r="F351" s="7" t="s">
        <v>65</v>
      </c>
      <c r="G351" s="7" t="s">
        <v>49</v>
      </c>
      <c r="H351" s="4">
        <v>1028.77</v>
      </c>
      <c r="I351" s="7" t="s">
        <v>26</v>
      </c>
      <c r="J351" s="7" t="s">
        <v>17</v>
      </c>
      <c r="L351" t="str">
        <f>PROPER(TRIM(SUBSTITUTE(_xlfn.XLOOKUP(B351,Cardholders_Reference!A:A,Cardholders_Reference!B:B),","," ")))</f>
        <v>Pieter Naidoo</v>
      </c>
      <c r="M351" s="5">
        <f>_xlfn.XLOOKUP(B351,Cardholders_Reference!A:A,Cardholders_Reference!G:G)</f>
        <v>60000</v>
      </c>
      <c r="N351" s="7" t="str">
        <f>_xlfn.XLOOKUP(B351,Cardholders_Reference!A:A,Cardholders_Reference!D:D)</f>
        <v>ABSA</v>
      </c>
      <c r="O351" s="7" t="str">
        <f>_xlfn.XLOOKUP(B351,Cardholders_Reference!A:A,Cardholders_Reference!E:E)</f>
        <v>Mastercard</v>
      </c>
      <c r="P351" s="6">
        <f t="shared" si="40"/>
        <v>1.7146166666666667E-2</v>
      </c>
      <c r="Q351">
        <f t="shared" si="35"/>
        <v>1</v>
      </c>
      <c r="R351">
        <f t="shared" si="36"/>
        <v>0</v>
      </c>
      <c r="S351">
        <f>IF(COUNTIFS($B$1:$B$738,B350,$C$1:$C$738,#REF!)&gt;2,1,0)</f>
        <v>0</v>
      </c>
      <c r="T351">
        <f t="shared" si="37"/>
        <v>0</v>
      </c>
      <c r="U351">
        <f t="shared" si="38"/>
        <v>0</v>
      </c>
      <c r="V351">
        <f t="shared" si="39"/>
        <v>1</v>
      </c>
      <c r="W351">
        <f t="shared" si="41"/>
        <v>2</v>
      </c>
      <c r="X351" t="str" cm="1">
        <f t="array" ref="X351">_xlfn.IFS(W351&lt;=1,"Low",W351=2,"Medium",W351&gt;=3,"High")</f>
        <v>Medium</v>
      </c>
    </row>
    <row r="352" spans="1:24" x14ac:dyDescent="0.3">
      <c r="A352" t="s">
        <v>751</v>
      </c>
      <c r="B352" t="s">
        <v>748</v>
      </c>
      <c r="C352" s="3">
        <v>46207</v>
      </c>
      <c r="D352" s="8" t="s">
        <v>632</v>
      </c>
      <c r="E352" s="7" t="s">
        <v>180</v>
      </c>
      <c r="F352" s="7" t="s">
        <v>21</v>
      </c>
      <c r="G352" s="7" t="s">
        <v>49</v>
      </c>
      <c r="H352" s="4">
        <v>2762.83</v>
      </c>
      <c r="I352" s="7" t="s">
        <v>32</v>
      </c>
      <c r="J352" s="7" t="s">
        <v>17</v>
      </c>
      <c r="L352" t="str">
        <f>PROPER(TRIM(SUBSTITUTE(_xlfn.XLOOKUP(B352,Cardholders_Reference!A:A,Cardholders_Reference!B:B),","," ")))</f>
        <v>Pieter Naidoo</v>
      </c>
      <c r="M352" s="5">
        <f>_xlfn.XLOOKUP(B352,Cardholders_Reference!A:A,Cardholders_Reference!G:G)</f>
        <v>60000</v>
      </c>
      <c r="N352" s="7" t="str">
        <f>_xlfn.XLOOKUP(B352,Cardholders_Reference!A:A,Cardholders_Reference!D:D)</f>
        <v>ABSA</v>
      </c>
      <c r="O352" s="7" t="str">
        <f>_xlfn.XLOOKUP(B352,Cardholders_Reference!A:A,Cardholders_Reference!E:E)</f>
        <v>Mastercard</v>
      </c>
      <c r="P352" s="6">
        <f t="shared" si="40"/>
        <v>4.6047166666666667E-2</v>
      </c>
      <c r="Q352">
        <f t="shared" si="35"/>
        <v>0</v>
      </c>
      <c r="R352">
        <f t="shared" si="36"/>
        <v>0</v>
      </c>
      <c r="S352">
        <f>IF(COUNTIFS($B$1:$B$738,B351,$C$1:$C$738,#REF!)&gt;2,1,0)</f>
        <v>0</v>
      </c>
      <c r="T352">
        <f t="shared" si="37"/>
        <v>0</v>
      </c>
      <c r="U352">
        <f t="shared" si="38"/>
        <v>1</v>
      </c>
      <c r="V352">
        <f t="shared" si="39"/>
        <v>0</v>
      </c>
      <c r="W352">
        <f t="shared" si="41"/>
        <v>1</v>
      </c>
      <c r="X352" t="str" cm="1">
        <f t="array" ref="X352">_xlfn.IFS(W352&lt;=1,"Low",W352=2,"Medium",W352&gt;=3,"High")</f>
        <v>Low</v>
      </c>
    </row>
    <row r="353" spans="1:24" x14ac:dyDescent="0.3">
      <c r="A353" t="s">
        <v>752</v>
      </c>
      <c r="B353" t="s">
        <v>748</v>
      </c>
      <c r="C353" s="3">
        <v>45715</v>
      </c>
      <c r="D353" s="8" t="s">
        <v>1439</v>
      </c>
      <c r="E353" s="7" t="s">
        <v>215</v>
      </c>
      <c r="F353" s="7" t="s">
        <v>15</v>
      </c>
      <c r="G353" s="7" t="s">
        <v>49</v>
      </c>
      <c r="H353" s="4">
        <v>4069.56</v>
      </c>
      <c r="I353" s="7" t="s">
        <v>32</v>
      </c>
      <c r="J353" s="7" t="s">
        <v>17</v>
      </c>
      <c r="L353" t="str">
        <f>PROPER(TRIM(SUBSTITUTE(_xlfn.XLOOKUP(B353,Cardholders_Reference!A:A,Cardholders_Reference!B:B),","," ")))</f>
        <v>Pieter Naidoo</v>
      </c>
      <c r="M353" s="5">
        <f>_xlfn.XLOOKUP(B353,Cardholders_Reference!A:A,Cardholders_Reference!G:G)</f>
        <v>60000</v>
      </c>
      <c r="N353" s="7" t="str">
        <f>_xlfn.XLOOKUP(B353,Cardholders_Reference!A:A,Cardholders_Reference!D:D)</f>
        <v>ABSA</v>
      </c>
      <c r="O353" s="7" t="str">
        <f>_xlfn.XLOOKUP(B353,Cardholders_Reference!A:A,Cardholders_Reference!E:E)</f>
        <v>Mastercard</v>
      </c>
      <c r="P353" s="6">
        <f t="shared" si="40"/>
        <v>6.7825999999999997E-2</v>
      </c>
      <c r="Q353">
        <f t="shared" si="35"/>
        <v>0</v>
      </c>
      <c r="R353">
        <f t="shared" si="36"/>
        <v>1</v>
      </c>
      <c r="S353">
        <f>IF(COUNTIFS($B$1:$B$738,B352,$C$1:$C$738,#REF!)&gt;2,1,0)</f>
        <v>0</v>
      </c>
      <c r="T353">
        <f t="shared" si="37"/>
        <v>0</v>
      </c>
      <c r="U353">
        <f t="shared" si="38"/>
        <v>1</v>
      </c>
      <c r="V353">
        <f t="shared" si="39"/>
        <v>0</v>
      </c>
      <c r="W353">
        <f t="shared" si="41"/>
        <v>2</v>
      </c>
      <c r="X353" t="str" cm="1">
        <f t="array" ref="X353">_xlfn.IFS(W353&lt;=1,"Low",W353=2,"Medium",W353&gt;=3,"High")</f>
        <v>Medium</v>
      </c>
    </row>
    <row r="354" spans="1:24" x14ac:dyDescent="0.3">
      <c r="A354" t="s">
        <v>753</v>
      </c>
      <c r="B354" t="s">
        <v>748</v>
      </c>
      <c r="C354" s="3">
        <v>45809</v>
      </c>
      <c r="D354" s="8" t="s">
        <v>754</v>
      </c>
      <c r="E354" s="7" t="s">
        <v>35</v>
      </c>
      <c r="F354" s="7" t="s">
        <v>36</v>
      </c>
      <c r="G354" s="7" t="s">
        <v>49</v>
      </c>
      <c r="H354" s="4">
        <v>569.51</v>
      </c>
      <c r="I354" s="7" t="s">
        <v>95</v>
      </c>
      <c r="J354" s="7" t="s">
        <v>41</v>
      </c>
      <c r="L354" t="str">
        <f>PROPER(TRIM(SUBSTITUTE(_xlfn.XLOOKUP(B354,Cardholders_Reference!A:A,Cardholders_Reference!B:B),","," ")))</f>
        <v>Pieter Naidoo</v>
      </c>
      <c r="M354" s="5">
        <f>_xlfn.XLOOKUP(B354,Cardholders_Reference!A:A,Cardholders_Reference!G:G)</f>
        <v>60000</v>
      </c>
      <c r="N354" s="7" t="str">
        <f>_xlfn.XLOOKUP(B354,Cardholders_Reference!A:A,Cardholders_Reference!D:D)</f>
        <v>ABSA</v>
      </c>
      <c r="O354" s="7" t="str">
        <f>_xlfn.XLOOKUP(B354,Cardholders_Reference!A:A,Cardholders_Reference!E:E)</f>
        <v>Mastercard</v>
      </c>
      <c r="P354" s="6">
        <f t="shared" si="40"/>
        <v>9.491833333333333E-3</v>
      </c>
      <c r="Q354">
        <f t="shared" si="35"/>
        <v>0</v>
      </c>
      <c r="R354">
        <f t="shared" si="36"/>
        <v>0</v>
      </c>
      <c r="S354">
        <f>IF(COUNTIFS($B$1:$B$738,B353,$C$1:$C$738,#REF!)&gt;2,1,0)</f>
        <v>0</v>
      </c>
      <c r="T354">
        <f t="shared" si="37"/>
        <v>0</v>
      </c>
      <c r="U354">
        <f t="shared" si="38"/>
        <v>0</v>
      </c>
      <c r="V354">
        <f t="shared" si="39"/>
        <v>1</v>
      </c>
      <c r="W354">
        <f t="shared" si="41"/>
        <v>1</v>
      </c>
      <c r="X354" t="str" cm="1">
        <f t="array" ref="X354">_xlfn.IFS(W354&lt;=1,"Low",W354=2,"Medium",W354&gt;=3,"High")</f>
        <v>Low</v>
      </c>
    </row>
    <row r="355" spans="1:24" x14ac:dyDescent="0.3">
      <c r="A355" t="s">
        <v>755</v>
      </c>
      <c r="B355" t="s">
        <v>748</v>
      </c>
      <c r="C355" s="3">
        <v>45763</v>
      </c>
      <c r="D355" s="8" t="s">
        <v>756</v>
      </c>
      <c r="E355" s="7" t="s">
        <v>57</v>
      </c>
      <c r="F355" s="7" t="s">
        <v>36</v>
      </c>
      <c r="G355" s="7" t="s">
        <v>145</v>
      </c>
      <c r="H355" s="4">
        <v>309.27</v>
      </c>
      <c r="I355" s="7" t="s">
        <v>32</v>
      </c>
      <c r="J355" s="7" t="s">
        <v>17</v>
      </c>
      <c r="L355" t="str">
        <f>PROPER(TRIM(SUBSTITUTE(_xlfn.XLOOKUP(B355,Cardholders_Reference!A:A,Cardholders_Reference!B:B),","," ")))</f>
        <v>Pieter Naidoo</v>
      </c>
      <c r="M355" s="5">
        <f>_xlfn.XLOOKUP(B355,Cardholders_Reference!A:A,Cardholders_Reference!G:G)</f>
        <v>60000</v>
      </c>
      <c r="N355" s="7" t="str">
        <f>_xlfn.XLOOKUP(B355,Cardholders_Reference!A:A,Cardholders_Reference!D:D)</f>
        <v>ABSA</v>
      </c>
      <c r="O355" s="7" t="str">
        <f>_xlfn.XLOOKUP(B355,Cardholders_Reference!A:A,Cardholders_Reference!E:E)</f>
        <v>Mastercard</v>
      </c>
      <c r="P355" s="6">
        <f t="shared" si="40"/>
        <v>5.1544999999999994E-3</v>
      </c>
      <c r="Q355">
        <f t="shared" si="35"/>
        <v>0</v>
      </c>
      <c r="R355">
        <f t="shared" si="36"/>
        <v>0</v>
      </c>
      <c r="S355">
        <f>IF(COUNTIFS($B$1:$B$738,B354,$C$1:$C$738,#REF!)&gt;2,1,0)</f>
        <v>0</v>
      </c>
      <c r="T355">
        <f t="shared" si="37"/>
        <v>0</v>
      </c>
      <c r="U355">
        <f t="shared" si="38"/>
        <v>0</v>
      </c>
      <c r="V355">
        <f t="shared" si="39"/>
        <v>0</v>
      </c>
      <c r="W355">
        <f t="shared" si="41"/>
        <v>0</v>
      </c>
      <c r="X355" t="str" cm="1">
        <f t="array" ref="X355">_xlfn.IFS(W355&lt;=1,"Low",W355=2,"Medium",W355&gt;=3,"High")</f>
        <v>Low</v>
      </c>
    </row>
    <row r="356" spans="1:24" x14ac:dyDescent="0.3">
      <c r="A356" t="s">
        <v>757</v>
      </c>
      <c r="B356" t="s">
        <v>748</v>
      </c>
      <c r="C356" s="3">
        <v>46600</v>
      </c>
      <c r="D356" s="8" t="s">
        <v>758</v>
      </c>
      <c r="E356" s="7" t="s">
        <v>47</v>
      </c>
      <c r="F356" s="7" t="s">
        <v>48</v>
      </c>
      <c r="G356" s="7" t="s">
        <v>49</v>
      </c>
      <c r="H356" s="4">
        <v>1178.95</v>
      </c>
      <c r="I356" s="7" t="s">
        <v>95</v>
      </c>
      <c r="J356" s="7" t="s">
        <v>41</v>
      </c>
      <c r="L356" t="str">
        <f>PROPER(TRIM(SUBSTITUTE(_xlfn.XLOOKUP(B356,Cardholders_Reference!A:A,Cardholders_Reference!B:B),","," ")))</f>
        <v>Pieter Naidoo</v>
      </c>
      <c r="M356" s="5">
        <f>_xlfn.XLOOKUP(B356,Cardholders_Reference!A:A,Cardholders_Reference!G:G)</f>
        <v>60000</v>
      </c>
      <c r="N356" s="7" t="str">
        <f>_xlfn.XLOOKUP(B356,Cardholders_Reference!A:A,Cardholders_Reference!D:D)</f>
        <v>ABSA</v>
      </c>
      <c r="O356" s="7" t="str">
        <f>_xlfn.XLOOKUP(B356,Cardholders_Reference!A:A,Cardholders_Reference!E:E)</f>
        <v>Mastercard</v>
      </c>
      <c r="P356" s="6">
        <f t="shared" si="40"/>
        <v>1.9649166666666669E-2</v>
      </c>
      <c r="Q356">
        <f t="shared" si="35"/>
        <v>1</v>
      </c>
      <c r="R356">
        <f t="shared" si="36"/>
        <v>0</v>
      </c>
      <c r="S356">
        <f>IF(COUNTIFS($B$1:$B$738,B355,$C$1:$C$738,#REF!)&gt;2,1,0)</f>
        <v>0</v>
      </c>
      <c r="T356">
        <f t="shared" si="37"/>
        <v>0</v>
      </c>
      <c r="U356">
        <f t="shared" si="38"/>
        <v>0</v>
      </c>
      <c r="V356">
        <f t="shared" si="39"/>
        <v>1</v>
      </c>
      <c r="W356">
        <f t="shared" si="41"/>
        <v>2</v>
      </c>
      <c r="X356" t="str" cm="1">
        <f t="array" ref="X356">_xlfn.IFS(W356&lt;=1,"Low",W356=2,"Medium",W356&gt;=3,"High")</f>
        <v>Medium</v>
      </c>
    </row>
    <row r="357" spans="1:24" x14ac:dyDescent="0.3">
      <c r="A357" t="s">
        <v>759</v>
      </c>
      <c r="B357" t="s">
        <v>748</v>
      </c>
      <c r="C357" s="3">
        <v>45864</v>
      </c>
      <c r="D357" s="8" t="s">
        <v>754</v>
      </c>
      <c r="E357" s="7" t="s">
        <v>31</v>
      </c>
      <c r="F357" s="7" t="s">
        <v>25</v>
      </c>
      <c r="G357" s="7" t="s">
        <v>145</v>
      </c>
      <c r="H357" s="4">
        <v>1168.27</v>
      </c>
      <c r="I357" s="7" t="s">
        <v>95</v>
      </c>
      <c r="J357" s="7" t="s">
        <v>17</v>
      </c>
      <c r="L357" t="str">
        <f>PROPER(TRIM(SUBSTITUTE(_xlfn.XLOOKUP(B357,Cardholders_Reference!A:A,Cardholders_Reference!B:B),","," ")))</f>
        <v>Pieter Naidoo</v>
      </c>
      <c r="M357" s="5">
        <f>_xlfn.XLOOKUP(B357,Cardholders_Reference!A:A,Cardholders_Reference!G:G)</f>
        <v>60000</v>
      </c>
      <c r="N357" s="7" t="str">
        <f>_xlfn.XLOOKUP(B357,Cardholders_Reference!A:A,Cardholders_Reference!D:D)</f>
        <v>ABSA</v>
      </c>
      <c r="O357" s="7" t="str">
        <f>_xlfn.XLOOKUP(B357,Cardholders_Reference!A:A,Cardholders_Reference!E:E)</f>
        <v>Mastercard</v>
      </c>
      <c r="P357" s="6">
        <f t="shared" si="40"/>
        <v>1.9471166666666668E-2</v>
      </c>
      <c r="Q357">
        <f t="shared" si="35"/>
        <v>0</v>
      </c>
      <c r="R357">
        <f t="shared" si="36"/>
        <v>0</v>
      </c>
      <c r="S357">
        <f>IF(COUNTIFS($B$1:$B$738,B356,$C$1:$C$738,#REF!)&gt;2,1,0)</f>
        <v>0</v>
      </c>
      <c r="T357">
        <f t="shared" si="37"/>
        <v>0</v>
      </c>
      <c r="U357">
        <f t="shared" si="38"/>
        <v>0</v>
      </c>
      <c r="V357">
        <f t="shared" si="39"/>
        <v>1</v>
      </c>
      <c r="W357">
        <f t="shared" si="41"/>
        <v>1</v>
      </c>
      <c r="X357" t="str" cm="1">
        <f t="array" ref="X357">_xlfn.IFS(W357&lt;=1,"Low",W357=2,"Medium",W357&gt;=3,"High")</f>
        <v>Low</v>
      </c>
    </row>
    <row r="358" spans="1:24" x14ac:dyDescent="0.3">
      <c r="A358" t="s">
        <v>760</v>
      </c>
      <c r="B358" t="s">
        <v>748</v>
      </c>
      <c r="C358" s="3">
        <v>46023</v>
      </c>
      <c r="D358" s="8" t="s">
        <v>761</v>
      </c>
      <c r="E358" s="7" t="s">
        <v>121</v>
      </c>
      <c r="F358" s="7" t="s">
        <v>36</v>
      </c>
      <c r="G358" s="7" t="s">
        <v>49</v>
      </c>
      <c r="H358" s="4">
        <v>272.62</v>
      </c>
      <c r="I358" s="7" t="s">
        <v>32</v>
      </c>
      <c r="J358" s="7" t="s">
        <v>17</v>
      </c>
      <c r="K358" t="s">
        <v>762</v>
      </c>
      <c r="L358" t="str">
        <f>PROPER(TRIM(SUBSTITUTE(_xlfn.XLOOKUP(B358,Cardholders_Reference!A:A,Cardholders_Reference!B:B),","," ")))</f>
        <v>Pieter Naidoo</v>
      </c>
      <c r="M358" s="5">
        <f>_xlfn.XLOOKUP(B358,Cardholders_Reference!A:A,Cardholders_Reference!G:G)</f>
        <v>60000</v>
      </c>
      <c r="N358" s="7" t="str">
        <f>_xlfn.XLOOKUP(B358,Cardholders_Reference!A:A,Cardholders_Reference!D:D)</f>
        <v>ABSA</v>
      </c>
      <c r="O358" s="7" t="str">
        <f>_xlfn.XLOOKUP(B358,Cardholders_Reference!A:A,Cardholders_Reference!E:E)</f>
        <v>Mastercard</v>
      </c>
      <c r="P358" s="6">
        <f t="shared" si="40"/>
        <v>4.5436666666666663E-3</v>
      </c>
      <c r="Q358">
        <f t="shared" si="35"/>
        <v>1</v>
      </c>
      <c r="R358">
        <f t="shared" si="36"/>
        <v>0</v>
      </c>
      <c r="S358">
        <f>IF(COUNTIFS($B$1:$B$738,B357,$C$1:$C$738,#REF!)&gt;2,1,0)</f>
        <v>0</v>
      </c>
      <c r="T358">
        <f t="shared" si="37"/>
        <v>0</v>
      </c>
      <c r="U358">
        <f t="shared" si="38"/>
        <v>0</v>
      </c>
      <c r="V358">
        <f t="shared" si="39"/>
        <v>0</v>
      </c>
      <c r="W358">
        <f t="shared" si="41"/>
        <v>1</v>
      </c>
      <c r="X358" t="str" cm="1">
        <f t="array" ref="X358">_xlfn.IFS(W358&lt;=1,"Low",W358=2,"Medium",W358&gt;=3,"High")</f>
        <v>Low</v>
      </c>
    </row>
    <row r="359" spans="1:24" x14ac:dyDescent="0.3">
      <c r="A359" t="s">
        <v>763</v>
      </c>
      <c r="B359" t="s">
        <v>748</v>
      </c>
      <c r="C359" s="3">
        <v>46130</v>
      </c>
      <c r="D359" s="8" t="s">
        <v>734</v>
      </c>
      <c r="E359" s="7" t="s">
        <v>173</v>
      </c>
      <c r="F359" s="7" t="s">
        <v>21</v>
      </c>
      <c r="G359" s="7" t="s">
        <v>145</v>
      </c>
      <c r="H359" s="4">
        <v>1621.15</v>
      </c>
      <c r="I359" s="7" t="s">
        <v>16</v>
      </c>
      <c r="J359" s="7" t="s">
        <v>41</v>
      </c>
      <c r="L359" t="str">
        <f>PROPER(TRIM(SUBSTITUTE(_xlfn.XLOOKUP(B359,Cardholders_Reference!A:A,Cardholders_Reference!B:B),","," ")))</f>
        <v>Pieter Naidoo</v>
      </c>
      <c r="M359" s="5">
        <f>_xlfn.XLOOKUP(B359,Cardholders_Reference!A:A,Cardholders_Reference!G:G)</f>
        <v>60000</v>
      </c>
      <c r="N359" s="7" t="str">
        <f>_xlfn.XLOOKUP(B359,Cardholders_Reference!A:A,Cardholders_Reference!D:D)</f>
        <v>ABSA</v>
      </c>
      <c r="O359" s="7" t="str">
        <f>_xlfn.XLOOKUP(B359,Cardholders_Reference!A:A,Cardholders_Reference!E:E)</f>
        <v>Mastercard</v>
      </c>
      <c r="P359" s="6">
        <f t="shared" si="40"/>
        <v>2.7019166666666667E-2</v>
      </c>
      <c r="Q359">
        <f t="shared" si="35"/>
        <v>0</v>
      </c>
      <c r="R359">
        <f t="shared" si="36"/>
        <v>0</v>
      </c>
      <c r="S359">
        <f>IF(COUNTIFS($B$1:$B$738,B358,$C$1:$C$738,#REF!)&gt;2,1,0)</f>
        <v>0</v>
      </c>
      <c r="T359">
        <f t="shared" si="37"/>
        <v>0</v>
      </c>
      <c r="U359">
        <f t="shared" si="38"/>
        <v>0</v>
      </c>
      <c r="V359">
        <f t="shared" si="39"/>
        <v>0</v>
      </c>
      <c r="W359">
        <f t="shared" si="41"/>
        <v>0</v>
      </c>
      <c r="X359" t="str" cm="1">
        <f t="array" ref="X359">_xlfn.IFS(W359&lt;=1,"Low",W359=2,"Medium",W359&gt;=3,"High")</f>
        <v>Low</v>
      </c>
    </row>
    <row r="360" spans="1:24" x14ac:dyDescent="0.3">
      <c r="A360" t="s">
        <v>764</v>
      </c>
      <c r="B360" t="s">
        <v>748</v>
      </c>
      <c r="C360" s="3">
        <v>45901</v>
      </c>
      <c r="D360" s="8" t="s">
        <v>765</v>
      </c>
      <c r="E360" s="7" t="s">
        <v>121</v>
      </c>
      <c r="F360" s="7" t="s">
        <v>36</v>
      </c>
      <c r="G360" s="7" t="s">
        <v>49</v>
      </c>
      <c r="H360" s="4">
        <v>449.42</v>
      </c>
      <c r="I360" s="7" t="s">
        <v>32</v>
      </c>
      <c r="J360" s="7" t="s">
        <v>17</v>
      </c>
      <c r="L360" t="str">
        <f>PROPER(TRIM(SUBSTITUTE(_xlfn.XLOOKUP(B360,Cardholders_Reference!A:A,Cardholders_Reference!B:B),","," ")))</f>
        <v>Pieter Naidoo</v>
      </c>
      <c r="M360" s="5">
        <f>_xlfn.XLOOKUP(B360,Cardholders_Reference!A:A,Cardholders_Reference!G:G)</f>
        <v>60000</v>
      </c>
      <c r="N360" s="7" t="str">
        <f>_xlfn.XLOOKUP(B360,Cardholders_Reference!A:A,Cardholders_Reference!D:D)</f>
        <v>ABSA</v>
      </c>
      <c r="O360" s="7" t="str">
        <f>_xlfn.XLOOKUP(B360,Cardholders_Reference!A:A,Cardholders_Reference!E:E)</f>
        <v>Mastercard</v>
      </c>
      <c r="P360" s="6">
        <f t="shared" si="40"/>
        <v>7.4903333333333332E-3</v>
      </c>
      <c r="Q360">
        <f t="shared" si="35"/>
        <v>1</v>
      </c>
      <c r="R360">
        <f t="shared" si="36"/>
        <v>0</v>
      </c>
      <c r="S360">
        <f>IF(COUNTIFS($B$1:$B$738,B359,$C$1:$C$738,#REF!)&gt;2,1,0)</f>
        <v>0</v>
      </c>
      <c r="T360">
        <f t="shared" si="37"/>
        <v>0</v>
      </c>
      <c r="U360">
        <f t="shared" si="38"/>
        <v>1</v>
      </c>
      <c r="V360">
        <f t="shared" si="39"/>
        <v>0</v>
      </c>
      <c r="W360">
        <f t="shared" si="41"/>
        <v>2</v>
      </c>
      <c r="X360" t="str" cm="1">
        <f t="array" ref="X360">_xlfn.IFS(W360&lt;=1,"Low",W360=2,"Medium",W360&gt;=3,"High")</f>
        <v>Medium</v>
      </c>
    </row>
    <row r="361" spans="1:24" x14ac:dyDescent="0.3">
      <c r="A361" t="s">
        <v>766</v>
      </c>
      <c r="B361" t="s">
        <v>748</v>
      </c>
      <c r="C361" s="3">
        <v>45922</v>
      </c>
      <c r="D361" s="8" t="s">
        <v>339</v>
      </c>
      <c r="E361" s="7" t="s">
        <v>52</v>
      </c>
      <c r="F361" s="7" t="s">
        <v>53</v>
      </c>
      <c r="G361" s="7" t="s">
        <v>49</v>
      </c>
      <c r="H361" s="4">
        <v>1560.31</v>
      </c>
      <c r="I361" s="7" t="s">
        <v>32</v>
      </c>
      <c r="J361" s="7" t="s">
        <v>41</v>
      </c>
      <c r="L361" t="str">
        <f>PROPER(TRIM(SUBSTITUTE(_xlfn.XLOOKUP(B361,Cardholders_Reference!A:A,Cardholders_Reference!B:B),","," ")))</f>
        <v>Pieter Naidoo</v>
      </c>
      <c r="M361" s="5">
        <f>_xlfn.XLOOKUP(B361,Cardholders_Reference!A:A,Cardholders_Reference!G:G)</f>
        <v>60000</v>
      </c>
      <c r="N361" s="7" t="str">
        <f>_xlfn.XLOOKUP(B361,Cardholders_Reference!A:A,Cardholders_Reference!D:D)</f>
        <v>ABSA</v>
      </c>
      <c r="O361" s="7" t="str">
        <f>_xlfn.XLOOKUP(B361,Cardholders_Reference!A:A,Cardholders_Reference!E:E)</f>
        <v>Mastercard</v>
      </c>
      <c r="P361" s="6">
        <f t="shared" si="40"/>
        <v>2.6005166666666666E-2</v>
      </c>
      <c r="Q361">
        <f t="shared" si="35"/>
        <v>0</v>
      </c>
      <c r="R361">
        <f t="shared" si="36"/>
        <v>0</v>
      </c>
      <c r="S361">
        <f>IF(COUNTIFS($B$1:$B$738,B360,$C$1:$C$738,#REF!)&gt;2,1,0)</f>
        <v>0</v>
      </c>
      <c r="T361">
        <f t="shared" si="37"/>
        <v>0</v>
      </c>
      <c r="U361">
        <f t="shared" si="38"/>
        <v>0</v>
      </c>
      <c r="V361">
        <f t="shared" si="39"/>
        <v>0</v>
      </c>
      <c r="W361">
        <f t="shared" si="41"/>
        <v>0</v>
      </c>
      <c r="X361" t="str" cm="1">
        <f t="array" ref="X361">_xlfn.IFS(W361&lt;=1,"Low",W361=2,"Medium",W361&gt;=3,"High")</f>
        <v>Low</v>
      </c>
    </row>
    <row r="362" spans="1:24" x14ac:dyDescent="0.3">
      <c r="A362" t="s">
        <v>767</v>
      </c>
      <c r="B362" t="s">
        <v>768</v>
      </c>
      <c r="C362" s="3">
        <v>46180</v>
      </c>
      <c r="D362" s="8" t="s">
        <v>769</v>
      </c>
      <c r="E362" s="7" t="s">
        <v>20</v>
      </c>
      <c r="F362" s="7" t="s">
        <v>21</v>
      </c>
      <c r="G362" s="7" t="s">
        <v>49</v>
      </c>
      <c r="H362" s="4">
        <v>1208.42</v>
      </c>
      <c r="I362" s="7" t="s">
        <v>26</v>
      </c>
      <c r="J362" s="7" t="s">
        <v>17</v>
      </c>
      <c r="L362" t="str">
        <f>PROPER(TRIM(SUBSTITUTE(_xlfn.XLOOKUP(B362,Cardholders_Reference!A:A,Cardholders_Reference!B:B),","," ")))</f>
        <v>Pieter Adams</v>
      </c>
      <c r="M362" s="5">
        <f>_xlfn.XLOOKUP(B362,Cardholders_Reference!A:A,Cardholders_Reference!G:G)</f>
        <v>50000</v>
      </c>
      <c r="N362" s="7" t="str">
        <f>_xlfn.XLOOKUP(B362,Cardholders_Reference!A:A,Cardholders_Reference!D:D)</f>
        <v>Standard Bank</v>
      </c>
      <c r="O362" s="7" t="str">
        <f>_xlfn.XLOOKUP(B362,Cardholders_Reference!A:A,Cardholders_Reference!E:E)</f>
        <v>Visa</v>
      </c>
      <c r="P362" s="6">
        <f t="shared" si="40"/>
        <v>2.4168400000000003E-2</v>
      </c>
      <c r="Q362">
        <f t="shared" si="35"/>
        <v>0</v>
      </c>
      <c r="R362">
        <f t="shared" si="36"/>
        <v>0</v>
      </c>
      <c r="S362">
        <f>IF(COUNTIFS($B$1:$B$738,B361,$C$1:$C$738,#REF!)&gt;2,1,0)</f>
        <v>0</v>
      </c>
      <c r="T362">
        <f t="shared" si="37"/>
        <v>0</v>
      </c>
      <c r="U362">
        <f t="shared" si="38"/>
        <v>0</v>
      </c>
      <c r="V362">
        <f t="shared" si="39"/>
        <v>1</v>
      </c>
      <c r="W362">
        <f t="shared" si="41"/>
        <v>1</v>
      </c>
      <c r="X362" t="str" cm="1">
        <f t="array" ref="X362">_xlfn.IFS(W362&lt;=1,"Low",W362=2,"Medium",W362&gt;=3,"High")</f>
        <v>Low</v>
      </c>
    </row>
    <row r="363" spans="1:24" x14ac:dyDescent="0.3">
      <c r="A363" t="s">
        <v>770</v>
      </c>
      <c r="B363" t="s">
        <v>768</v>
      </c>
      <c r="C363" s="3">
        <v>45910</v>
      </c>
      <c r="D363" s="8" t="s">
        <v>320</v>
      </c>
      <c r="E363" s="7" t="s">
        <v>215</v>
      </c>
      <c r="F363" s="7" t="s">
        <v>15</v>
      </c>
      <c r="G363" s="7" t="s">
        <v>118</v>
      </c>
      <c r="H363" s="4">
        <v>3321.84</v>
      </c>
      <c r="I363" s="7" t="s">
        <v>32</v>
      </c>
      <c r="J363" s="7" t="s">
        <v>17</v>
      </c>
      <c r="L363" t="str">
        <f>PROPER(TRIM(SUBSTITUTE(_xlfn.XLOOKUP(B363,Cardholders_Reference!A:A,Cardholders_Reference!B:B),","," ")))</f>
        <v>Pieter Adams</v>
      </c>
      <c r="M363" s="5">
        <f>_xlfn.XLOOKUP(B363,Cardholders_Reference!A:A,Cardholders_Reference!G:G)</f>
        <v>50000</v>
      </c>
      <c r="N363" s="7" t="str">
        <f>_xlfn.XLOOKUP(B363,Cardholders_Reference!A:A,Cardholders_Reference!D:D)</f>
        <v>Standard Bank</v>
      </c>
      <c r="O363" s="7" t="str">
        <f>_xlfn.XLOOKUP(B363,Cardholders_Reference!A:A,Cardholders_Reference!E:E)</f>
        <v>Visa</v>
      </c>
      <c r="P363" s="6">
        <f t="shared" si="40"/>
        <v>6.6436800000000004E-2</v>
      </c>
      <c r="Q363">
        <f t="shared" si="35"/>
        <v>1</v>
      </c>
      <c r="R363">
        <f t="shared" si="36"/>
        <v>0</v>
      </c>
      <c r="S363">
        <f>IF(COUNTIFS($B$1:$B$738,B362,$C$1:$C$738,#REF!)&gt;2,1,0)</f>
        <v>0</v>
      </c>
      <c r="T363">
        <f t="shared" si="37"/>
        <v>0</v>
      </c>
      <c r="U363">
        <f t="shared" si="38"/>
        <v>1</v>
      </c>
      <c r="V363">
        <f t="shared" si="39"/>
        <v>0</v>
      </c>
      <c r="W363">
        <f t="shared" si="41"/>
        <v>2</v>
      </c>
      <c r="X363" t="str" cm="1">
        <f t="array" ref="X363">_xlfn.IFS(W363&lt;=1,"Low",W363=2,"Medium",W363&gt;=3,"High")</f>
        <v>Medium</v>
      </c>
    </row>
    <row r="364" spans="1:24" x14ac:dyDescent="0.3">
      <c r="A364" t="s">
        <v>771</v>
      </c>
      <c r="B364" t="s">
        <v>768</v>
      </c>
      <c r="C364" s="3">
        <v>46100</v>
      </c>
      <c r="D364" s="8" t="s">
        <v>706</v>
      </c>
      <c r="E364" s="7" t="s">
        <v>52</v>
      </c>
      <c r="F364" s="7" t="s">
        <v>53</v>
      </c>
      <c r="G364" s="7" t="s">
        <v>108</v>
      </c>
      <c r="H364" s="4">
        <v>805.78</v>
      </c>
      <c r="I364" s="7" t="s">
        <v>16</v>
      </c>
      <c r="J364" s="7" t="s">
        <v>17</v>
      </c>
      <c r="L364" t="str">
        <f>PROPER(TRIM(SUBSTITUTE(_xlfn.XLOOKUP(B364,Cardholders_Reference!A:A,Cardholders_Reference!B:B),","," ")))</f>
        <v>Pieter Adams</v>
      </c>
      <c r="M364" s="5">
        <f>_xlfn.XLOOKUP(B364,Cardholders_Reference!A:A,Cardholders_Reference!G:G)</f>
        <v>50000</v>
      </c>
      <c r="N364" s="7" t="str">
        <f>_xlfn.XLOOKUP(B364,Cardholders_Reference!A:A,Cardholders_Reference!D:D)</f>
        <v>Standard Bank</v>
      </c>
      <c r="O364" s="7" t="str">
        <f>_xlfn.XLOOKUP(B364,Cardholders_Reference!A:A,Cardholders_Reference!E:E)</f>
        <v>Visa</v>
      </c>
      <c r="P364" s="6">
        <f t="shared" si="40"/>
        <v>1.6115600000000001E-2</v>
      </c>
      <c r="Q364">
        <f t="shared" si="35"/>
        <v>1</v>
      </c>
      <c r="R364">
        <f t="shared" si="36"/>
        <v>0</v>
      </c>
      <c r="S364">
        <f>IF(COUNTIFS($B$1:$B$738,B363,$C$1:$C$738,#REF!)&gt;2,1,0)</f>
        <v>0</v>
      </c>
      <c r="T364">
        <f t="shared" si="37"/>
        <v>0</v>
      </c>
      <c r="U364">
        <f t="shared" si="38"/>
        <v>0</v>
      </c>
      <c r="V364">
        <f t="shared" si="39"/>
        <v>0</v>
      </c>
      <c r="W364">
        <f t="shared" si="41"/>
        <v>1</v>
      </c>
      <c r="X364" t="str" cm="1">
        <f t="array" ref="X364">_xlfn.IFS(W364&lt;=1,"Low",W364=2,"Medium",W364&gt;=3,"High")</f>
        <v>Low</v>
      </c>
    </row>
    <row r="365" spans="1:24" x14ac:dyDescent="0.3">
      <c r="A365" t="s">
        <v>772</v>
      </c>
      <c r="B365" t="s">
        <v>768</v>
      </c>
      <c r="C365" s="3">
        <v>46268</v>
      </c>
      <c r="D365" s="8" t="s">
        <v>546</v>
      </c>
      <c r="E365" s="7" t="s">
        <v>52</v>
      </c>
      <c r="F365" s="7" t="s">
        <v>53</v>
      </c>
      <c r="G365" s="7" t="s">
        <v>108</v>
      </c>
      <c r="H365" s="4">
        <v>445.9</v>
      </c>
      <c r="I365" s="7" t="s">
        <v>26</v>
      </c>
      <c r="J365" s="7" t="s">
        <v>41</v>
      </c>
      <c r="L365" t="str">
        <f>PROPER(TRIM(SUBSTITUTE(_xlfn.XLOOKUP(B365,Cardholders_Reference!A:A,Cardholders_Reference!B:B),","," ")))</f>
        <v>Pieter Adams</v>
      </c>
      <c r="M365" s="5">
        <f>_xlfn.XLOOKUP(B365,Cardholders_Reference!A:A,Cardholders_Reference!G:G)</f>
        <v>50000</v>
      </c>
      <c r="N365" s="7" t="str">
        <f>_xlfn.XLOOKUP(B365,Cardholders_Reference!A:A,Cardholders_Reference!D:D)</f>
        <v>Standard Bank</v>
      </c>
      <c r="O365" s="7" t="str">
        <f>_xlfn.XLOOKUP(B365,Cardholders_Reference!A:A,Cardholders_Reference!E:E)</f>
        <v>Visa</v>
      </c>
      <c r="P365" s="6">
        <f t="shared" si="40"/>
        <v>8.9179999999999988E-3</v>
      </c>
      <c r="Q365">
        <f t="shared" si="35"/>
        <v>0</v>
      </c>
      <c r="R365">
        <f t="shared" si="36"/>
        <v>0</v>
      </c>
      <c r="S365">
        <f>IF(COUNTIFS($B$1:$B$738,B364,$C$1:$C$738,#REF!)&gt;2,1,0)</f>
        <v>0</v>
      </c>
      <c r="T365">
        <f t="shared" si="37"/>
        <v>0</v>
      </c>
      <c r="U365">
        <f t="shared" si="38"/>
        <v>0</v>
      </c>
      <c r="V365">
        <f t="shared" si="39"/>
        <v>1</v>
      </c>
      <c r="W365">
        <f t="shared" si="41"/>
        <v>1</v>
      </c>
      <c r="X365" t="str" cm="1">
        <f t="array" ref="X365">_xlfn.IFS(W365&lt;=1,"Low",W365=2,"Medium",W365&gt;=3,"High")</f>
        <v>Low</v>
      </c>
    </row>
    <row r="366" spans="1:24" x14ac:dyDescent="0.3">
      <c r="A366" t="s">
        <v>773</v>
      </c>
      <c r="B366" t="s">
        <v>768</v>
      </c>
      <c r="C366" s="3">
        <v>46158</v>
      </c>
      <c r="D366" s="8" t="s">
        <v>774</v>
      </c>
      <c r="E366" s="7" t="s">
        <v>77</v>
      </c>
      <c r="F366" s="7" t="s">
        <v>15</v>
      </c>
      <c r="G366" s="7" t="s">
        <v>108</v>
      </c>
      <c r="H366" s="4">
        <v>420.94</v>
      </c>
      <c r="I366" s="7" t="s">
        <v>16</v>
      </c>
      <c r="J366" s="7" t="s">
        <v>17</v>
      </c>
      <c r="L366" t="str">
        <f>PROPER(TRIM(SUBSTITUTE(_xlfn.XLOOKUP(B366,Cardholders_Reference!A:A,Cardholders_Reference!B:B),","," ")))</f>
        <v>Pieter Adams</v>
      </c>
      <c r="M366" s="5">
        <f>_xlfn.XLOOKUP(B366,Cardholders_Reference!A:A,Cardholders_Reference!G:G)</f>
        <v>50000</v>
      </c>
      <c r="N366" s="7" t="str">
        <f>_xlfn.XLOOKUP(B366,Cardholders_Reference!A:A,Cardholders_Reference!D:D)</f>
        <v>Standard Bank</v>
      </c>
      <c r="O366" s="7" t="str">
        <f>_xlfn.XLOOKUP(B366,Cardholders_Reference!A:A,Cardholders_Reference!E:E)</f>
        <v>Visa</v>
      </c>
      <c r="P366" s="6">
        <f t="shared" si="40"/>
        <v>8.4188000000000006E-3</v>
      </c>
      <c r="Q366">
        <f t="shared" si="35"/>
        <v>0</v>
      </c>
      <c r="R366">
        <f t="shared" si="36"/>
        <v>0</v>
      </c>
      <c r="S366">
        <f>IF(COUNTIFS($B$1:$B$738,B365,$C$1:$C$738,#REF!)&gt;2,1,0)</f>
        <v>0</v>
      </c>
      <c r="T366">
        <f t="shared" si="37"/>
        <v>0</v>
      </c>
      <c r="U366">
        <f t="shared" si="38"/>
        <v>0</v>
      </c>
      <c r="V366">
        <f t="shared" si="39"/>
        <v>0</v>
      </c>
      <c r="W366">
        <f t="shared" si="41"/>
        <v>0</v>
      </c>
      <c r="X366" t="str" cm="1">
        <f t="array" ref="X366">_xlfn.IFS(W366&lt;=1,"Low",W366=2,"Medium",W366&gt;=3,"High")</f>
        <v>Low</v>
      </c>
    </row>
    <row r="367" spans="1:24" x14ac:dyDescent="0.3">
      <c r="A367" t="s">
        <v>775</v>
      </c>
      <c r="B367" t="s">
        <v>768</v>
      </c>
      <c r="C367" s="3">
        <v>45843</v>
      </c>
      <c r="D367" s="8" t="s">
        <v>776</v>
      </c>
      <c r="E367" s="7" t="s">
        <v>308</v>
      </c>
      <c r="F367" s="7" t="s">
        <v>91</v>
      </c>
      <c r="G367" s="7" t="s">
        <v>108</v>
      </c>
      <c r="H367" s="4">
        <v>678.02</v>
      </c>
      <c r="I367" s="7" t="s">
        <v>32</v>
      </c>
      <c r="J367" s="7" t="s">
        <v>17</v>
      </c>
      <c r="L367" t="str">
        <f>PROPER(TRIM(SUBSTITUTE(_xlfn.XLOOKUP(B367,Cardholders_Reference!A:A,Cardholders_Reference!B:B),","," ")))</f>
        <v>Pieter Adams</v>
      </c>
      <c r="M367" s="5">
        <f>_xlfn.XLOOKUP(B367,Cardholders_Reference!A:A,Cardholders_Reference!G:G)</f>
        <v>50000</v>
      </c>
      <c r="N367" s="7" t="str">
        <f>_xlfn.XLOOKUP(B367,Cardholders_Reference!A:A,Cardholders_Reference!D:D)</f>
        <v>Standard Bank</v>
      </c>
      <c r="O367" s="7" t="str">
        <f>_xlfn.XLOOKUP(B367,Cardholders_Reference!A:A,Cardholders_Reference!E:E)</f>
        <v>Visa</v>
      </c>
      <c r="P367" s="6">
        <f t="shared" si="40"/>
        <v>1.35604E-2</v>
      </c>
      <c r="Q367">
        <f t="shared" si="35"/>
        <v>0</v>
      </c>
      <c r="R367">
        <f t="shared" si="36"/>
        <v>0</v>
      </c>
      <c r="S367">
        <f>IF(COUNTIFS($B$1:$B$738,B366,$C$1:$C$738,#REF!)&gt;2,1,0)</f>
        <v>0</v>
      </c>
      <c r="T367">
        <f t="shared" si="37"/>
        <v>0</v>
      </c>
      <c r="U367">
        <f t="shared" si="38"/>
        <v>0</v>
      </c>
      <c r="V367">
        <f t="shared" si="39"/>
        <v>0</v>
      </c>
      <c r="W367">
        <f t="shared" si="41"/>
        <v>0</v>
      </c>
      <c r="X367" t="str" cm="1">
        <f t="array" ref="X367">_xlfn.IFS(W367&lt;=1,"Low",W367=2,"Medium",W367&gt;=3,"High")</f>
        <v>Low</v>
      </c>
    </row>
    <row r="368" spans="1:24" x14ac:dyDescent="0.3">
      <c r="A368" t="s">
        <v>777</v>
      </c>
      <c r="B368" t="s">
        <v>768</v>
      </c>
      <c r="C368" s="3">
        <v>45718</v>
      </c>
      <c r="D368" s="8" t="s">
        <v>778</v>
      </c>
      <c r="E368" s="7" t="s">
        <v>31</v>
      </c>
      <c r="F368" s="7" t="s">
        <v>25</v>
      </c>
      <c r="G368" s="7" t="s">
        <v>108</v>
      </c>
      <c r="H368" s="4">
        <v>1060.07</v>
      </c>
      <c r="I368" s="7" t="s">
        <v>32</v>
      </c>
      <c r="J368" s="7" t="s">
        <v>17</v>
      </c>
      <c r="L368" t="str">
        <f>PROPER(TRIM(SUBSTITUTE(_xlfn.XLOOKUP(B368,Cardholders_Reference!A:A,Cardholders_Reference!B:B),","," ")))</f>
        <v>Pieter Adams</v>
      </c>
      <c r="M368" s="5">
        <f>_xlfn.XLOOKUP(B368,Cardholders_Reference!A:A,Cardholders_Reference!G:G)</f>
        <v>50000</v>
      </c>
      <c r="N368" s="7" t="str">
        <f>_xlfn.XLOOKUP(B368,Cardholders_Reference!A:A,Cardholders_Reference!D:D)</f>
        <v>Standard Bank</v>
      </c>
      <c r="O368" s="7" t="str">
        <f>_xlfn.XLOOKUP(B368,Cardholders_Reference!A:A,Cardholders_Reference!E:E)</f>
        <v>Visa</v>
      </c>
      <c r="P368" s="6">
        <f t="shared" si="40"/>
        <v>2.1201399999999999E-2</v>
      </c>
      <c r="Q368">
        <f t="shared" si="35"/>
        <v>0</v>
      </c>
      <c r="R368">
        <f t="shared" si="36"/>
        <v>0</v>
      </c>
      <c r="S368">
        <f>IF(COUNTIFS($B$1:$B$738,B367,$C$1:$C$738,#REF!)&gt;2,1,0)</f>
        <v>0</v>
      </c>
      <c r="T368">
        <f t="shared" si="37"/>
        <v>0</v>
      </c>
      <c r="U368">
        <f t="shared" si="38"/>
        <v>0</v>
      </c>
      <c r="V368">
        <f t="shared" si="39"/>
        <v>0</v>
      </c>
      <c r="W368">
        <f t="shared" si="41"/>
        <v>0</v>
      </c>
      <c r="X368" t="str" cm="1">
        <f t="array" ref="X368">_xlfn.IFS(W368&lt;=1,"Low",W368=2,"Medium",W368&gt;=3,"High")</f>
        <v>Low</v>
      </c>
    </row>
    <row r="369" spans="1:24" x14ac:dyDescent="0.3">
      <c r="A369" t="s">
        <v>779</v>
      </c>
      <c r="B369" t="s">
        <v>768</v>
      </c>
      <c r="C369" s="3">
        <v>46848</v>
      </c>
      <c r="D369" s="8" t="s">
        <v>780</v>
      </c>
      <c r="E369" s="7" t="s">
        <v>77</v>
      </c>
      <c r="F369" s="7" t="s">
        <v>15</v>
      </c>
      <c r="G369" s="7" t="s">
        <v>177</v>
      </c>
      <c r="H369" s="4">
        <v>1704.6</v>
      </c>
      <c r="I369" s="7" t="s">
        <v>16</v>
      </c>
      <c r="J369" s="7" t="s">
        <v>41</v>
      </c>
      <c r="L369" t="str">
        <f>PROPER(TRIM(SUBSTITUTE(_xlfn.XLOOKUP(B369,Cardholders_Reference!A:A,Cardholders_Reference!B:B),","," ")))</f>
        <v>Pieter Adams</v>
      </c>
      <c r="M369" s="5">
        <f>_xlfn.XLOOKUP(B369,Cardholders_Reference!A:A,Cardholders_Reference!G:G)</f>
        <v>50000</v>
      </c>
      <c r="N369" s="7" t="str">
        <f>_xlfn.XLOOKUP(B369,Cardholders_Reference!A:A,Cardholders_Reference!D:D)</f>
        <v>Standard Bank</v>
      </c>
      <c r="O369" s="7" t="str">
        <f>_xlfn.XLOOKUP(B369,Cardholders_Reference!A:A,Cardholders_Reference!E:E)</f>
        <v>Visa</v>
      </c>
      <c r="P369" s="6">
        <f t="shared" si="40"/>
        <v>3.4091999999999997E-2</v>
      </c>
      <c r="Q369">
        <f t="shared" si="35"/>
        <v>0</v>
      </c>
      <c r="R369">
        <f t="shared" si="36"/>
        <v>0</v>
      </c>
      <c r="S369">
        <f>IF(COUNTIFS($B$1:$B$738,B368,$C$1:$C$738,#REF!)&gt;2,1,0)</f>
        <v>0</v>
      </c>
      <c r="T369">
        <f t="shared" si="37"/>
        <v>0</v>
      </c>
      <c r="U369">
        <f t="shared" si="38"/>
        <v>0</v>
      </c>
      <c r="V369">
        <f t="shared" si="39"/>
        <v>0</v>
      </c>
      <c r="W369">
        <f t="shared" si="41"/>
        <v>0</v>
      </c>
      <c r="X369" t="str" cm="1">
        <f t="array" ref="X369">_xlfn.IFS(W369&lt;=1,"Low",W369=2,"Medium",W369&gt;=3,"High")</f>
        <v>Low</v>
      </c>
    </row>
    <row r="370" spans="1:24" x14ac:dyDescent="0.3">
      <c r="A370" t="s">
        <v>781</v>
      </c>
      <c r="B370" t="s">
        <v>768</v>
      </c>
      <c r="C370" s="3">
        <v>45760</v>
      </c>
      <c r="D370" s="8" t="s">
        <v>782</v>
      </c>
      <c r="E370" s="7" t="s">
        <v>114</v>
      </c>
      <c r="F370" s="7" t="s">
        <v>81</v>
      </c>
      <c r="G370" s="7" t="s">
        <v>118</v>
      </c>
      <c r="H370" s="4">
        <v>15563.52</v>
      </c>
      <c r="I370" s="7" t="s">
        <v>26</v>
      </c>
      <c r="J370" s="7" t="s">
        <v>41</v>
      </c>
      <c r="L370" t="str">
        <f>PROPER(TRIM(SUBSTITUTE(_xlfn.XLOOKUP(B370,Cardholders_Reference!A:A,Cardholders_Reference!B:B),","," ")))</f>
        <v>Pieter Adams</v>
      </c>
      <c r="M370" s="5">
        <f>_xlfn.XLOOKUP(B370,Cardholders_Reference!A:A,Cardholders_Reference!G:G)</f>
        <v>50000</v>
      </c>
      <c r="N370" s="7" t="str">
        <f>_xlfn.XLOOKUP(B370,Cardholders_Reference!A:A,Cardholders_Reference!D:D)</f>
        <v>Standard Bank</v>
      </c>
      <c r="O370" s="7" t="str">
        <f>_xlfn.XLOOKUP(B370,Cardholders_Reference!A:A,Cardholders_Reference!E:E)</f>
        <v>Visa</v>
      </c>
      <c r="P370" s="6">
        <f t="shared" si="40"/>
        <v>0.3112704</v>
      </c>
      <c r="Q370">
        <f t="shared" si="35"/>
        <v>1</v>
      </c>
      <c r="R370">
        <f t="shared" si="36"/>
        <v>0</v>
      </c>
      <c r="S370">
        <f>IF(COUNTIFS($B$1:$B$738,B369,$C$1:$C$738,#REF!)&gt;2,1,0)</f>
        <v>0</v>
      </c>
      <c r="T370">
        <f t="shared" si="37"/>
        <v>0</v>
      </c>
      <c r="U370">
        <f t="shared" si="38"/>
        <v>0</v>
      </c>
      <c r="V370">
        <f t="shared" si="39"/>
        <v>1</v>
      </c>
      <c r="W370">
        <f t="shared" si="41"/>
        <v>2</v>
      </c>
      <c r="X370" t="str" cm="1">
        <f t="array" ref="X370">_xlfn.IFS(W370&lt;=1,"Low",W370=2,"Medium",W370&gt;=3,"High")</f>
        <v>Medium</v>
      </c>
    </row>
    <row r="371" spans="1:24" x14ac:dyDescent="0.3">
      <c r="A371" t="s">
        <v>783</v>
      </c>
      <c r="B371" t="s">
        <v>768</v>
      </c>
      <c r="C371" s="3">
        <v>45795</v>
      </c>
      <c r="D371" s="8" t="s">
        <v>101</v>
      </c>
      <c r="E371" s="7" t="s">
        <v>548</v>
      </c>
      <c r="F371" s="7" t="s">
        <v>40</v>
      </c>
      <c r="G371" s="7" t="s">
        <v>192</v>
      </c>
      <c r="H371" s="4">
        <v>233.66</v>
      </c>
      <c r="I371" s="7" t="s">
        <v>32</v>
      </c>
      <c r="J371" s="7" t="s">
        <v>17</v>
      </c>
      <c r="L371" t="str">
        <f>PROPER(TRIM(SUBSTITUTE(_xlfn.XLOOKUP(B371,Cardholders_Reference!A:A,Cardholders_Reference!B:B),","," ")))</f>
        <v>Pieter Adams</v>
      </c>
      <c r="M371" s="5">
        <f>_xlfn.XLOOKUP(B371,Cardholders_Reference!A:A,Cardholders_Reference!G:G)</f>
        <v>50000</v>
      </c>
      <c r="N371" s="7" t="str">
        <f>_xlfn.XLOOKUP(B371,Cardholders_Reference!A:A,Cardholders_Reference!D:D)</f>
        <v>Standard Bank</v>
      </c>
      <c r="O371" s="7" t="str">
        <f>_xlfn.XLOOKUP(B371,Cardholders_Reference!A:A,Cardholders_Reference!E:E)</f>
        <v>Visa</v>
      </c>
      <c r="P371" s="6">
        <f t="shared" si="40"/>
        <v>4.6731999999999997E-3</v>
      </c>
      <c r="Q371">
        <f t="shared" si="35"/>
        <v>1</v>
      </c>
      <c r="R371">
        <f t="shared" si="36"/>
        <v>0</v>
      </c>
      <c r="S371">
        <f>IF(COUNTIFS($B$1:$B$738,B370,$C$1:$C$738,#REF!)&gt;2,1,0)</f>
        <v>0</v>
      </c>
      <c r="T371">
        <f t="shared" si="37"/>
        <v>0</v>
      </c>
      <c r="U371">
        <f t="shared" si="38"/>
        <v>0</v>
      </c>
      <c r="V371">
        <f t="shared" si="39"/>
        <v>0</v>
      </c>
      <c r="W371">
        <f t="shared" si="41"/>
        <v>1</v>
      </c>
      <c r="X371" t="str" cm="1">
        <f t="array" ref="X371">_xlfn.IFS(W371&lt;=1,"Low",W371=2,"Medium",W371&gt;=3,"High")</f>
        <v>Low</v>
      </c>
    </row>
    <row r="372" spans="1:24" x14ac:dyDescent="0.3">
      <c r="A372" t="s">
        <v>784</v>
      </c>
      <c r="B372" t="s">
        <v>768</v>
      </c>
      <c r="C372" s="3">
        <v>45865</v>
      </c>
      <c r="D372" s="8" t="s">
        <v>785</v>
      </c>
      <c r="E372" s="7" t="s">
        <v>308</v>
      </c>
      <c r="F372" s="7" t="s">
        <v>91</v>
      </c>
      <c r="G372" s="7" t="s">
        <v>108</v>
      </c>
      <c r="H372" s="4">
        <v>663.97</v>
      </c>
      <c r="I372" s="7" t="s">
        <v>16</v>
      </c>
      <c r="J372" s="7" t="s">
        <v>17</v>
      </c>
      <c r="L372" t="str">
        <f>PROPER(TRIM(SUBSTITUTE(_xlfn.XLOOKUP(B372,Cardholders_Reference!A:A,Cardholders_Reference!B:B),","," ")))</f>
        <v>Pieter Adams</v>
      </c>
      <c r="M372" s="5">
        <f>_xlfn.XLOOKUP(B372,Cardholders_Reference!A:A,Cardholders_Reference!G:G)</f>
        <v>50000</v>
      </c>
      <c r="N372" s="7" t="str">
        <f>_xlfn.XLOOKUP(B372,Cardholders_Reference!A:A,Cardholders_Reference!D:D)</f>
        <v>Standard Bank</v>
      </c>
      <c r="O372" s="7" t="str">
        <f>_xlfn.XLOOKUP(B372,Cardholders_Reference!A:A,Cardholders_Reference!E:E)</f>
        <v>Visa</v>
      </c>
      <c r="P372" s="6">
        <f t="shared" si="40"/>
        <v>1.32794E-2</v>
      </c>
      <c r="Q372">
        <f t="shared" si="35"/>
        <v>1</v>
      </c>
      <c r="R372">
        <f t="shared" si="36"/>
        <v>0</v>
      </c>
      <c r="S372">
        <f>IF(COUNTIFS($B$1:$B$738,B371,$C$1:$C$738,#REF!)&gt;2,1,0)</f>
        <v>0</v>
      </c>
      <c r="T372">
        <f t="shared" si="37"/>
        <v>0</v>
      </c>
      <c r="U372">
        <f t="shared" si="38"/>
        <v>0</v>
      </c>
      <c r="V372">
        <f t="shared" si="39"/>
        <v>0</v>
      </c>
      <c r="W372">
        <f t="shared" si="41"/>
        <v>1</v>
      </c>
      <c r="X372" t="str" cm="1">
        <f t="array" ref="X372">_xlfn.IFS(W372&lt;=1,"Low",W372=2,"Medium",W372&gt;=3,"High")</f>
        <v>Low</v>
      </c>
    </row>
    <row r="373" spans="1:24" x14ac:dyDescent="0.3">
      <c r="A373" t="s">
        <v>786</v>
      </c>
      <c r="B373" t="s">
        <v>768</v>
      </c>
      <c r="C373" s="3">
        <v>46175</v>
      </c>
      <c r="D373" s="8" t="s">
        <v>787</v>
      </c>
      <c r="E373" s="7" t="s">
        <v>39</v>
      </c>
      <c r="F373" s="7" t="s">
        <v>40</v>
      </c>
      <c r="G373" s="7" t="s">
        <v>108</v>
      </c>
      <c r="H373" s="4">
        <v>255.17</v>
      </c>
      <c r="I373" s="7" t="s">
        <v>95</v>
      </c>
      <c r="J373" s="7" t="s">
        <v>17</v>
      </c>
      <c r="L373" t="str">
        <f>PROPER(TRIM(SUBSTITUTE(_xlfn.XLOOKUP(B373,Cardholders_Reference!A:A,Cardholders_Reference!B:B),","," ")))</f>
        <v>Pieter Adams</v>
      </c>
      <c r="M373" s="5">
        <f>_xlfn.XLOOKUP(B373,Cardholders_Reference!A:A,Cardholders_Reference!G:G)</f>
        <v>50000</v>
      </c>
      <c r="N373" s="7" t="str">
        <f>_xlfn.XLOOKUP(B373,Cardholders_Reference!A:A,Cardholders_Reference!D:D)</f>
        <v>Standard Bank</v>
      </c>
      <c r="O373" s="7" t="str">
        <f>_xlfn.XLOOKUP(B373,Cardholders_Reference!A:A,Cardholders_Reference!E:E)</f>
        <v>Visa</v>
      </c>
      <c r="P373" s="6">
        <f t="shared" si="40"/>
        <v>5.1034000000000001E-3</v>
      </c>
      <c r="Q373">
        <f t="shared" si="35"/>
        <v>0</v>
      </c>
      <c r="R373">
        <f t="shared" si="36"/>
        <v>0</v>
      </c>
      <c r="S373">
        <f>IF(COUNTIFS($B$1:$B$738,B372,$C$1:$C$738,#REF!)&gt;2,1,0)</f>
        <v>0</v>
      </c>
      <c r="T373">
        <f t="shared" si="37"/>
        <v>0</v>
      </c>
      <c r="U373">
        <f t="shared" si="38"/>
        <v>0</v>
      </c>
      <c r="V373">
        <f t="shared" si="39"/>
        <v>1</v>
      </c>
      <c r="W373">
        <f t="shared" si="41"/>
        <v>1</v>
      </c>
      <c r="X373" t="str" cm="1">
        <f t="array" ref="X373">_xlfn.IFS(W373&lt;=1,"Low",W373=2,"Medium",W373&gt;=3,"High")</f>
        <v>Low</v>
      </c>
    </row>
    <row r="374" spans="1:24" x14ac:dyDescent="0.3">
      <c r="A374" t="s">
        <v>788</v>
      </c>
      <c r="B374" t="s">
        <v>768</v>
      </c>
      <c r="C374" s="3">
        <v>46062</v>
      </c>
      <c r="D374" s="8" t="s">
        <v>789</v>
      </c>
      <c r="E374" s="7" t="s">
        <v>121</v>
      </c>
      <c r="F374" s="7" t="s">
        <v>36</v>
      </c>
      <c r="G374" s="7" t="s">
        <v>108</v>
      </c>
      <c r="H374" s="4">
        <v>375.45</v>
      </c>
      <c r="I374" s="7" t="s">
        <v>16</v>
      </c>
      <c r="J374" s="7" t="s">
        <v>41</v>
      </c>
      <c r="L374" t="str">
        <f>PROPER(TRIM(SUBSTITUTE(_xlfn.XLOOKUP(B374,Cardholders_Reference!A:A,Cardholders_Reference!B:B),","," ")))</f>
        <v>Pieter Adams</v>
      </c>
      <c r="M374" s="5">
        <f>_xlfn.XLOOKUP(B374,Cardholders_Reference!A:A,Cardholders_Reference!G:G)</f>
        <v>50000</v>
      </c>
      <c r="N374" s="7" t="str">
        <f>_xlfn.XLOOKUP(B374,Cardholders_Reference!A:A,Cardholders_Reference!D:D)</f>
        <v>Standard Bank</v>
      </c>
      <c r="O374" s="7" t="str">
        <f>_xlfn.XLOOKUP(B374,Cardholders_Reference!A:A,Cardholders_Reference!E:E)</f>
        <v>Visa</v>
      </c>
      <c r="P374" s="6">
        <f t="shared" si="40"/>
        <v>7.509E-3</v>
      </c>
      <c r="Q374">
        <f t="shared" si="35"/>
        <v>0</v>
      </c>
      <c r="R374">
        <f t="shared" si="36"/>
        <v>0</v>
      </c>
      <c r="S374">
        <f>IF(COUNTIFS($B$1:$B$738,B373,$C$1:$C$738,#REF!)&gt;2,1,0)</f>
        <v>0</v>
      </c>
      <c r="T374">
        <f t="shared" si="37"/>
        <v>0</v>
      </c>
      <c r="U374">
        <f t="shared" si="38"/>
        <v>0</v>
      </c>
      <c r="V374">
        <f t="shared" si="39"/>
        <v>0</v>
      </c>
      <c r="W374">
        <f t="shared" si="41"/>
        <v>0</v>
      </c>
      <c r="X374" t="str" cm="1">
        <f t="array" ref="X374">_xlfn.IFS(W374&lt;=1,"Low",W374=2,"Medium",W374&gt;=3,"High")</f>
        <v>Low</v>
      </c>
    </row>
    <row r="375" spans="1:24" x14ac:dyDescent="0.3">
      <c r="A375" t="s">
        <v>790</v>
      </c>
      <c r="B375" t="s">
        <v>791</v>
      </c>
      <c r="C375" s="3">
        <v>45787</v>
      </c>
      <c r="D375" s="8" t="s">
        <v>754</v>
      </c>
      <c r="E375" s="7" t="s">
        <v>180</v>
      </c>
      <c r="F375" s="7" t="s">
        <v>21</v>
      </c>
      <c r="G375" s="7" t="s">
        <v>250</v>
      </c>
      <c r="H375" s="4">
        <v>2869.04</v>
      </c>
      <c r="I375" s="7" t="s">
        <v>16</v>
      </c>
      <c r="J375" s="7" t="s">
        <v>17</v>
      </c>
      <c r="L375" t="str">
        <f>PROPER(TRIM(SUBSTITUTE(_xlfn.XLOOKUP(B375,Cardholders_Reference!A:A,Cardholders_Reference!B:B),","," ")))</f>
        <v>Johan Sithole</v>
      </c>
      <c r="M375" s="5">
        <f>_xlfn.XLOOKUP(B375,Cardholders_Reference!A:A,Cardholders_Reference!G:G)</f>
        <v>80000</v>
      </c>
      <c r="N375" s="7" t="str">
        <f>_xlfn.XLOOKUP(B375,Cardholders_Reference!A:A,Cardholders_Reference!D:D)</f>
        <v>FNB</v>
      </c>
      <c r="O375" s="7" t="str">
        <f>_xlfn.XLOOKUP(B375,Cardholders_Reference!A:A,Cardholders_Reference!E:E)</f>
        <v>Visa</v>
      </c>
      <c r="P375" s="6">
        <f t="shared" si="40"/>
        <v>3.5862999999999999E-2</v>
      </c>
      <c r="Q375">
        <f t="shared" si="35"/>
        <v>0</v>
      </c>
      <c r="R375">
        <f t="shared" si="36"/>
        <v>0</v>
      </c>
      <c r="S375">
        <f>IF(COUNTIFS($B$1:$B$738,B374,$C$1:$C$738,#REF!)&gt;2,1,0)</f>
        <v>0</v>
      </c>
      <c r="T375">
        <f t="shared" si="37"/>
        <v>0</v>
      </c>
      <c r="U375">
        <f t="shared" si="38"/>
        <v>0</v>
      </c>
      <c r="V375">
        <f t="shared" si="39"/>
        <v>0</v>
      </c>
      <c r="W375">
        <f t="shared" si="41"/>
        <v>0</v>
      </c>
      <c r="X375" t="str" cm="1">
        <f t="array" ref="X375">_xlfn.IFS(W375&lt;=1,"Low",W375=2,"Medium",W375&gt;=3,"High")</f>
        <v>Low</v>
      </c>
    </row>
    <row r="376" spans="1:24" x14ac:dyDescent="0.3">
      <c r="A376" t="s">
        <v>792</v>
      </c>
      <c r="B376" t="s">
        <v>791</v>
      </c>
      <c r="C376" s="3">
        <v>46183</v>
      </c>
      <c r="D376" s="8" t="s">
        <v>131</v>
      </c>
      <c r="E376" s="7" t="s">
        <v>39</v>
      </c>
      <c r="F376" s="7" t="s">
        <v>40</v>
      </c>
      <c r="G376" s="7" t="s">
        <v>250</v>
      </c>
      <c r="H376" s="4">
        <v>343.43</v>
      </c>
      <c r="I376" s="7" t="s">
        <v>32</v>
      </c>
      <c r="J376" s="7" t="s">
        <v>41</v>
      </c>
      <c r="L376" t="str">
        <f>PROPER(TRIM(SUBSTITUTE(_xlfn.XLOOKUP(B376,Cardholders_Reference!A:A,Cardholders_Reference!B:B),","," ")))</f>
        <v>Johan Sithole</v>
      </c>
      <c r="M376" s="5">
        <f>_xlfn.XLOOKUP(B376,Cardholders_Reference!A:A,Cardholders_Reference!G:G)</f>
        <v>80000</v>
      </c>
      <c r="N376" s="7" t="str">
        <f>_xlfn.XLOOKUP(B376,Cardholders_Reference!A:A,Cardholders_Reference!D:D)</f>
        <v>FNB</v>
      </c>
      <c r="O376" s="7" t="str">
        <f>_xlfn.XLOOKUP(B376,Cardholders_Reference!A:A,Cardholders_Reference!E:E)</f>
        <v>Visa</v>
      </c>
      <c r="P376" s="6">
        <f t="shared" si="40"/>
        <v>4.2928749999999998E-3</v>
      </c>
      <c r="Q376">
        <f t="shared" si="35"/>
        <v>0</v>
      </c>
      <c r="R376">
        <f t="shared" si="36"/>
        <v>0</v>
      </c>
      <c r="S376">
        <f>IF(COUNTIFS($B$1:$B$738,B375,$C$1:$C$738,#REF!)&gt;2,1,0)</f>
        <v>0</v>
      </c>
      <c r="T376">
        <f t="shared" si="37"/>
        <v>0</v>
      </c>
      <c r="U376">
        <f t="shared" si="38"/>
        <v>1</v>
      </c>
      <c r="V376">
        <f t="shared" si="39"/>
        <v>0</v>
      </c>
      <c r="W376">
        <f t="shared" si="41"/>
        <v>1</v>
      </c>
      <c r="X376" t="str" cm="1">
        <f t="array" ref="X376">_xlfn.IFS(W376&lt;=1,"Low",W376=2,"Medium",W376&gt;=3,"High")</f>
        <v>Low</v>
      </c>
    </row>
    <row r="377" spans="1:24" x14ac:dyDescent="0.3">
      <c r="A377" t="s">
        <v>793</v>
      </c>
      <c r="B377" t="s">
        <v>791</v>
      </c>
      <c r="C377" s="3">
        <v>45955</v>
      </c>
      <c r="D377" s="8" t="s">
        <v>794</v>
      </c>
      <c r="E377" s="7" t="s">
        <v>206</v>
      </c>
      <c r="F377" s="7" t="s">
        <v>61</v>
      </c>
      <c r="G377" s="7" t="s">
        <v>250</v>
      </c>
      <c r="H377" s="4">
        <v>927.24</v>
      </c>
      <c r="I377" s="7" t="s">
        <v>16</v>
      </c>
      <c r="J377" s="7" t="s">
        <v>17</v>
      </c>
      <c r="L377" t="str">
        <f>PROPER(TRIM(SUBSTITUTE(_xlfn.XLOOKUP(B377,Cardholders_Reference!A:A,Cardholders_Reference!B:B),","," ")))</f>
        <v>Johan Sithole</v>
      </c>
      <c r="M377" s="5">
        <f>_xlfn.XLOOKUP(B377,Cardholders_Reference!A:A,Cardholders_Reference!G:G)</f>
        <v>80000</v>
      </c>
      <c r="N377" s="7" t="str">
        <f>_xlfn.XLOOKUP(B377,Cardholders_Reference!A:A,Cardholders_Reference!D:D)</f>
        <v>FNB</v>
      </c>
      <c r="O377" s="7" t="str">
        <f>_xlfn.XLOOKUP(B377,Cardholders_Reference!A:A,Cardholders_Reference!E:E)</f>
        <v>Visa</v>
      </c>
      <c r="P377" s="6">
        <f t="shared" si="40"/>
        <v>1.15905E-2</v>
      </c>
      <c r="Q377">
        <f t="shared" si="35"/>
        <v>0</v>
      </c>
      <c r="R377">
        <f t="shared" si="36"/>
        <v>0</v>
      </c>
      <c r="S377">
        <f>IF(COUNTIFS($B$1:$B$738,B376,$C$1:$C$738,#REF!)&gt;2,1,0)</f>
        <v>0</v>
      </c>
      <c r="T377">
        <f t="shared" si="37"/>
        <v>0</v>
      </c>
      <c r="U377">
        <f t="shared" si="38"/>
        <v>0</v>
      </c>
      <c r="V377">
        <f t="shared" si="39"/>
        <v>0</v>
      </c>
      <c r="W377">
        <f t="shared" si="41"/>
        <v>0</v>
      </c>
      <c r="X377" t="str" cm="1">
        <f t="array" ref="X377">_xlfn.IFS(W377&lt;=1,"Low",W377=2,"Medium",W377&gt;=3,"High")</f>
        <v>Low</v>
      </c>
    </row>
    <row r="378" spans="1:24" x14ac:dyDescent="0.3">
      <c r="A378" t="s">
        <v>795</v>
      </c>
      <c r="B378" t="s">
        <v>791</v>
      </c>
      <c r="C378" s="3">
        <v>45947</v>
      </c>
      <c r="D378" s="8" t="s">
        <v>796</v>
      </c>
      <c r="E378" s="7" t="s">
        <v>70</v>
      </c>
      <c r="F378" s="7" t="s">
        <v>36</v>
      </c>
      <c r="G378" s="7" t="s">
        <v>250</v>
      </c>
      <c r="H378" s="4">
        <v>504.66</v>
      </c>
      <c r="I378" s="7" t="s">
        <v>26</v>
      </c>
      <c r="J378" s="7" t="s">
        <v>41</v>
      </c>
      <c r="L378" t="str">
        <f>PROPER(TRIM(SUBSTITUTE(_xlfn.XLOOKUP(B378,Cardholders_Reference!A:A,Cardholders_Reference!B:B),","," ")))</f>
        <v>Johan Sithole</v>
      </c>
      <c r="M378" s="5">
        <f>_xlfn.XLOOKUP(B378,Cardholders_Reference!A:A,Cardholders_Reference!G:G)</f>
        <v>80000</v>
      </c>
      <c r="N378" s="7" t="str">
        <f>_xlfn.XLOOKUP(B378,Cardholders_Reference!A:A,Cardholders_Reference!D:D)</f>
        <v>FNB</v>
      </c>
      <c r="O378" s="7" t="str">
        <f>_xlfn.XLOOKUP(B378,Cardholders_Reference!A:A,Cardholders_Reference!E:E)</f>
        <v>Visa</v>
      </c>
      <c r="P378" s="6">
        <f t="shared" si="40"/>
        <v>6.3082500000000005E-3</v>
      </c>
      <c r="Q378">
        <f t="shared" si="35"/>
        <v>0</v>
      </c>
      <c r="R378">
        <f t="shared" si="36"/>
        <v>0</v>
      </c>
      <c r="S378">
        <f>IF(COUNTIFS($B$1:$B$738,B377,$C$1:$C$738,#REF!)&gt;2,1,0)</f>
        <v>0</v>
      </c>
      <c r="T378">
        <f t="shared" si="37"/>
        <v>0</v>
      </c>
      <c r="U378">
        <f t="shared" si="38"/>
        <v>0</v>
      </c>
      <c r="V378">
        <f t="shared" si="39"/>
        <v>1</v>
      </c>
      <c r="W378">
        <f t="shared" si="41"/>
        <v>1</v>
      </c>
      <c r="X378" t="str" cm="1">
        <f t="array" ref="X378">_xlfn.IFS(W378&lt;=1,"Low",W378=2,"Medium",W378&gt;=3,"High")</f>
        <v>Low</v>
      </c>
    </row>
    <row r="379" spans="1:24" x14ac:dyDescent="0.3">
      <c r="A379" t="s">
        <v>797</v>
      </c>
      <c r="B379" t="s">
        <v>791</v>
      </c>
      <c r="C379" s="3">
        <v>45722</v>
      </c>
      <c r="D379" s="8" t="s">
        <v>634</v>
      </c>
      <c r="E379" s="7" t="s">
        <v>20</v>
      </c>
      <c r="F379" s="7" t="s">
        <v>21</v>
      </c>
      <c r="G379" s="7" t="s">
        <v>250</v>
      </c>
      <c r="H379" s="4">
        <v>1551.4</v>
      </c>
      <c r="I379" s="7" t="s">
        <v>95</v>
      </c>
      <c r="J379" s="7" t="s">
        <v>17</v>
      </c>
      <c r="L379" t="str">
        <f>PROPER(TRIM(SUBSTITUTE(_xlfn.XLOOKUP(B379,Cardholders_Reference!A:A,Cardholders_Reference!B:B),","," ")))</f>
        <v>Johan Sithole</v>
      </c>
      <c r="M379" s="5">
        <f>_xlfn.XLOOKUP(B379,Cardholders_Reference!A:A,Cardholders_Reference!G:G)</f>
        <v>80000</v>
      </c>
      <c r="N379" s="7" t="str">
        <f>_xlfn.XLOOKUP(B379,Cardholders_Reference!A:A,Cardholders_Reference!D:D)</f>
        <v>FNB</v>
      </c>
      <c r="O379" s="7" t="str">
        <f>_xlfn.XLOOKUP(B379,Cardholders_Reference!A:A,Cardholders_Reference!E:E)</f>
        <v>Visa</v>
      </c>
      <c r="P379" s="6">
        <f t="shared" si="40"/>
        <v>1.93925E-2</v>
      </c>
      <c r="Q379">
        <f t="shared" si="35"/>
        <v>0</v>
      </c>
      <c r="R379">
        <f t="shared" si="36"/>
        <v>0</v>
      </c>
      <c r="S379">
        <f>IF(COUNTIFS($B$1:$B$738,B378,$C$1:$C$738,#REF!)&gt;2,1,0)</f>
        <v>0</v>
      </c>
      <c r="T379">
        <f t="shared" si="37"/>
        <v>0</v>
      </c>
      <c r="U379">
        <f t="shared" si="38"/>
        <v>0</v>
      </c>
      <c r="V379">
        <f t="shared" si="39"/>
        <v>1</v>
      </c>
      <c r="W379">
        <f t="shared" si="41"/>
        <v>1</v>
      </c>
      <c r="X379" t="str" cm="1">
        <f t="array" ref="X379">_xlfn.IFS(W379&lt;=1,"Low",W379=2,"Medium",W379&gt;=3,"High")</f>
        <v>Low</v>
      </c>
    </row>
    <row r="380" spans="1:24" x14ac:dyDescent="0.3">
      <c r="A380" t="s">
        <v>798</v>
      </c>
      <c r="B380" t="s">
        <v>791</v>
      </c>
      <c r="C380" s="3">
        <v>46071</v>
      </c>
      <c r="D380" s="8" t="s">
        <v>799</v>
      </c>
      <c r="E380" s="7" t="s">
        <v>321</v>
      </c>
      <c r="F380" s="7" t="s">
        <v>61</v>
      </c>
      <c r="G380" s="7" t="s">
        <v>250</v>
      </c>
      <c r="H380" s="4">
        <v>3825.71</v>
      </c>
      <c r="I380" s="7" t="s">
        <v>32</v>
      </c>
      <c r="J380" s="7" t="s">
        <v>17</v>
      </c>
      <c r="L380" t="str">
        <f>PROPER(TRIM(SUBSTITUTE(_xlfn.XLOOKUP(B380,Cardholders_Reference!A:A,Cardholders_Reference!B:B),","," ")))</f>
        <v>Johan Sithole</v>
      </c>
      <c r="M380" s="5">
        <f>_xlfn.XLOOKUP(B380,Cardholders_Reference!A:A,Cardholders_Reference!G:G)</f>
        <v>80000</v>
      </c>
      <c r="N380" s="7" t="str">
        <f>_xlfn.XLOOKUP(B380,Cardholders_Reference!A:A,Cardholders_Reference!D:D)</f>
        <v>FNB</v>
      </c>
      <c r="O380" s="7" t="str">
        <f>_xlfn.XLOOKUP(B380,Cardholders_Reference!A:A,Cardholders_Reference!E:E)</f>
        <v>Visa</v>
      </c>
      <c r="P380" s="6">
        <f t="shared" si="40"/>
        <v>4.7821374999999999E-2</v>
      </c>
      <c r="Q380">
        <f t="shared" si="35"/>
        <v>0</v>
      </c>
      <c r="R380">
        <f t="shared" si="36"/>
        <v>0</v>
      </c>
      <c r="S380">
        <f>IF(COUNTIFS($B$1:$B$738,B379,$C$1:$C$738,#REF!)&gt;2,1,0)</f>
        <v>0</v>
      </c>
      <c r="T380">
        <f t="shared" si="37"/>
        <v>0</v>
      </c>
      <c r="U380">
        <f t="shared" si="38"/>
        <v>1</v>
      </c>
      <c r="V380">
        <f t="shared" si="39"/>
        <v>0</v>
      </c>
      <c r="W380">
        <f t="shared" si="41"/>
        <v>1</v>
      </c>
      <c r="X380" t="str" cm="1">
        <f t="array" ref="X380">_xlfn.IFS(W380&lt;=1,"Low",W380=2,"Medium",W380&gt;=3,"High")</f>
        <v>Low</v>
      </c>
    </row>
    <row r="381" spans="1:24" x14ac:dyDescent="0.3">
      <c r="A381" t="s">
        <v>800</v>
      </c>
      <c r="B381" t="s">
        <v>791</v>
      </c>
      <c r="C381" s="3">
        <v>46026</v>
      </c>
      <c r="D381" s="8" t="s">
        <v>801</v>
      </c>
      <c r="E381" s="7" t="s">
        <v>377</v>
      </c>
      <c r="F381" s="7" t="s">
        <v>74</v>
      </c>
      <c r="G381" s="7" t="s">
        <v>250</v>
      </c>
      <c r="H381" s="4">
        <v>308.47000000000003</v>
      </c>
      <c r="I381" s="7" t="s">
        <v>16</v>
      </c>
      <c r="J381" s="7" t="s">
        <v>17</v>
      </c>
      <c r="L381" t="str">
        <f>PROPER(TRIM(SUBSTITUTE(_xlfn.XLOOKUP(B381,Cardholders_Reference!A:A,Cardholders_Reference!B:B),","," ")))</f>
        <v>Johan Sithole</v>
      </c>
      <c r="M381" s="5">
        <f>_xlfn.XLOOKUP(B381,Cardholders_Reference!A:A,Cardholders_Reference!G:G)</f>
        <v>80000</v>
      </c>
      <c r="N381" s="7" t="str">
        <f>_xlfn.XLOOKUP(B381,Cardholders_Reference!A:A,Cardholders_Reference!D:D)</f>
        <v>FNB</v>
      </c>
      <c r="O381" s="7" t="str">
        <f>_xlfn.XLOOKUP(B381,Cardholders_Reference!A:A,Cardholders_Reference!E:E)</f>
        <v>Visa</v>
      </c>
      <c r="P381" s="6">
        <f t="shared" si="40"/>
        <v>3.8558750000000004E-3</v>
      </c>
      <c r="Q381">
        <f t="shared" si="35"/>
        <v>0</v>
      </c>
      <c r="R381">
        <f t="shared" si="36"/>
        <v>0</v>
      </c>
      <c r="S381">
        <f>IF(COUNTIFS($B$1:$B$738,B380,$C$1:$C$738,#REF!)&gt;2,1,0)</f>
        <v>0</v>
      </c>
      <c r="T381">
        <f t="shared" si="37"/>
        <v>0</v>
      </c>
      <c r="U381">
        <f t="shared" si="38"/>
        <v>0</v>
      </c>
      <c r="V381">
        <f t="shared" si="39"/>
        <v>0</v>
      </c>
      <c r="W381">
        <f t="shared" si="41"/>
        <v>0</v>
      </c>
      <c r="X381" t="str" cm="1">
        <f t="array" ref="X381">_xlfn.IFS(W381&lt;=1,"Low",W381=2,"Medium",W381&gt;=3,"High")</f>
        <v>Low</v>
      </c>
    </row>
    <row r="382" spans="1:24" x14ac:dyDescent="0.3">
      <c r="A382" t="s">
        <v>802</v>
      </c>
      <c r="B382" t="s">
        <v>791</v>
      </c>
      <c r="C382" s="3">
        <v>46154</v>
      </c>
      <c r="D382" s="8" t="s">
        <v>803</v>
      </c>
      <c r="E382" s="7" t="s">
        <v>121</v>
      </c>
      <c r="F382" s="7" t="s">
        <v>36</v>
      </c>
      <c r="G382" s="7" t="s">
        <v>250</v>
      </c>
      <c r="H382" s="4">
        <v>226.01</v>
      </c>
      <c r="I382" s="7" t="s">
        <v>16</v>
      </c>
      <c r="J382" s="7" t="s">
        <v>41</v>
      </c>
      <c r="L382" t="str">
        <f>PROPER(TRIM(SUBSTITUTE(_xlfn.XLOOKUP(B382,Cardholders_Reference!A:A,Cardholders_Reference!B:B),","," ")))</f>
        <v>Johan Sithole</v>
      </c>
      <c r="M382" s="5">
        <f>_xlfn.XLOOKUP(B382,Cardholders_Reference!A:A,Cardholders_Reference!G:G)</f>
        <v>80000</v>
      </c>
      <c r="N382" s="7" t="str">
        <f>_xlfn.XLOOKUP(B382,Cardholders_Reference!A:A,Cardholders_Reference!D:D)</f>
        <v>FNB</v>
      </c>
      <c r="O382" s="7" t="str">
        <f>_xlfn.XLOOKUP(B382,Cardholders_Reference!A:A,Cardholders_Reference!E:E)</f>
        <v>Visa</v>
      </c>
      <c r="P382" s="6">
        <f t="shared" si="40"/>
        <v>2.8251249999999999E-3</v>
      </c>
      <c r="Q382">
        <f t="shared" si="35"/>
        <v>0</v>
      </c>
      <c r="R382">
        <f t="shared" si="36"/>
        <v>0</v>
      </c>
      <c r="S382">
        <f>IF(COUNTIFS($B$1:$B$738,B381,$C$1:$C$738,#REF!)&gt;2,1,0)</f>
        <v>0</v>
      </c>
      <c r="T382">
        <f t="shared" si="37"/>
        <v>0</v>
      </c>
      <c r="U382">
        <f t="shared" si="38"/>
        <v>0</v>
      </c>
      <c r="V382">
        <f t="shared" si="39"/>
        <v>0</v>
      </c>
      <c r="W382">
        <f t="shared" si="41"/>
        <v>0</v>
      </c>
      <c r="X382" t="str" cm="1">
        <f t="array" ref="X382">_xlfn.IFS(W382&lt;=1,"Low",W382=2,"Medium",W382&gt;=3,"High")</f>
        <v>Low</v>
      </c>
    </row>
    <row r="383" spans="1:24" x14ac:dyDescent="0.3">
      <c r="A383" t="s">
        <v>804</v>
      </c>
      <c r="B383" t="s">
        <v>791</v>
      </c>
      <c r="C383" s="3">
        <v>46156</v>
      </c>
      <c r="D383" s="8" t="s">
        <v>805</v>
      </c>
      <c r="E383" s="7" t="s">
        <v>486</v>
      </c>
      <c r="F383" s="7" t="s">
        <v>21</v>
      </c>
      <c r="G383" s="7" t="s">
        <v>250</v>
      </c>
      <c r="H383" s="4">
        <v>1914.05</v>
      </c>
      <c r="I383" s="7" t="s">
        <v>32</v>
      </c>
      <c r="J383" s="7" t="s">
        <v>41</v>
      </c>
      <c r="K383" t="s">
        <v>141</v>
      </c>
      <c r="L383" t="str">
        <f>PROPER(TRIM(SUBSTITUTE(_xlfn.XLOOKUP(B383,Cardholders_Reference!A:A,Cardholders_Reference!B:B),","," ")))</f>
        <v>Johan Sithole</v>
      </c>
      <c r="M383" s="5">
        <f>_xlfn.XLOOKUP(B383,Cardholders_Reference!A:A,Cardholders_Reference!G:G)</f>
        <v>80000</v>
      </c>
      <c r="N383" s="7" t="str">
        <f>_xlfn.XLOOKUP(B383,Cardholders_Reference!A:A,Cardholders_Reference!D:D)</f>
        <v>FNB</v>
      </c>
      <c r="O383" s="7" t="str">
        <f>_xlfn.XLOOKUP(B383,Cardholders_Reference!A:A,Cardholders_Reference!E:E)</f>
        <v>Visa</v>
      </c>
      <c r="P383" s="6">
        <f t="shared" si="40"/>
        <v>2.3925624999999999E-2</v>
      </c>
      <c r="Q383">
        <f t="shared" si="35"/>
        <v>0</v>
      </c>
      <c r="R383">
        <f t="shared" si="36"/>
        <v>0</v>
      </c>
      <c r="S383">
        <f>IF(COUNTIFS($B$1:$B$738,B382,$C$1:$C$738,#REF!)&gt;2,1,0)</f>
        <v>0</v>
      </c>
      <c r="T383">
        <f t="shared" si="37"/>
        <v>0</v>
      </c>
      <c r="U383">
        <f t="shared" si="38"/>
        <v>0</v>
      </c>
      <c r="V383">
        <f t="shared" si="39"/>
        <v>0</v>
      </c>
      <c r="W383">
        <f t="shared" si="41"/>
        <v>0</v>
      </c>
      <c r="X383" t="str" cm="1">
        <f t="array" ref="X383">_xlfn.IFS(W383&lt;=1,"Low",W383=2,"Medium",W383&gt;=3,"High")</f>
        <v>Low</v>
      </c>
    </row>
    <row r="384" spans="1:24" x14ac:dyDescent="0.3">
      <c r="A384" t="s">
        <v>806</v>
      </c>
      <c r="B384" t="s">
        <v>791</v>
      </c>
      <c r="C384" s="3">
        <v>46452</v>
      </c>
      <c r="D384" s="8" t="s">
        <v>789</v>
      </c>
      <c r="E384" s="7" t="s">
        <v>215</v>
      </c>
      <c r="F384" s="7" t="s">
        <v>15</v>
      </c>
      <c r="G384" s="7" t="s">
        <v>250</v>
      </c>
      <c r="H384" s="4">
        <v>2624.4</v>
      </c>
      <c r="I384" s="7" t="s">
        <v>32</v>
      </c>
      <c r="J384" s="7" t="s">
        <v>17</v>
      </c>
      <c r="L384" t="str">
        <f>PROPER(TRIM(SUBSTITUTE(_xlfn.XLOOKUP(B384,Cardholders_Reference!A:A,Cardholders_Reference!B:B),","," ")))</f>
        <v>Johan Sithole</v>
      </c>
      <c r="M384" s="5">
        <f>_xlfn.XLOOKUP(B384,Cardholders_Reference!A:A,Cardholders_Reference!G:G)</f>
        <v>80000</v>
      </c>
      <c r="N384" s="7" t="str">
        <f>_xlfn.XLOOKUP(B384,Cardholders_Reference!A:A,Cardholders_Reference!D:D)</f>
        <v>FNB</v>
      </c>
      <c r="O384" s="7" t="str">
        <f>_xlfn.XLOOKUP(B384,Cardholders_Reference!A:A,Cardholders_Reference!E:E)</f>
        <v>Visa</v>
      </c>
      <c r="P384" s="6">
        <f t="shared" si="40"/>
        <v>3.2805000000000001E-2</v>
      </c>
      <c r="Q384">
        <f t="shared" si="35"/>
        <v>0</v>
      </c>
      <c r="R384">
        <f t="shared" si="36"/>
        <v>0</v>
      </c>
      <c r="S384">
        <f>IF(COUNTIFS($B$1:$B$738,B383,$C$1:$C$738,#REF!)&gt;2,1,0)</f>
        <v>0</v>
      </c>
      <c r="T384">
        <f t="shared" si="37"/>
        <v>0</v>
      </c>
      <c r="U384">
        <f t="shared" si="38"/>
        <v>1</v>
      </c>
      <c r="V384">
        <f t="shared" si="39"/>
        <v>0</v>
      </c>
      <c r="W384">
        <f t="shared" si="41"/>
        <v>1</v>
      </c>
      <c r="X384" t="str" cm="1">
        <f t="array" ref="X384">_xlfn.IFS(W384&lt;=1,"Low",W384=2,"Medium",W384&gt;=3,"High")</f>
        <v>Low</v>
      </c>
    </row>
    <row r="385" spans="1:24" x14ac:dyDescent="0.3">
      <c r="A385" t="s">
        <v>807</v>
      </c>
      <c r="B385" t="s">
        <v>791</v>
      </c>
      <c r="C385" s="3">
        <v>45670</v>
      </c>
      <c r="D385" s="8" t="s">
        <v>808</v>
      </c>
      <c r="E385" s="7" t="s">
        <v>548</v>
      </c>
      <c r="F385" s="7" t="s">
        <v>40</v>
      </c>
      <c r="G385" s="7" t="s">
        <v>250</v>
      </c>
      <c r="H385" s="4">
        <v>316.89999999999998</v>
      </c>
      <c r="I385" s="7" t="s">
        <v>26</v>
      </c>
      <c r="J385" s="7" t="s">
        <v>17</v>
      </c>
      <c r="L385" t="str">
        <f>PROPER(TRIM(SUBSTITUTE(_xlfn.XLOOKUP(B385,Cardholders_Reference!A:A,Cardholders_Reference!B:B),","," ")))</f>
        <v>Johan Sithole</v>
      </c>
      <c r="M385" s="5">
        <f>_xlfn.XLOOKUP(B385,Cardholders_Reference!A:A,Cardholders_Reference!G:G)</f>
        <v>80000</v>
      </c>
      <c r="N385" s="7" t="str">
        <f>_xlfn.XLOOKUP(B385,Cardholders_Reference!A:A,Cardholders_Reference!D:D)</f>
        <v>FNB</v>
      </c>
      <c r="O385" s="7" t="str">
        <f>_xlfn.XLOOKUP(B385,Cardholders_Reference!A:A,Cardholders_Reference!E:E)</f>
        <v>Visa</v>
      </c>
      <c r="P385" s="6">
        <f t="shared" si="40"/>
        <v>3.9612499999999995E-3</v>
      </c>
      <c r="Q385">
        <f t="shared" si="35"/>
        <v>0</v>
      </c>
      <c r="R385">
        <f t="shared" si="36"/>
        <v>0</v>
      </c>
      <c r="S385">
        <f>IF(COUNTIFS($B$1:$B$738,B384,$C$1:$C$738,#REF!)&gt;2,1,0)</f>
        <v>0</v>
      </c>
      <c r="T385">
        <f t="shared" si="37"/>
        <v>0</v>
      </c>
      <c r="U385">
        <f t="shared" si="38"/>
        <v>0</v>
      </c>
      <c r="V385">
        <f t="shared" si="39"/>
        <v>1</v>
      </c>
      <c r="W385">
        <f t="shared" si="41"/>
        <v>1</v>
      </c>
      <c r="X385" t="str" cm="1">
        <f t="array" ref="X385">_xlfn.IFS(W385&lt;=1,"Low",W385=2,"Medium",W385&gt;=3,"High")</f>
        <v>Low</v>
      </c>
    </row>
    <row r="386" spans="1:24" x14ac:dyDescent="0.3">
      <c r="A386" t="s">
        <v>809</v>
      </c>
      <c r="B386" t="s">
        <v>791</v>
      </c>
      <c r="C386" s="3">
        <v>46303</v>
      </c>
      <c r="D386" s="8" t="s">
        <v>258</v>
      </c>
      <c r="E386" s="7" t="s">
        <v>242</v>
      </c>
      <c r="F386" s="7" t="s">
        <v>15</v>
      </c>
      <c r="G386" s="7" t="s">
        <v>250</v>
      </c>
      <c r="H386" s="4">
        <v>2725.6</v>
      </c>
      <c r="I386" s="7" t="s">
        <v>26</v>
      </c>
      <c r="J386" s="7" t="s">
        <v>41</v>
      </c>
      <c r="L386" t="str">
        <f>PROPER(TRIM(SUBSTITUTE(_xlfn.XLOOKUP(B386,Cardholders_Reference!A:A,Cardholders_Reference!B:B),","," ")))</f>
        <v>Johan Sithole</v>
      </c>
      <c r="M386" s="5">
        <f>_xlfn.XLOOKUP(B386,Cardholders_Reference!A:A,Cardholders_Reference!G:G)</f>
        <v>80000</v>
      </c>
      <c r="N386" s="7" t="str">
        <f>_xlfn.XLOOKUP(B386,Cardholders_Reference!A:A,Cardholders_Reference!D:D)</f>
        <v>FNB</v>
      </c>
      <c r="O386" s="7" t="str">
        <f>_xlfn.XLOOKUP(B386,Cardholders_Reference!A:A,Cardholders_Reference!E:E)</f>
        <v>Visa</v>
      </c>
      <c r="P386" s="6">
        <f t="shared" si="40"/>
        <v>3.4069999999999996E-2</v>
      </c>
      <c r="Q386">
        <f t="shared" ref="Q386:Q449" si="42">IF(COUNTIFS($B$1:$B$738,B385,$G$1:$G$738,G385)/COUNTIF($B$1:$B$738,B385)&lt;0.5,1,0)</f>
        <v>0</v>
      </c>
      <c r="R386">
        <f t="shared" ref="R386:R449" si="43">IF(D386="Unknown",1,IF(OR(TIMEVALUE(D386)&lt;TIME(5,0,0),TIMEVALUE(D386)&gt;=TIME(23,0,0)),1,0))</f>
        <v>0</v>
      </c>
      <c r="S386">
        <f>IF(COUNTIFS($B$1:$B$738,B385,$C$1:$C$738,#REF!)&gt;2,1,0)</f>
        <v>0</v>
      </c>
      <c r="T386">
        <f t="shared" ref="T386:T449" si="44">IF(P385&gt;0.4,1,0)</f>
        <v>0</v>
      </c>
      <c r="U386">
        <f t="shared" ref="U386:U449" si="45">IF(OR(F385="Gambling",F385="ATM Withdrawal"),1,0)</f>
        <v>0</v>
      </c>
      <c r="V386">
        <f t="shared" ref="V386:V449" si="46">IF(OR(I386="Card Not Present (Phone)",I386="Online"),1,0)</f>
        <v>1</v>
      </c>
      <c r="W386">
        <f t="shared" si="41"/>
        <v>1</v>
      </c>
      <c r="X386" t="str" cm="1">
        <f t="array" ref="X386">_xlfn.IFS(W386&lt;=1,"Low",W386=2,"Medium",W386&gt;=3,"High")</f>
        <v>Low</v>
      </c>
    </row>
    <row r="387" spans="1:24" x14ac:dyDescent="0.3">
      <c r="A387" t="s">
        <v>810</v>
      </c>
      <c r="B387" t="s">
        <v>791</v>
      </c>
      <c r="C387" s="3">
        <v>46087</v>
      </c>
      <c r="D387" s="8" t="s">
        <v>811</v>
      </c>
      <c r="E387" s="7" t="s">
        <v>368</v>
      </c>
      <c r="F387" s="7" t="s">
        <v>21</v>
      </c>
      <c r="G387" s="7" t="s">
        <v>250</v>
      </c>
      <c r="H387" s="4">
        <v>1912.58</v>
      </c>
      <c r="I387" s="7" t="s">
        <v>16</v>
      </c>
      <c r="J387" s="7" t="s">
        <v>17</v>
      </c>
      <c r="L387" t="str">
        <f>PROPER(TRIM(SUBSTITUTE(_xlfn.XLOOKUP(B387,Cardholders_Reference!A:A,Cardholders_Reference!B:B),","," ")))</f>
        <v>Johan Sithole</v>
      </c>
      <c r="M387" s="5">
        <f>_xlfn.XLOOKUP(B387,Cardholders_Reference!A:A,Cardholders_Reference!G:G)</f>
        <v>80000</v>
      </c>
      <c r="N387" s="7" t="str">
        <f>_xlfn.XLOOKUP(B387,Cardholders_Reference!A:A,Cardholders_Reference!D:D)</f>
        <v>FNB</v>
      </c>
      <c r="O387" s="7" t="str">
        <f>_xlfn.XLOOKUP(B387,Cardholders_Reference!A:A,Cardholders_Reference!E:E)</f>
        <v>Visa</v>
      </c>
      <c r="P387" s="6">
        <f t="shared" ref="P387:P450" si="47">H387/M387</f>
        <v>2.3907249999999998E-2</v>
      </c>
      <c r="Q387">
        <f t="shared" si="42"/>
        <v>0</v>
      </c>
      <c r="R387">
        <f t="shared" si="43"/>
        <v>0</v>
      </c>
      <c r="S387">
        <f>IF(COUNTIFS($B$1:$B$738,B386,$C$1:$C$738,#REF!)&gt;2,1,0)</f>
        <v>0</v>
      </c>
      <c r="T387">
        <f t="shared" si="44"/>
        <v>0</v>
      </c>
      <c r="U387">
        <f t="shared" si="45"/>
        <v>0</v>
      </c>
      <c r="V387">
        <f t="shared" si="46"/>
        <v>0</v>
      </c>
      <c r="W387">
        <f t="shared" ref="W387:W450" si="48">SUM(Q387:V387)</f>
        <v>0</v>
      </c>
      <c r="X387" t="str" cm="1">
        <f t="array" ref="X387">_xlfn.IFS(W387&lt;=1,"Low",W387=2,"Medium",W387&gt;=3,"High")</f>
        <v>Low</v>
      </c>
    </row>
    <row r="388" spans="1:24" x14ac:dyDescent="0.3">
      <c r="A388" t="s">
        <v>812</v>
      </c>
      <c r="B388" t="s">
        <v>791</v>
      </c>
      <c r="C388" s="3">
        <v>45824</v>
      </c>
      <c r="D388" s="8" t="s">
        <v>758</v>
      </c>
      <c r="E388" s="7" t="s">
        <v>24</v>
      </c>
      <c r="F388" s="7" t="s">
        <v>25</v>
      </c>
      <c r="G388" s="7" t="s">
        <v>250</v>
      </c>
      <c r="H388" s="4">
        <v>644.19000000000005</v>
      </c>
      <c r="I388" s="7" t="s">
        <v>32</v>
      </c>
      <c r="J388" s="7" t="s">
        <v>41</v>
      </c>
      <c r="L388" t="str">
        <f>PROPER(TRIM(SUBSTITUTE(_xlfn.XLOOKUP(B388,Cardholders_Reference!A:A,Cardholders_Reference!B:B),","," ")))</f>
        <v>Johan Sithole</v>
      </c>
      <c r="M388" s="5">
        <f>_xlfn.XLOOKUP(B388,Cardholders_Reference!A:A,Cardholders_Reference!G:G)</f>
        <v>80000</v>
      </c>
      <c r="N388" s="7" t="str">
        <f>_xlfn.XLOOKUP(B388,Cardholders_Reference!A:A,Cardholders_Reference!D:D)</f>
        <v>FNB</v>
      </c>
      <c r="O388" s="7" t="str">
        <f>_xlfn.XLOOKUP(B388,Cardholders_Reference!A:A,Cardholders_Reference!E:E)</f>
        <v>Visa</v>
      </c>
      <c r="P388" s="6">
        <f t="shared" si="47"/>
        <v>8.0523750000000005E-3</v>
      </c>
      <c r="Q388">
        <f t="shared" si="42"/>
        <v>0</v>
      </c>
      <c r="R388">
        <f t="shared" si="43"/>
        <v>0</v>
      </c>
      <c r="S388">
        <f>IF(COUNTIFS($B$1:$B$738,B387,$C$1:$C$738,#REF!)&gt;2,1,0)</f>
        <v>0</v>
      </c>
      <c r="T388">
        <f t="shared" si="44"/>
        <v>0</v>
      </c>
      <c r="U388">
        <f t="shared" si="45"/>
        <v>1</v>
      </c>
      <c r="V388">
        <f t="shared" si="46"/>
        <v>0</v>
      </c>
      <c r="W388">
        <f t="shared" si="48"/>
        <v>1</v>
      </c>
      <c r="X388" t="str" cm="1">
        <f t="array" ref="X388">_xlfn.IFS(W388&lt;=1,"Low",W388=2,"Medium",W388&gt;=3,"High")</f>
        <v>Low</v>
      </c>
    </row>
    <row r="389" spans="1:24" x14ac:dyDescent="0.3">
      <c r="A389" t="s">
        <v>813</v>
      </c>
      <c r="B389" t="s">
        <v>791</v>
      </c>
      <c r="C389" s="3">
        <v>45944</v>
      </c>
      <c r="D389" s="8" t="s">
        <v>814</v>
      </c>
      <c r="E389" s="7" t="s">
        <v>94</v>
      </c>
      <c r="F389" s="7" t="s">
        <v>53</v>
      </c>
      <c r="G389" s="7" t="s">
        <v>250</v>
      </c>
      <c r="H389" s="4">
        <v>177.78</v>
      </c>
      <c r="I389" s="7" t="s">
        <v>32</v>
      </c>
      <c r="J389" s="7" t="s">
        <v>17</v>
      </c>
      <c r="L389" t="str">
        <f>PROPER(TRIM(SUBSTITUTE(_xlfn.XLOOKUP(B389,Cardholders_Reference!A:A,Cardholders_Reference!B:B),","," ")))</f>
        <v>Johan Sithole</v>
      </c>
      <c r="M389" s="5">
        <f>_xlfn.XLOOKUP(B389,Cardholders_Reference!A:A,Cardholders_Reference!G:G)</f>
        <v>80000</v>
      </c>
      <c r="N389" s="7" t="str">
        <f>_xlfn.XLOOKUP(B389,Cardholders_Reference!A:A,Cardholders_Reference!D:D)</f>
        <v>FNB</v>
      </c>
      <c r="O389" s="7" t="str">
        <f>_xlfn.XLOOKUP(B389,Cardholders_Reference!A:A,Cardholders_Reference!E:E)</f>
        <v>Visa</v>
      </c>
      <c r="P389" s="6">
        <f t="shared" si="47"/>
        <v>2.2222499999999998E-3</v>
      </c>
      <c r="Q389">
        <f t="shared" si="42"/>
        <v>0</v>
      </c>
      <c r="R389">
        <f t="shared" si="43"/>
        <v>0</v>
      </c>
      <c r="S389">
        <f>IF(COUNTIFS($B$1:$B$738,B388,$C$1:$C$738,#REF!)&gt;2,1,0)</f>
        <v>0</v>
      </c>
      <c r="T389">
        <f t="shared" si="44"/>
        <v>0</v>
      </c>
      <c r="U389">
        <f t="shared" si="45"/>
        <v>0</v>
      </c>
      <c r="V389">
        <f t="shared" si="46"/>
        <v>0</v>
      </c>
      <c r="W389">
        <f t="shared" si="48"/>
        <v>0</v>
      </c>
      <c r="X389" t="str" cm="1">
        <f t="array" ref="X389">_xlfn.IFS(W389&lt;=1,"Low",W389=2,"Medium",W389&gt;=3,"High")</f>
        <v>Low</v>
      </c>
    </row>
    <row r="390" spans="1:24" x14ac:dyDescent="0.3">
      <c r="A390" t="s">
        <v>815</v>
      </c>
      <c r="B390" t="s">
        <v>816</v>
      </c>
      <c r="C390" s="3">
        <v>45700</v>
      </c>
      <c r="D390" s="8" t="s">
        <v>817</v>
      </c>
      <c r="E390" s="7" t="s">
        <v>129</v>
      </c>
      <c r="F390" s="7" t="s">
        <v>25</v>
      </c>
      <c r="G390" s="7" t="s">
        <v>108</v>
      </c>
      <c r="H390" s="4">
        <v>908.37</v>
      </c>
      <c r="I390" s="7" t="s">
        <v>16</v>
      </c>
      <c r="J390" s="7" t="s">
        <v>17</v>
      </c>
      <c r="L390" t="str">
        <f>PROPER(TRIM(SUBSTITUTE(_xlfn.XLOOKUP(B390,Cardholders_Reference!A:A,Cardholders_Reference!B:B),","," ")))</f>
        <v>Pieter Maseko</v>
      </c>
      <c r="M390" s="5">
        <f>_xlfn.XLOOKUP(B390,Cardholders_Reference!A:A,Cardholders_Reference!G:G)</f>
        <v>80000</v>
      </c>
      <c r="N390" s="7" t="str">
        <f>_xlfn.XLOOKUP(B390,Cardholders_Reference!A:A,Cardholders_Reference!D:D)</f>
        <v>Capitec</v>
      </c>
      <c r="O390" s="7" t="str">
        <f>_xlfn.XLOOKUP(B390,Cardholders_Reference!A:A,Cardholders_Reference!E:E)</f>
        <v>Mastercard</v>
      </c>
      <c r="P390" s="6">
        <f t="shared" si="47"/>
        <v>1.1354625E-2</v>
      </c>
      <c r="Q390">
        <f t="shared" si="42"/>
        <v>0</v>
      </c>
      <c r="R390">
        <f t="shared" si="43"/>
        <v>0</v>
      </c>
      <c r="S390">
        <f>IF(COUNTIFS($B$1:$B$738,B389,$C$1:$C$738,#REF!)&gt;2,1,0)</f>
        <v>0</v>
      </c>
      <c r="T390">
        <f t="shared" si="44"/>
        <v>0</v>
      </c>
      <c r="U390">
        <f t="shared" si="45"/>
        <v>0</v>
      </c>
      <c r="V390">
        <f t="shared" si="46"/>
        <v>0</v>
      </c>
      <c r="W390">
        <f t="shared" si="48"/>
        <v>0</v>
      </c>
      <c r="X390" t="str" cm="1">
        <f t="array" ref="X390">_xlfn.IFS(W390&lt;=1,"Low",W390=2,"Medium",W390&gt;=3,"High")</f>
        <v>Low</v>
      </c>
    </row>
    <row r="391" spans="1:24" x14ac:dyDescent="0.3">
      <c r="A391" t="s">
        <v>818</v>
      </c>
      <c r="B391" t="s">
        <v>816</v>
      </c>
      <c r="C391" s="3">
        <v>45914</v>
      </c>
      <c r="D391" s="8" t="s">
        <v>819</v>
      </c>
      <c r="E391" s="7" t="s">
        <v>230</v>
      </c>
      <c r="F391" s="7" t="s">
        <v>81</v>
      </c>
      <c r="G391" s="7" t="s">
        <v>118</v>
      </c>
      <c r="H391" s="4">
        <v>9289.0400000000009</v>
      </c>
      <c r="I391" s="7" t="s">
        <v>32</v>
      </c>
      <c r="J391" s="7" t="s">
        <v>17</v>
      </c>
      <c r="L391" t="str">
        <f>PROPER(TRIM(SUBSTITUTE(_xlfn.XLOOKUP(B391,Cardholders_Reference!A:A,Cardholders_Reference!B:B),","," ")))</f>
        <v>Pieter Maseko</v>
      </c>
      <c r="M391" s="5">
        <f>_xlfn.XLOOKUP(B391,Cardholders_Reference!A:A,Cardholders_Reference!G:G)</f>
        <v>80000</v>
      </c>
      <c r="N391" s="7" t="str">
        <f>_xlfn.XLOOKUP(B391,Cardholders_Reference!A:A,Cardholders_Reference!D:D)</f>
        <v>Capitec</v>
      </c>
      <c r="O391" s="7" t="str">
        <f>_xlfn.XLOOKUP(B391,Cardholders_Reference!A:A,Cardholders_Reference!E:E)</f>
        <v>Mastercard</v>
      </c>
      <c r="P391" s="6">
        <f t="shared" si="47"/>
        <v>0.11611300000000001</v>
      </c>
      <c r="Q391">
        <f t="shared" si="42"/>
        <v>1</v>
      </c>
      <c r="R391">
        <f t="shared" si="43"/>
        <v>0</v>
      </c>
      <c r="S391">
        <f>IF(COUNTIFS($B$1:$B$738,B390,$C$1:$C$738,#REF!)&gt;2,1,0)</f>
        <v>0</v>
      </c>
      <c r="T391">
        <f t="shared" si="44"/>
        <v>0</v>
      </c>
      <c r="U391">
        <f t="shared" si="45"/>
        <v>0</v>
      </c>
      <c r="V391">
        <f t="shared" si="46"/>
        <v>0</v>
      </c>
      <c r="W391">
        <f t="shared" si="48"/>
        <v>1</v>
      </c>
      <c r="X391" t="str" cm="1">
        <f t="array" ref="X391">_xlfn.IFS(W391&lt;=1,"Low",W391=2,"Medium",W391&gt;=3,"High")</f>
        <v>Low</v>
      </c>
    </row>
    <row r="392" spans="1:24" x14ac:dyDescent="0.3">
      <c r="A392" t="s">
        <v>820</v>
      </c>
      <c r="B392" t="s">
        <v>816</v>
      </c>
      <c r="C392" s="3">
        <v>45946</v>
      </c>
      <c r="D392" s="8" t="s">
        <v>67</v>
      </c>
      <c r="E392" s="7" t="s">
        <v>73</v>
      </c>
      <c r="F392" s="7" t="s">
        <v>74</v>
      </c>
      <c r="G392" s="7" t="s">
        <v>118</v>
      </c>
      <c r="H392" s="4">
        <v>679.44</v>
      </c>
      <c r="I392" s="7" t="s">
        <v>95</v>
      </c>
      <c r="J392" s="7" t="s">
        <v>41</v>
      </c>
      <c r="L392" t="str">
        <f>PROPER(TRIM(SUBSTITUTE(_xlfn.XLOOKUP(B392,Cardholders_Reference!A:A,Cardholders_Reference!B:B),","," ")))</f>
        <v>Pieter Maseko</v>
      </c>
      <c r="M392" s="5">
        <f>_xlfn.XLOOKUP(B392,Cardholders_Reference!A:A,Cardholders_Reference!G:G)</f>
        <v>80000</v>
      </c>
      <c r="N392" s="7" t="str">
        <f>_xlfn.XLOOKUP(B392,Cardholders_Reference!A:A,Cardholders_Reference!D:D)</f>
        <v>Capitec</v>
      </c>
      <c r="O392" s="7" t="str">
        <f>_xlfn.XLOOKUP(B392,Cardholders_Reference!A:A,Cardholders_Reference!E:E)</f>
        <v>Mastercard</v>
      </c>
      <c r="P392" s="6">
        <f t="shared" si="47"/>
        <v>8.4930000000000005E-3</v>
      </c>
      <c r="Q392">
        <f t="shared" si="42"/>
        <v>0</v>
      </c>
      <c r="R392">
        <f t="shared" si="43"/>
        <v>0</v>
      </c>
      <c r="S392">
        <f>IF(COUNTIFS($B$1:$B$738,B391,$C$1:$C$738,#REF!)&gt;2,1,0)</f>
        <v>0</v>
      </c>
      <c r="T392">
        <f t="shared" si="44"/>
        <v>0</v>
      </c>
      <c r="U392">
        <f t="shared" si="45"/>
        <v>0</v>
      </c>
      <c r="V392">
        <f t="shared" si="46"/>
        <v>1</v>
      </c>
      <c r="W392">
        <f t="shared" si="48"/>
        <v>1</v>
      </c>
      <c r="X392" t="str" cm="1">
        <f t="array" ref="X392">_xlfn.IFS(W392&lt;=1,"Low",W392=2,"Medium",W392&gt;=3,"High")</f>
        <v>Low</v>
      </c>
    </row>
    <row r="393" spans="1:24" x14ac:dyDescent="0.3">
      <c r="A393" t="s">
        <v>821</v>
      </c>
      <c r="B393" t="s">
        <v>816</v>
      </c>
      <c r="C393" s="3">
        <v>46156</v>
      </c>
      <c r="D393" s="8" t="s">
        <v>822</v>
      </c>
      <c r="E393" s="7" t="s">
        <v>35</v>
      </c>
      <c r="F393" s="7" t="s">
        <v>36</v>
      </c>
      <c r="G393" s="7" t="s">
        <v>118</v>
      </c>
      <c r="H393" s="4">
        <v>280.11</v>
      </c>
      <c r="I393" s="7" t="s">
        <v>26</v>
      </c>
      <c r="J393" s="7" t="s">
        <v>41</v>
      </c>
      <c r="L393" t="str">
        <f>PROPER(TRIM(SUBSTITUTE(_xlfn.XLOOKUP(B393,Cardholders_Reference!A:A,Cardholders_Reference!B:B),","," ")))</f>
        <v>Pieter Maseko</v>
      </c>
      <c r="M393" s="5">
        <f>_xlfn.XLOOKUP(B393,Cardholders_Reference!A:A,Cardholders_Reference!G:G)</f>
        <v>80000</v>
      </c>
      <c r="N393" s="7" t="str">
        <f>_xlfn.XLOOKUP(B393,Cardholders_Reference!A:A,Cardholders_Reference!D:D)</f>
        <v>Capitec</v>
      </c>
      <c r="O393" s="7" t="str">
        <f>_xlfn.XLOOKUP(B393,Cardholders_Reference!A:A,Cardholders_Reference!E:E)</f>
        <v>Mastercard</v>
      </c>
      <c r="P393" s="6">
        <f t="shared" si="47"/>
        <v>3.5013750000000001E-3</v>
      </c>
      <c r="Q393">
        <f t="shared" si="42"/>
        <v>0</v>
      </c>
      <c r="R393">
        <f t="shared" si="43"/>
        <v>0</v>
      </c>
      <c r="S393">
        <f>IF(COUNTIFS($B$1:$B$738,B392,$C$1:$C$738,#REF!)&gt;2,1,0)</f>
        <v>0</v>
      </c>
      <c r="T393">
        <f t="shared" si="44"/>
        <v>0</v>
      </c>
      <c r="U393">
        <f t="shared" si="45"/>
        <v>0</v>
      </c>
      <c r="V393">
        <f t="shared" si="46"/>
        <v>1</v>
      </c>
      <c r="W393">
        <f t="shared" si="48"/>
        <v>1</v>
      </c>
      <c r="X393" t="str" cm="1">
        <f t="array" ref="X393">_xlfn.IFS(W393&lt;=1,"Low",W393=2,"Medium",W393&gt;=3,"High")</f>
        <v>Low</v>
      </c>
    </row>
    <row r="394" spans="1:24" x14ac:dyDescent="0.3">
      <c r="A394" t="s">
        <v>823</v>
      </c>
      <c r="B394" t="s">
        <v>816</v>
      </c>
      <c r="C394" s="3">
        <v>45680</v>
      </c>
      <c r="D394" s="8" t="s">
        <v>824</v>
      </c>
      <c r="E394" s="7" t="s">
        <v>31</v>
      </c>
      <c r="F394" s="7" t="s">
        <v>25</v>
      </c>
      <c r="G394" s="7" t="s">
        <v>108</v>
      </c>
      <c r="H394" s="4">
        <v>439.52</v>
      </c>
      <c r="I394" s="7" t="s">
        <v>16</v>
      </c>
      <c r="J394" s="7" t="s">
        <v>41</v>
      </c>
      <c r="L394" t="str">
        <f>PROPER(TRIM(SUBSTITUTE(_xlfn.XLOOKUP(B394,Cardholders_Reference!A:A,Cardholders_Reference!B:B),","," ")))</f>
        <v>Pieter Maseko</v>
      </c>
      <c r="M394" s="5">
        <f>_xlfn.XLOOKUP(B394,Cardholders_Reference!A:A,Cardholders_Reference!G:G)</f>
        <v>80000</v>
      </c>
      <c r="N394" s="7" t="str">
        <f>_xlfn.XLOOKUP(B394,Cardholders_Reference!A:A,Cardholders_Reference!D:D)</f>
        <v>Capitec</v>
      </c>
      <c r="O394" s="7" t="str">
        <f>_xlfn.XLOOKUP(B394,Cardholders_Reference!A:A,Cardholders_Reference!E:E)</f>
        <v>Mastercard</v>
      </c>
      <c r="P394" s="6">
        <f t="shared" si="47"/>
        <v>5.4939999999999998E-3</v>
      </c>
      <c r="Q394">
        <f t="shared" si="42"/>
        <v>0</v>
      </c>
      <c r="R394">
        <f t="shared" si="43"/>
        <v>0</v>
      </c>
      <c r="S394">
        <f>IF(COUNTIFS($B$1:$B$738,B393,$C$1:$C$738,#REF!)&gt;2,1,0)</f>
        <v>0</v>
      </c>
      <c r="T394">
        <f t="shared" si="44"/>
        <v>0</v>
      </c>
      <c r="U394">
        <f t="shared" si="45"/>
        <v>0</v>
      </c>
      <c r="V394">
        <f t="shared" si="46"/>
        <v>0</v>
      </c>
      <c r="W394">
        <f t="shared" si="48"/>
        <v>0</v>
      </c>
      <c r="X394" t="str" cm="1">
        <f t="array" ref="X394">_xlfn.IFS(W394&lt;=1,"Low",W394=2,"Medium",W394&gt;=3,"High")</f>
        <v>Low</v>
      </c>
    </row>
    <row r="395" spans="1:24" x14ac:dyDescent="0.3">
      <c r="A395" t="s">
        <v>825</v>
      </c>
      <c r="B395" t="s">
        <v>816</v>
      </c>
      <c r="C395" s="3">
        <v>46145</v>
      </c>
      <c r="D395" s="8" t="s">
        <v>739</v>
      </c>
      <c r="E395" s="7" t="s">
        <v>173</v>
      </c>
      <c r="F395" s="7" t="s">
        <v>21</v>
      </c>
      <c r="G395" s="7" t="s">
        <v>108</v>
      </c>
      <c r="H395" s="4">
        <v>372.87</v>
      </c>
      <c r="I395" s="7" t="s">
        <v>26</v>
      </c>
      <c r="J395" s="7" t="s">
        <v>17</v>
      </c>
      <c r="L395" t="str">
        <f>PROPER(TRIM(SUBSTITUTE(_xlfn.XLOOKUP(B395,Cardholders_Reference!A:A,Cardholders_Reference!B:B),","," ")))</f>
        <v>Pieter Maseko</v>
      </c>
      <c r="M395" s="5">
        <f>_xlfn.XLOOKUP(B395,Cardholders_Reference!A:A,Cardholders_Reference!G:G)</f>
        <v>80000</v>
      </c>
      <c r="N395" s="7" t="str">
        <f>_xlfn.XLOOKUP(B395,Cardholders_Reference!A:A,Cardholders_Reference!D:D)</f>
        <v>Capitec</v>
      </c>
      <c r="O395" s="7" t="str">
        <f>_xlfn.XLOOKUP(B395,Cardholders_Reference!A:A,Cardholders_Reference!E:E)</f>
        <v>Mastercard</v>
      </c>
      <c r="P395" s="6">
        <f t="shared" si="47"/>
        <v>4.6608750000000001E-3</v>
      </c>
      <c r="Q395">
        <f t="shared" si="42"/>
        <v>1</v>
      </c>
      <c r="R395">
        <f t="shared" si="43"/>
        <v>0</v>
      </c>
      <c r="S395">
        <f>IF(COUNTIFS($B$1:$B$738,B394,$C$1:$C$738,#REF!)&gt;2,1,0)</f>
        <v>0</v>
      </c>
      <c r="T395">
        <f t="shared" si="44"/>
        <v>0</v>
      </c>
      <c r="U395">
        <f t="shared" si="45"/>
        <v>0</v>
      </c>
      <c r="V395">
        <f t="shared" si="46"/>
        <v>1</v>
      </c>
      <c r="W395">
        <f t="shared" si="48"/>
        <v>2</v>
      </c>
      <c r="X395" t="str" cm="1">
        <f t="array" ref="X395">_xlfn.IFS(W395&lt;=1,"Low",W395=2,"Medium",W395&gt;=3,"High")</f>
        <v>Medium</v>
      </c>
    </row>
    <row r="396" spans="1:24" x14ac:dyDescent="0.3">
      <c r="A396" t="s">
        <v>826</v>
      </c>
      <c r="B396" t="s">
        <v>816</v>
      </c>
      <c r="C396" s="3">
        <v>46844</v>
      </c>
      <c r="D396" s="8" t="s">
        <v>502</v>
      </c>
      <c r="E396" s="7" t="s">
        <v>308</v>
      </c>
      <c r="F396" s="7" t="s">
        <v>91</v>
      </c>
      <c r="G396" s="7" t="s">
        <v>118</v>
      </c>
      <c r="H396" s="4">
        <v>2459.85</v>
      </c>
      <c r="I396" s="7" t="s">
        <v>16</v>
      </c>
      <c r="J396" s="7" t="s">
        <v>17</v>
      </c>
      <c r="L396" t="str">
        <f>PROPER(TRIM(SUBSTITUTE(_xlfn.XLOOKUP(B396,Cardholders_Reference!A:A,Cardholders_Reference!B:B),","," ")))</f>
        <v>Pieter Maseko</v>
      </c>
      <c r="M396" s="5">
        <f>_xlfn.XLOOKUP(B396,Cardholders_Reference!A:A,Cardholders_Reference!G:G)</f>
        <v>80000</v>
      </c>
      <c r="N396" s="7" t="str">
        <f>_xlfn.XLOOKUP(B396,Cardholders_Reference!A:A,Cardholders_Reference!D:D)</f>
        <v>Capitec</v>
      </c>
      <c r="O396" s="7" t="str">
        <f>_xlfn.XLOOKUP(B396,Cardholders_Reference!A:A,Cardholders_Reference!E:E)</f>
        <v>Mastercard</v>
      </c>
      <c r="P396" s="6">
        <f t="shared" si="47"/>
        <v>3.0748124999999998E-2</v>
      </c>
      <c r="Q396">
        <f t="shared" si="42"/>
        <v>1</v>
      </c>
      <c r="R396">
        <f t="shared" si="43"/>
        <v>0</v>
      </c>
      <c r="S396">
        <f>IF(COUNTIFS($B$1:$B$738,B395,$C$1:$C$738,#REF!)&gt;2,1,0)</f>
        <v>0</v>
      </c>
      <c r="T396">
        <f t="shared" si="44"/>
        <v>0</v>
      </c>
      <c r="U396">
        <f t="shared" si="45"/>
        <v>1</v>
      </c>
      <c r="V396">
        <f t="shared" si="46"/>
        <v>0</v>
      </c>
      <c r="W396">
        <f t="shared" si="48"/>
        <v>2</v>
      </c>
      <c r="X396" t="str" cm="1">
        <f t="array" ref="X396">_xlfn.IFS(W396&lt;=1,"Low",W396=2,"Medium",W396&gt;=3,"High")</f>
        <v>Medium</v>
      </c>
    </row>
    <row r="397" spans="1:24" x14ac:dyDescent="0.3">
      <c r="A397" t="s">
        <v>827</v>
      </c>
      <c r="B397" t="s">
        <v>816</v>
      </c>
      <c r="C397" s="3">
        <v>45904</v>
      </c>
      <c r="D397" s="8" t="s">
        <v>828</v>
      </c>
      <c r="E397" s="7" t="s">
        <v>70</v>
      </c>
      <c r="F397" s="7" t="s">
        <v>36</v>
      </c>
      <c r="G397" s="7" t="s">
        <v>108</v>
      </c>
      <c r="H397" s="4">
        <v>500.4</v>
      </c>
      <c r="I397" s="7" t="s">
        <v>16</v>
      </c>
      <c r="J397" s="7" t="s">
        <v>17</v>
      </c>
      <c r="L397" t="str">
        <f>PROPER(TRIM(SUBSTITUTE(_xlfn.XLOOKUP(B397,Cardholders_Reference!A:A,Cardholders_Reference!B:B),","," ")))</f>
        <v>Pieter Maseko</v>
      </c>
      <c r="M397" s="5">
        <f>_xlfn.XLOOKUP(B397,Cardholders_Reference!A:A,Cardholders_Reference!G:G)</f>
        <v>80000</v>
      </c>
      <c r="N397" s="7" t="str">
        <f>_xlfn.XLOOKUP(B397,Cardholders_Reference!A:A,Cardholders_Reference!D:D)</f>
        <v>Capitec</v>
      </c>
      <c r="O397" s="7" t="str">
        <f>_xlfn.XLOOKUP(B397,Cardholders_Reference!A:A,Cardholders_Reference!E:E)</f>
        <v>Mastercard</v>
      </c>
      <c r="P397" s="6">
        <f t="shared" si="47"/>
        <v>6.2550000000000001E-3</v>
      </c>
      <c r="Q397">
        <f t="shared" si="42"/>
        <v>0</v>
      </c>
      <c r="R397">
        <f t="shared" si="43"/>
        <v>0</v>
      </c>
      <c r="S397">
        <f>IF(COUNTIFS($B$1:$B$738,B396,$C$1:$C$738,#REF!)&gt;2,1,0)</f>
        <v>0</v>
      </c>
      <c r="T397">
        <f t="shared" si="44"/>
        <v>0</v>
      </c>
      <c r="U397">
        <f t="shared" si="45"/>
        <v>0</v>
      </c>
      <c r="V397">
        <f t="shared" si="46"/>
        <v>0</v>
      </c>
      <c r="W397">
        <f t="shared" si="48"/>
        <v>0</v>
      </c>
      <c r="X397" t="str" cm="1">
        <f t="array" ref="X397">_xlfn.IFS(W397&lt;=1,"Low",W397=2,"Medium",W397&gt;=3,"High")</f>
        <v>Low</v>
      </c>
    </row>
    <row r="398" spans="1:24" x14ac:dyDescent="0.3">
      <c r="A398" t="s">
        <v>829</v>
      </c>
      <c r="B398" t="s">
        <v>816</v>
      </c>
      <c r="C398" s="3">
        <v>45985</v>
      </c>
      <c r="D398" s="8" t="s">
        <v>59</v>
      </c>
      <c r="E398" s="7" t="s">
        <v>90</v>
      </c>
      <c r="F398" s="7" t="s">
        <v>91</v>
      </c>
      <c r="G398" s="7" t="s">
        <v>118</v>
      </c>
      <c r="H398" s="4">
        <v>682.47</v>
      </c>
      <c r="I398" s="7" t="s">
        <v>26</v>
      </c>
      <c r="J398" s="7" t="s">
        <v>17</v>
      </c>
      <c r="L398" t="str">
        <f>PROPER(TRIM(SUBSTITUTE(_xlfn.XLOOKUP(B398,Cardholders_Reference!A:A,Cardholders_Reference!B:B),","," ")))</f>
        <v>Pieter Maseko</v>
      </c>
      <c r="M398" s="5">
        <f>_xlfn.XLOOKUP(B398,Cardholders_Reference!A:A,Cardholders_Reference!G:G)</f>
        <v>80000</v>
      </c>
      <c r="N398" s="7" t="str">
        <f>_xlfn.XLOOKUP(B398,Cardholders_Reference!A:A,Cardholders_Reference!D:D)</f>
        <v>Capitec</v>
      </c>
      <c r="O398" s="7" t="str">
        <f>_xlfn.XLOOKUP(B398,Cardholders_Reference!A:A,Cardholders_Reference!E:E)</f>
        <v>Mastercard</v>
      </c>
      <c r="P398" s="6">
        <f t="shared" si="47"/>
        <v>8.5308750000000003E-3</v>
      </c>
      <c r="Q398">
        <f t="shared" si="42"/>
        <v>1</v>
      </c>
      <c r="R398">
        <f t="shared" si="43"/>
        <v>0</v>
      </c>
      <c r="S398">
        <f>IF(COUNTIFS($B$1:$B$738,B397,$C$1:$C$738,#REF!)&gt;2,1,0)</f>
        <v>0</v>
      </c>
      <c r="T398">
        <f t="shared" si="44"/>
        <v>0</v>
      </c>
      <c r="U398">
        <f t="shared" si="45"/>
        <v>0</v>
      </c>
      <c r="V398">
        <f t="shared" si="46"/>
        <v>1</v>
      </c>
      <c r="W398">
        <f t="shared" si="48"/>
        <v>2</v>
      </c>
      <c r="X398" t="str" cm="1">
        <f t="array" ref="X398">_xlfn.IFS(W398&lt;=1,"Low",W398=2,"Medium",W398&gt;=3,"High")</f>
        <v>Medium</v>
      </c>
    </row>
    <row r="399" spans="1:24" x14ac:dyDescent="0.3">
      <c r="A399" t="s">
        <v>830</v>
      </c>
      <c r="B399" t="s">
        <v>831</v>
      </c>
      <c r="C399" s="3">
        <v>45998</v>
      </c>
      <c r="D399" s="8" t="s">
        <v>673</v>
      </c>
      <c r="E399" s="7" t="s">
        <v>20</v>
      </c>
      <c r="F399" s="7" t="s">
        <v>21</v>
      </c>
      <c r="G399" s="7" t="s">
        <v>22</v>
      </c>
      <c r="H399" s="4">
        <v>2161.58</v>
      </c>
      <c r="I399" s="7" t="s">
        <v>26</v>
      </c>
      <c r="J399" s="7" t="s">
        <v>41</v>
      </c>
      <c r="L399" t="str">
        <f>PROPER(TRIM(SUBSTITUTE(_xlfn.XLOOKUP(B399,Cardholders_Reference!A:A,Cardholders_Reference!B:B),","," ")))</f>
        <v>Lerato Botha</v>
      </c>
      <c r="M399" s="5">
        <f>_xlfn.XLOOKUP(B399,Cardholders_Reference!A:A,Cardholders_Reference!G:G)</f>
        <v>15000</v>
      </c>
      <c r="N399" s="7" t="str">
        <f>_xlfn.XLOOKUP(B399,Cardholders_Reference!A:A,Cardholders_Reference!D:D)</f>
        <v>FNB</v>
      </c>
      <c r="O399" s="7" t="str">
        <f>_xlfn.XLOOKUP(B399,Cardholders_Reference!A:A,Cardholders_Reference!E:E)</f>
        <v>Mastercard</v>
      </c>
      <c r="P399" s="6">
        <f t="shared" si="47"/>
        <v>0.14410533333333334</v>
      </c>
      <c r="Q399">
        <f t="shared" si="42"/>
        <v>0</v>
      </c>
      <c r="R399">
        <f t="shared" si="43"/>
        <v>0</v>
      </c>
      <c r="S399">
        <f>IF(COUNTIFS($B$1:$B$738,B398,$C$1:$C$738,#REF!)&gt;2,1,0)</f>
        <v>0</v>
      </c>
      <c r="T399">
        <f t="shared" si="44"/>
        <v>0</v>
      </c>
      <c r="U399">
        <f t="shared" si="45"/>
        <v>0</v>
      </c>
      <c r="V399">
        <f t="shared" si="46"/>
        <v>1</v>
      </c>
      <c r="W399">
        <f t="shared" si="48"/>
        <v>1</v>
      </c>
      <c r="X399" t="str" cm="1">
        <f t="array" ref="X399">_xlfn.IFS(W399&lt;=1,"Low",W399=2,"Medium",W399&gt;=3,"High")</f>
        <v>Low</v>
      </c>
    </row>
    <row r="400" spans="1:24" x14ac:dyDescent="0.3">
      <c r="A400" t="s">
        <v>832</v>
      </c>
      <c r="B400" t="s">
        <v>831</v>
      </c>
      <c r="C400" s="3">
        <v>45987</v>
      </c>
      <c r="D400" s="8" t="s">
        <v>295</v>
      </c>
      <c r="E400" s="7" t="s">
        <v>73</v>
      </c>
      <c r="F400" s="7" t="s">
        <v>74</v>
      </c>
      <c r="G400" s="7" t="s">
        <v>22</v>
      </c>
      <c r="H400" s="4">
        <v>496.9</v>
      </c>
      <c r="I400" s="7" t="s">
        <v>32</v>
      </c>
      <c r="J400" s="7" t="s">
        <v>17</v>
      </c>
      <c r="L400" t="str">
        <f>PROPER(TRIM(SUBSTITUTE(_xlfn.XLOOKUP(B400,Cardholders_Reference!A:A,Cardholders_Reference!B:B),","," ")))</f>
        <v>Lerato Botha</v>
      </c>
      <c r="M400" s="5">
        <f>_xlfn.XLOOKUP(B400,Cardholders_Reference!A:A,Cardholders_Reference!G:G)</f>
        <v>15000</v>
      </c>
      <c r="N400" s="7" t="str">
        <f>_xlfn.XLOOKUP(B400,Cardholders_Reference!A:A,Cardholders_Reference!D:D)</f>
        <v>FNB</v>
      </c>
      <c r="O400" s="7" t="str">
        <f>_xlfn.XLOOKUP(B400,Cardholders_Reference!A:A,Cardholders_Reference!E:E)</f>
        <v>Mastercard</v>
      </c>
      <c r="P400" s="6">
        <f t="shared" si="47"/>
        <v>3.3126666666666665E-2</v>
      </c>
      <c r="Q400">
        <f t="shared" si="42"/>
        <v>0</v>
      </c>
      <c r="R400">
        <f t="shared" si="43"/>
        <v>0</v>
      </c>
      <c r="S400">
        <f>IF(COUNTIFS($B$1:$B$738,B399,$C$1:$C$738,#REF!)&gt;2,1,0)</f>
        <v>0</v>
      </c>
      <c r="T400">
        <f t="shared" si="44"/>
        <v>0</v>
      </c>
      <c r="U400">
        <f t="shared" si="45"/>
        <v>1</v>
      </c>
      <c r="V400">
        <f t="shared" si="46"/>
        <v>0</v>
      </c>
      <c r="W400">
        <f t="shared" si="48"/>
        <v>1</v>
      </c>
      <c r="X400" t="str" cm="1">
        <f t="array" ref="X400">_xlfn.IFS(W400&lt;=1,"Low",W400=2,"Medium",W400&gt;=3,"High")</f>
        <v>Low</v>
      </c>
    </row>
    <row r="401" spans="1:24" x14ac:dyDescent="0.3">
      <c r="A401" t="s">
        <v>833</v>
      </c>
      <c r="B401" t="s">
        <v>831</v>
      </c>
      <c r="C401" s="3">
        <v>45718</v>
      </c>
      <c r="D401" s="8" t="s">
        <v>814</v>
      </c>
      <c r="E401" s="7" t="s">
        <v>77</v>
      </c>
      <c r="F401" s="7" t="s">
        <v>15</v>
      </c>
      <c r="G401" s="7" t="s">
        <v>22</v>
      </c>
      <c r="H401" s="4">
        <v>768.07</v>
      </c>
      <c r="I401" s="7" t="s">
        <v>26</v>
      </c>
      <c r="J401" s="7" t="s">
        <v>17</v>
      </c>
      <c r="L401" t="str">
        <f>PROPER(TRIM(SUBSTITUTE(_xlfn.XLOOKUP(B401,Cardholders_Reference!A:A,Cardholders_Reference!B:B),","," ")))</f>
        <v>Lerato Botha</v>
      </c>
      <c r="M401" s="5">
        <f>_xlfn.XLOOKUP(B401,Cardholders_Reference!A:A,Cardholders_Reference!G:G)</f>
        <v>15000</v>
      </c>
      <c r="N401" s="7" t="str">
        <f>_xlfn.XLOOKUP(B401,Cardholders_Reference!A:A,Cardholders_Reference!D:D)</f>
        <v>FNB</v>
      </c>
      <c r="O401" s="7" t="str">
        <f>_xlfn.XLOOKUP(B401,Cardholders_Reference!A:A,Cardholders_Reference!E:E)</f>
        <v>Mastercard</v>
      </c>
      <c r="P401" s="6">
        <f t="shared" si="47"/>
        <v>5.1204666666666669E-2</v>
      </c>
      <c r="Q401">
        <f t="shared" si="42"/>
        <v>0</v>
      </c>
      <c r="R401">
        <f t="shared" si="43"/>
        <v>0</v>
      </c>
      <c r="S401">
        <f>IF(COUNTIFS($B$1:$B$738,B400,$C$1:$C$738,#REF!)&gt;2,1,0)</f>
        <v>0</v>
      </c>
      <c r="T401">
        <f t="shared" si="44"/>
        <v>0</v>
      </c>
      <c r="U401">
        <f t="shared" si="45"/>
        <v>0</v>
      </c>
      <c r="V401">
        <f t="shared" si="46"/>
        <v>1</v>
      </c>
      <c r="W401">
        <f t="shared" si="48"/>
        <v>1</v>
      </c>
      <c r="X401" t="str" cm="1">
        <f t="array" ref="X401">_xlfn.IFS(W401&lt;=1,"Low",W401=2,"Medium",W401&gt;=3,"High")</f>
        <v>Low</v>
      </c>
    </row>
    <row r="402" spans="1:24" x14ac:dyDescent="0.3">
      <c r="A402" t="s">
        <v>834</v>
      </c>
      <c r="B402" t="s">
        <v>831</v>
      </c>
      <c r="C402" s="3">
        <v>45834</v>
      </c>
      <c r="D402" s="8" t="s">
        <v>835</v>
      </c>
      <c r="E402" s="7" t="s">
        <v>132</v>
      </c>
      <c r="F402" s="7" t="s">
        <v>25</v>
      </c>
      <c r="G402" s="7" t="s">
        <v>49</v>
      </c>
      <c r="H402" s="4">
        <v>769.86</v>
      </c>
      <c r="I402" s="7" t="s">
        <v>16</v>
      </c>
      <c r="J402" s="7" t="s">
        <v>17</v>
      </c>
      <c r="K402" t="s">
        <v>762</v>
      </c>
      <c r="L402" t="str">
        <f>PROPER(TRIM(SUBSTITUTE(_xlfn.XLOOKUP(B402,Cardholders_Reference!A:A,Cardholders_Reference!B:B),","," ")))</f>
        <v>Lerato Botha</v>
      </c>
      <c r="M402" s="5">
        <f>_xlfn.XLOOKUP(B402,Cardholders_Reference!A:A,Cardholders_Reference!G:G)</f>
        <v>15000</v>
      </c>
      <c r="N402" s="7" t="str">
        <f>_xlfn.XLOOKUP(B402,Cardholders_Reference!A:A,Cardholders_Reference!D:D)</f>
        <v>FNB</v>
      </c>
      <c r="O402" s="7" t="str">
        <f>_xlfn.XLOOKUP(B402,Cardholders_Reference!A:A,Cardholders_Reference!E:E)</f>
        <v>Mastercard</v>
      </c>
      <c r="P402" s="6">
        <f t="shared" si="47"/>
        <v>5.1324000000000002E-2</v>
      </c>
      <c r="Q402">
        <f t="shared" si="42"/>
        <v>0</v>
      </c>
      <c r="R402">
        <f t="shared" si="43"/>
        <v>0</v>
      </c>
      <c r="S402">
        <f>IF(COUNTIFS($B$1:$B$738,B401,$C$1:$C$738,#REF!)&gt;2,1,0)</f>
        <v>0</v>
      </c>
      <c r="T402">
        <f t="shared" si="44"/>
        <v>0</v>
      </c>
      <c r="U402">
        <f t="shared" si="45"/>
        <v>0</v>
      </c>
      <c r="V402">
        <f t="shared" si="46"/>
        <v>0</v>
      </c>
      <c r="W402">
        <f t="shared" si="48"/>
        <v>0</v>
      </c>
      <c r="X402" t="str" cm="1">
        <f t="array" ref="X402">_xlfn.IFS(W402&lt;=1,"Low",W402=2,"Medium",W402&gt;=3,"High")</f>
        <v>Low</v>
      </c>
    </row>
    <row r="403" spans="1:24" x14ac:dyDescent="0.3">
      <c r="A403" t="s">
        <v>836</v>
      </c>
      <c r="B403" t="s">
        <v>831</v>
      </c>
      <c r="C403" s="3">
        <v>45693</v>
      </c>
      <c r="D403" s="8" t="s">
        <v>38</v>
      </c>
      <c r="E403" s="7" t="s">
        <v>156</v>
      </c>
      <c r="F403" s="7" t="s">
        <v>36</v>
      </c>
      <c r="G403" s="7" t="s">
        <v>22</v>
      </c>
      <c r="H403" s="4">
        <v>211.68</v>
      </c>
      <c r="I403" s="7" t="s">
        <v>26</v>
      </c>
      <c r="J403" s="7" t="s">
        <v>17</v>
      </c>
      <c r="K403" t="s">
        <v>762</v>
      </c>
      <c r="L403" t="str">
        <f>PROPER(TRIM(SUBSTITUTE(_xlfn.XLOOKUP(B403,Cardholders_Reference!A:A,Cardholders_Reference!B:B),","," ")))</f>
        <v>Lerato Botha</v>
      </c>
      <c r="M403" s="5">
        <f>_xlfn.XLOOKUP(B403,Cardholders_Reference!A:A,Cardholders_Reference!G:G)</f>
        <v>15000</v>
      </c>
      <c r="N403" s="7" t="str">
        <f>_xlfn.XLOOKUP(B403,Cardholders_Reference!A:A,Cardholders_Reference!D:D)</f>
        <v>FNB</v>
      </c>
      <c r="O403" s="7" t="str">
        <f>_xlfn.XLOOKUP(B403,Cardholders_Reference!A:A,Cardholders_Reference!E:E)</f>
        <v>Mastercard</v>
      </c>
      <c r="P403" s="6">
        <f t="shared" si="47"/>
        <v>1.4112000000000001E-2</v>
      </c>
      <c r="Q403">
        <f t="shared" si="42"/>
        <v>1</v>
      </c>
      <c r="R403">
        <f t="shared" si="43"/>
        <v>0</v>
      </c>
      <c r="S403">
        <f>IF(COUNTIFS($B$1:$B$738,B402,$C$1:$C$738,#REF!)&gt;2,1,0)</f>
        <v>0</v>
      </c>
      <c r="T403">
        <f t="shared" si="44"/>
        <v>0</v>
      </c>
      <c r="U403">
        <f t="shared" si="45"/>
        <v>0</v>
      </c>
      <c r="V403">
        <f t="shared" si="46"/>
        <v>1</v>
      </c>
      <c r="W403">
        <f t="shared" si="48"/>
        <v>2</v>
      </c>
      <c r="X403" t="str" cm="1">
        <f t="array" ref="X403">_xlfn.IFS(W403&lt;=1,"Low",W403=2,"Medium",W403&gt;=3,"High")</f>
        <v>Medium</v>
      </c>
    </row>
    <row r="404" spans="1:24" x14ac:dyDescent="0.3">
      <c r="A404" t="s">
        <v>837</v>
      </c>
      <c r="B404" t="s">
        <v>831</v>
      </c>
      <c r="C404" s="3">
        <v>45782</v>
      </c>
      <c r="D404" s="8" t="s">
        <v>838</v>
      </c>
      <c r="E404" s="7" t="s">
        <v>14</v>
      </c>
      <c r="F404" s="7" t="s">
        <v>15</v>
      </c>
      <c r="G404" s="7" t="s">
        <v>22</v>
      </c>
      <c r="H404" s="4">
        <v>1745.89</v>
      </c>
      <c r="I404" s="7" t="s">
        <v>32</v>
      </c>
      <c r="J404" s="7" t="s">
        <v>17</v>
      </c>
      <c r="L404" t="str">
        <f>PROPER(TRIM(SUBSTITUTE(_xlfn.XLOOKUP(B404,Cardholders_Reference!A:A,Cardholders_Reference!B:B),","," ")))</f>
        <v>Lerato Botha</v>
      </c>
      <c r="M404" s="5">
        <f>_xlfn.XLOOKUP(B404,Cardholders_Reference!A:A,Cardholders_Reference!G:G)</f>
        <v>15000</v>
      </c>
      <c r="N404" s="7" t="str">
        <f>_xlfn.XLOOKUP(B404,Cardholders_Reference!A:A,Cardholders_Reference!D:D)</f>
        <v>FNB</v>
      </c>
      <c r="O404" s="7" t="str">
        <f>_xlfn.XLOOKUP(B404,Cardholders_Reference!A:A,Cardholders_Reference!E:E)</f>
        <v>Mastercard</v>
      </c>
      <c r="P404" s="6">
        <f t="shared" si="47"/>
        <v>0.11639266666666667</v>
      </c>
      <c r="Q404">
        <f t="shared" si="42"/>
        <v>0</v>
      </c>
      <c r="R404">
        <f t="shared" si="43"/>
        <v>0</v>
      </c>
      <c r="S404">
        <f>IF(COUNTIFS($B$1:$B$738,B403,$C$1:$C$738,#REF!)&gt;2,1,0)</f>
        <v>0</v>
      </c>
      <c r="T404">
        <f t="shared" si="44"/>
        <v>0</v>
      </c>
      <c r="U404">
        <f t="shared" si="45"/>
        <v>0</v>
      </c>
      <c r="V404">
        <f t="shared" si="46"/>
        <v>0</v>
      </c>
      <c r="W404">
        <f t="shared" si="48"/>
        <v>0</v>
      </c>
      <c r="X404" t="str" cm="1">
        <f t="array" ref="X404">_xlfn.IFS(W404&lt;=1,"Low",W404=2,"Medium",W404&gt;=3,"High")</f>
        <v>Low</v>
      </c>
    </row>
    <row r="405" spans="1:24" x14ac:dyDescent="0.3">
      <c r="A405" t="s">
        <v>839</v>
      </c>
      <c r="B405" t="s">
        <v>831</v>
      </c>
      <c r="C405" s="3">
        <v>46140</v>
      </c>
      <c r="D405" s="8" t="s">
        <v>840</v>
      </c>
      <c r="E405" s="7" t="s">
        <v>121</v>
      </c>
      <c r="F405" s="7" t="s">
        <v>36</v>
      </c>
      <c r="G405" s="7" t="s">
        <v>22</v>
      </c>
      <c r="H405" s="4">
        <v>576.85</v>
      </c>
      <c r="I405" s="7" t="s">
        <v>95</v>
      </c>
      <c r="J405" s="7" t="s">
        <v>41</v>
      </c>
      <c r="L405" t="str">
        <f>PROPER(TRIM(SUBSTITUTE(_xlfn.XLOOKUP(B405,Cardholders_Reference!A:A,Cardholders_Reference!B:B),","," ")))</f>
        <v>Lerato Botha</v>
      </c>
      <c r="M405" s="5">
        <f>_xlfn.XLOOKUP(B405,Cardholders_Reference!A:A,Cardholders_Reference!G:G)</f>
        <v>15000</v>
      </c>
      <c r="N405" s="7" t="str">
        <f>_xlfn.XLOOKUP(B405,Cardholders_Reference!A:A,Cardholders_Reference!D:D)</f>
        <v>FNB</v>
      </c>
      <c r="O405" s="7" t="str">
        <f>_xlfn.XLOOKUP(B405,Cardholders_Reference!A:A,Cardholders_Reference!E:E)</f>
        <v>Mastercard</v>
      </c>
      <c r="P405" s="6">
        <f t="shared" si="47"/>
        <v>3.8456666666666667E-2</v>
      </c>
      <c r="Q405">
        <f t="shared" si="42"/>
        <v>0</v>
      </c>
      <c r="R405">
        <f t="shared" si="43"/>
        <v>0</v>
      </c>
      <c r="S405">
        <f>IF(COUNTIFS($B$1:$B$738,B404,$C$1:$C$738,#REF!)&gt;2,1,0)</f>
        <v>0</v>
      </c>
      <c r="T405">
        <f t="shared" si="44"/>
        <v>0</v>
      </c>
      <c r="U405">
        <f t="shared" si="45"/>
        <v>0</v>
      </c>
      <c r="V405">
        <f t="shared" si="46"/>
        <v>1</v>
      </c>
      <c r="W405">
        <f t="shared" si="48"/>
        <v>1</v>
      </c>
      <c r="X405" t="str" cm="1">
        <f t="array" ref="X405">_xlfn.IFS(W405&lt;=1,"Low",W405=2,"Medium",W405&gt;=3,"High")</f>
        <v>Low</v>
      </c>
    </row>
    <row r="406" spans="1:24" x14ac:dyDescent="0.3">
      <c r="A406" t="s">
        <v>841</v>
      </c>
      <c r="B406" t="s">
        <v>831</v>
      </c>
      <c r="C406" s="3">
        <v>45845</v>
      </c>
      <c r="D406" s="8" t="s">
        <v>842</v>
      </c>
      <c r="E406" s="7" t="s">
        <v>215</v>
      </c>
      <c r="F406" s="7" t="s">
        <v>15</v>
      </c>
      <c r="G406" s="7" t="s">
        <v>22</v>
      </c>
      <c r="H406" s="4">
        <v>3967.13</v>
      </c>
      <c r="I406" s="7" t="s">
        <v>26</v>
      </c>
      <c r="J406" s="7" t="s">
        <v>17</v>
      </c>
      <c r="L406" t="str">
        <f>PROPER(TRIM(SUBSTITUTE(_xlfn.XLOOKUP(B406,Cardholders_Reference!A:A,Cardholders_Reference!B:B),","," ")))</f>
        <v>Lerato Botha</v>
      </c>
      <c r="M406" s="5">
        <f>_xlfn.XLOOKUP(B406,Cardholders_Reference!A:A,Cardholders_Reference!G:G)</f>
        <v>15000</v>
      </c>
      <c r="N406" s="7" t="str">
        <f>_xlfn.XLOOKUP(B406,Cardholders_Reference!A:A,Cardholders_Reference!D:D)</f>
        <v>FNB</v>
      </c>
      <c r="O406" s="7" t="str">
        <f>_xlfn.XLOOKUP(B406,Cardholders_Reference!A:A,Cardholders_Reference!E:E)</f>
        <v>Mastercard</v>
      </c>
      <c r="P406" s="6">
        <f t="shared" si="47"/>
        <v>0.26447533333333334</v>
      </c>
      <c r="Q406">
        <f t="shared" si="42"/>
        <v>0</v>
      </c>
      <c r="R406">
        <f t="shared" si="43"/>
        <v>0</v>
      </c>
      <c r="S406">
        <f>IF(COUNTIFS($B$1:$B$738,B405,$C$1:$C$738,#REF!)&gt;2,1,0)</f>
        <v>0</v>
      </c>
      <c r="T406">
        <f t="shared" si="44"/>
        <v>0</v>
      </c>
      <c r="U406">
        <f t="shared" si="45"/>
        <v>0</v>
      </c>
      <c r="V406">
        <f t="shared" si="46"/>
        <v>1</v>
      </c>
      <c r="W406">
        <f t="shared" si="48"/>
        <v>1</v>
      </c>
      <c r="X406" t="str" cm="1">
        <f t="array" ref="X406">_xlfn.IFS(W406&lt;=1,"Low",W406=2,"Medium",W406&gt;=3,"High")</f>
        <v>Low</v>
      </c>
    </row>
    <row r="407" spans="1:24" x14ac:dyDescent="0.3">
      <c r="A407" t="s">
        <v>843</v>
      </c>
      <c r="B407" t="s">
        <v>831</v>
      </c>
      <c r="C407" s="3">
        <v>46212</v>
      </c>
      <c r="D407" s="8" t="s">
        <v>844</v>
      </c>
      <c r="E407" s="7" t="s">
        <v>242</v>
      </c>
      <c r="F407" s="7" t="s">
        <v>15</v>
      </c>
      <c r="G407" s="7" t="s">
        <v>22</v>
      </c>
      <c r="H407" s="4">
        <v>2453.1799999999998</v>
      </c>
      <c r="I407" s="7" t="s">
        <v>95</v>
      </c>
      <c r="J407" s="7" t="s">
        <v>17</v>
      </c>
      <c r="L407" t="str">
        <f>PROPER(TRIM(SUBSTITUTE(_xlfn.XLOOKUP(B407,Cardholders_Reference!A:A,Cardholders_Reference!B:B),","," ")))</f>
        <v>Lerato Botha</v>
      </c>
      <c r="M407" s="5">
        <f>_xlfn.XLOOKUP(B407,Cardholders_Reference!A:A,Cardholders_Reference!G:G)</f>
        <v>15000</v>
      </c>
      <c r="N407" s="7" t="str">
        <f>_xlfn.XLOOKUP(B407,Cardholders_Reference!A:A,Cardholders_Reference!D:D)</f>
        <v>FNB</v>
      </c>
      <c r="O407" s="7" t="str">
        <f>_xlfn.XLOOKUP(B407,Cardholders_Reference!A:A,Cardholders_Reference!E:E)</f>
        <v>Mastercard</v>
      </c>
      <c r="P407" s="6">
        <f t="shared" si="47"/>
        <v>0.16354533333333332</v>
      </c>
      <c r="Q407">
        <f t="shared" si="42"/>
        <v>0</v>
      </c>
      <c r="R407">
        <f t="shared" si="43"/>
        <v>0</v>
      </c>
      <c r="S407">
        <f>IF(COUNTIFS($B$1:$B$738,B406,$C$1:$C$738,#REF!)&gt;2,1,0)</f>
        <v>0</v>
      </c>
      <c r="T407">
        <f t="shared" si="44"/>
        <v>0</v>
      </c>
      <c r="U407">
        <f t="shared" si="45"/>
        <v>0</v>
      </c>
      <c r="V407">
        <f t="shared" si="46"/>
        <v>1</v>
      </c>
      <c r="W407">
        <f t="shared" si="48"/>
        <v>1</v>
      </c>
      <c r="X407" t="str" cm="1">
        <f t="array" ref="X407">_xlfn.IFS(W407&lt;=1,"Low",W407=2,"Medium",W407&gt;=3,"High")</f>
        <v>Low</v>
      </c>
    </row>
    <row r="408" spans="1:24" x14ac:dyDescent="0.3">
      <c r="A408" t="s">
        <v>845</v>
      </c>
      <c r="B408" t="s">
        <v>831</v>
      </c>
      <c r="C408" s="3">
        <v>46057</v>
      </c>
      <c r="D408" s="8" t="s">
        <v>846</v>
      </c>
      <c r="E408" s="7" t="s">
        <v>308</v>
      </c>
      <c r="F408" s="7" t="s">
        <v>91</v>
      </c>
      <c r="G408" s="7" t="s">
        <v>22</v>
      </c>
      <c r="H408" s="4">
        <v>1697.52</v>
      </c>
      <c r="I408" s="7" t="s">
        <v>16</v>
      </c>
      <c r="J408" s="7" t="s">
        <v>41</v>
      </c>
      <c r="L408" t="str">
        <f>PROPER(TRIM(SUBSTITUTE(_xlfn.XLOOKUP(B408,Cardholders_Reference!A:A,Cardholders_Reference!B:B),","," ")))</f>
        <v>Lerato Botha</v>
      </c>
      <c r="M408" s="5">
        <f>_xlfn.XLOOKUP(B408,Cardholders_Reference!A:A,Cardholders_Reference!G:G)</f>
        <v>15000</v>
      </c>
      <c r="N408" s="7" t="str">
        <f>_xlfn.XLOOKUP(B408,Cardholders_Reference!A:A,Cardholders_Reference!D:D)</f>
        <v>FNB</v>
      </c>
      <c r="O408" s="7" t="str">
        <f>_xlfn.XLOOKUP(B408,Cardholders_Reference!A:A,Cardholders_Reference!E:E)</f>
        <v>Mastercard</v>
      </c>
      <c r="P408" s="6">
        <f t="shared" si="47"/>
        <v>0.113168</v>
      </c>
      <c r="Q408">
        <f t="shared" si="42"/>
        <v>0</v>
      </c>
      <c r="R408">
        <f t="shared" si="43"/>
        <v>0</v>
      </c>
      <c r="S408">
        <f>IF(COUNTIFS($B$1:$B$738,B407,$C$1:$C$738,#REF!)&gt;2,1,0)</f>
        <v>0</v>
      </c>
      <c r="T408">
        <f t="shared" si="44"/>
        <v>0</v>
      </c>
      <c r="U408">
        <f t="shared" si="45"/>
        <v>0</v>
      </c>
      <c r="V408">
        <f t="shared" si="46"/>
        <v>0</v>
      </c>
      <c r="W408">
        <f t="shared" si="48"/>
        <v>0</v>
      </c>
      <c r="X408" t="str" cm="1">
        <f t="array" ref="X408">_xlfn.IFS(W408&lt;=1,"Low",W408=2,"Medium",W408&gt;=3,"High")</f>
        <v>Low</v>
      </c>
    </row>
    <row r="409" spans="1:24" x14ac:dyDescent="0.3">
      <c r="A409" t="s">
        <v>847</v>
      </c>
      <c r="B409" t="s">
        <v>831</v>
      </c>
      <c r="C409" s="3">
        <v>45663</v>
      </c>
      <c r="D409" s="8" t="s">
        <v>848</v>
      </c>
      <c r="E409" s="7" t="s">
        <v>242</v>
      </c>
      <c r="F409" s="7" t="s">
        <v>15</v>
      </c>
      <c r="G409" s="7" t="s">
        <v>22</v>
      </c>
      <c r="H409" s="4">
        <v>1861.03</v>
      </c>
      <c r="I409" s="7" t="s">
        <v>95</v>
      </c>
      <c r="J409" s="7" t="s">
        <v>17</v>
      </c>
      <c r="L409" t="str">
        <f>PROPER(TRIM(SUBSTITUTE(_xlfn.XLOOKUP(B409,Cardholders_Reference!A:A,Cardholders_Reference!B:B),","," ")))</f>
        <v>Lerato Botha</v>
      </c>
      <c r="M409" s="5">
        <f>_xlfn.XLOOKUP(B409,Cardholders_Reference!A:A,Cardholders_Reference!G:G)</f>
        <v>15000</v>
      </c>
      <c r="N409" s="7" t="str">
        <f>_xlfn.XLOOKUP(B409,Cardholders_Reference!A:A,Cardholders_Reference!D:D)</f>
        <v>FNB</v>
      </c>
      <c r="O409" s="7" t="str">
        <f>_xlfn.XLOOKUP(B409,Cardholders_Reference!A:A,Cardholders_Reference!E:E)</f>
        <v>Mastercard</v>
      </c>
      <c r="P409" s="6">
        <f t="shared" si="47"/>
        <v>0.12406866666666666</v>
      </c>
      <c r="Q409">
        <f t="shared" si="42"/>
        <v>0</v>
      </c>
      <c r="R409">
        <f t="shared" si="43"/>
        <v>0</v>
      </c>
      <c r="S409">
        <f>IF(COUNTIFS($B$1:$B$738,B408,$C$1:$C$738,#REF!)&gt;2,1,0)</f>
        <v>0</v>
      </c>
      <c r="T409">
        <f t="shared" si="44"/>
        <v>0</v>
      </c>
      <c r="U409">
        <f t="shared" si="45"/>
        <v>0</v>
      </c>
      <c r="V409">
        <f t="shared" si="46"/>
        <v>1</v>
      </c>
      <c r="W409">
        <f t="shared" si="48"/>
        <v>1</v>
      </c>
      <c r="X409" t="str" cm="1">
        <f t="array" ref="X409">_xlfn.IFS(W409&lt;=1,"Low",W409=2,"Medium",W409&gt;=3,"High")</f>
        <v>Low</v>
      </c>
    </row>
    <row r="410" spans="1:24" x14ac:dyDescent="0.3">
      <c r="A410" t="s">
        <v>849</v>
      </c>
      <c r="B410" t="s">
        <v>831</v>
      </c>
      <c r="C410" s="3">
        <v>45995</v>
      </c>
      <c r="D410" s="8" t="s">
        <v>1439</v>
      </c>
      <c r="E410" s="7" t="s">
        <v>73</v>
      </c>
      <c r="F410" s="7" t="s">
        <v>74</v>
      </c>
      <c r="G410" s="7" t="s">
        <v>22</v>
      </c>
      <c r="H410" s="4">
        <v>138.74</v>
      </c>
      <c r="I410" s="7" t="s">
        <v>95</v>
      </c>
      <c r="J410" s="7" t="s">
        <v>17</v>
      </c>
      <c r="L410" t="str">
        <f>PROPER(TRIM(SUBSTITUTE(_xlfn.XLOOKUP(B410,Cardholders_Reference!A:A,Cardholders_Reference!B:B),","," ")))</f>
        <v>Lerato Botha</v>
      </c>
      <c r="M410" s="5">
        <f>_xlfn.XLOOKUP(B410,Cardholders_Reference!A:A,Cardholders_Reference!G:G)</f>
        <v>15000</v>
      </c>
      <c r="N410" s="7" t="str">
        <f>_xlfn.XLOOKUP(B410,Cardholders_Reference!A:A,Cardholders_Reference!D:D)</f>
        <v>FNB</v>
      </c>
      <c r="O410" s="7" t="str">
        <f>_xlfn.XLOOKUP(B410,Cardholders_Reference!A:A,Cardholders_Reference!E:E)</f>
        <v>Mastercard</v>
      </c>
      <c r="P410" s="6">
        <f t="shared" si="47"/>
        <v>9.2493333333333334E-3</v>
      </c>
      <c r="Q410">
        <f t="shared" si="42"/>
        <v>0</v>
      </c>
      <c r="R410">
        <f t="shared" si="43"/>
        <v>1</v>
      </c>
      <c r="S410">
        <f>IF(COUNTIFS($B$1:$B$738,B409,$C$1:$C$738,#REF!)&gt;2,1,0)</f>
        <v>0</v>
      </c>
      <c r="T410">
        <f t="shared" si="44"/>
        <v>0</v>
      </c>
      <c r="U410">
        <f t="shared" si="45"/>
        <v>0</v>
      </c>
      <c r="V410">
        <f t="shared" si="46"/>
        <v>1</v>
      </c>
      <c r="W410">
        <f t="shared" si="48"/>
        <v>2</v>
      </c>
      <c r="X410" t="str" cm="1">
        <f t="array" ref="X410">_xlfn.IFS(W410&lt;=1,"Low",W410=2,"Medium",W410&gt;=3,"High")</f>
        <v>Medium</v>
      </c>
    </row>
    <row r="411" spans="1:24" x14ac:dyDescent="0.3">
      <c r="A411" t="s">
        <v>850</v>
      </c>
      <c r="B411" t="s">
        <v>851</v>
      </c>
      <c r="C411" s="3">
        <v>46178</v>
      </c>
      <c r="D411" s="8" t="s">
        <v>789</v>
      </c>
      <c r="E411" s="7" t="s">
        <v>126</v>
      </c>
      <c r="F411" s="7" t="s">
        <v>53</v>
      </c>
      <c r="G411" s="7" t="s">
        <v>49</v>
      </c>
      <c r="H411" s="4">
        <v>248.57</v>
      </c>
      <c r="I411" s="7" t="s">
        <v>32</v>
      </c>
      <c r="J411" s="7" t="s">
        <v>41</v>
      </c>
      <c r="L411" t="str">
        <f>PROPER(TRIM(SUBSTITUTE(_xlfn.XLOOKUP(B411,Cardholders_Reference!A:A,Cardholders_Reference!B:B),","," ")))</f>
        <v>Bongani Sithole</v>
      </c>
      <c r="M411" s="5">
        <f>_xlfn.XLOOKUP(B411,Cardholders_Reference!A:A,Cardholders_Reference!G:G)</f>
        <v>15000</v>
      </c>
      <c r="N411" s="7" t="str">
        <f>_xlfn.XLOOKUP(B411,Cardholders_Reference!A:A,Cardholders_Reference!D:D)</f>
        <v>FNB</v>
      </c>
      <c r="O411" s="7" t="str">
        <f>_xlfn.XLOOKUP(B411,Cardholders_Reference!A:A,Cardholders_Reference!E:E)</f>
        <v>Mastercard</v>
      </c>
      <c r="P411" s="6">
        <f t="shared" si="47"/>
        <v>1.6571333333333334E-2</v>
      </c>
      <c r="Q411">
        <f t="shared" si="42"/>
        <v>0</v>
      </c>
      <c r="R411">
        <f t="shared" si="43"/>
        <v>0</v>
      </c>
      <c r="S411">
        <f>IF(COUNTIFS($B$1:$B$738,B410,$C$1:$C$738,#REF!)&gt;2,1,0)</f>
        <v>0</v>
      </c>
      <c r="T411">
        <f t="shared" si="44"/>
        <v>0</v>
      </c>
      <c r="U411">
        <f t="shared" si="45"/>
        <v>0</v>
      </c>
      <c r="V411">
        <f t="shared" si="46"/>
        <v>0</v>
      </c>
      <c r="W411">
        <f t="shared" si="48"/>
        <v>0</v>
      </c>
      <c r="X411" t="str" cm="1">
        <f t="array" ref="X411">_xlfn.IFS(W411&lt;=1,"Low",W411=2,"Medium",W411&gt;=3,"High")</f>
        <v>Low</v>
      </c>
    </row>
    <row r="412" spans="1:24" x14ac:dyDescent="0.3">
      <c r="A412" t="s">
        <v>852</v>
      </c>
      <c r="B412" t="s">
        <v>851</v>
      </c>
      <c r="C412" s="3">
        <v>45750</v>
      </c>
      <c r="D412" s="8" t="s">
        <v>853</v>
      </c>
      <c r="E412" s="7" t="s">
        <v>14</v>
      </c>
      <c r="F412" s="7" t="s">
        <v>15</v>
      </c>
      <c r="G412" s="7" t="s">
        <v>108</v>
      </c>
      <c r="H412" s="4">
        <v>397.25</v>
      </c>
      <c r="I412" s="7" t="s">
        <v>16</v>
      </c>
      <c r="J412" s="7" t="s">
        <v>17</v>
      </c>
      <c r="L412" t="str">
        <f>PROPER(TRIM(SUBSTITUTE(_xlfn.XLOOKUP(B412,Cardholders_Reference!A:A,Cardholders_Reference!B:B),","," ")))</f>
        <v>Bongani Sithole</v>
      </c>
      <c r="M412" s="5">
        <f>_xlfn.XLOOKUP(B412,Cardholders_Reference!A:A,Cardholders_Reference!G:G)</f>
        <v>15000</v>
      </c>
      <c r="N412" s="7" t="str">
        <f>_xlfn.XLOOKUP(B412,Cardholders_Reference!A:A,Cardholders_Reference!D:D)</f>
        <v>FNB</v>
      </c>
      <c r="O412" s="7" t="str">
        <f>_xlfn.XLOOKUP(B412,Cardholders_Reference!A:A,Cardholders_Reference!E:E)</f>
        <v>Mastercard</v>
      </c>
      <c r="P412" s="6">
        <f t="shared" si="47"/>
        <v>2.6483333333333334E-2</v>
      </c>
      <c r="Q412">
        <f t="shared" si="42"/>
        <v>0</v>
      </c>
      <c r="R412">
        <f t="shared" si="43"/>
        <v>0</v>
      </c>
      <c r="S412">
        <f>IF(COUNTIFS($B$1:$B$738,B411,$C$1:$C$738,#REF!)&gt;2,1,0)</f>
        <v>0</v>
      </c>
      <c r="T412">
        <f t="shared" si="44"/>
        <v>0</v>
      </c>
      <c r="U412">
        <f t="shared" si="45"/>
        <v>0</v>
      </c>
      <c r="V412">
        <f t="shared" si="46"/>
        <v>0</v>
      </c>
      <c r="W412">
        <f t="shared" si="48"/>
        <v>0</v>
      </c>
      <c r="X412" t="str" cm="1">
        <f t="array" ref="X412">_xlfn.IFS(W412&lt;=1,"Low",W412=2,"Medium",W412&gt;=3,"High")</f>
        <v>Low</v>
      </c>
    </row>
    <row r="413" spans="1:24" x14ac:dyDescent="0.3">
      <c r="A413" t="s">
        <v>854</v>
      </c>
      <c r="B413" t="s">
        <v>851</v>
      </c>
      <c r="C413" s="3">
        <v>46177</v>
      </c>
      <c r="D413" s="8" t="s">
        <v>746</v>
      </c>
      <c r="E413" s="7" t="s">
        <v>220</v>
      </c>
      <c r="F413" s="7" t="s">
        <v>91</v>
      </c>
      <c r="G413" s="7" t="s">
        <v>145</v>
      </c>
      <c r="H413" s="4">
        <v>2849</v>
      </c>
      <c r="I413" s="7" t="s">
        <v>32</v>
      </c>
      <c r="J413" s="7" t="s">
        <v>17</v>
      </c>
      <c r="L413" t="str">
        <f>PROPER(TRIM(SUBSTITUTE(_xlfn.XLOOKUP(B413,Cardholders_Reference!A:A,Cardholders_Reference!B:B),","," ")))</f>
        <v>Bongani Sithole</v>
      </c>
      <c r="M413" s="5">
        <f>_xlfn.XLOOKUP(B413,Cardholders_Reference!A:A,Cardholders_Reference!G:G)</f>
        <v>15000</v>
      </c>
      <c r="N413" s="7" t="str">
        <f>_xlfn.XLOOKUP(B413,Cardholders_Reference!A:A,Cardholders_Reference!D:D)</f>
        <v>FNB</v>
      </c>
      <c r="O413" s="7" t="str">
        <f>_xlfn.XLOOKUP(B413,Cardholders_Reference!A:A,Cardholders_Reference!E:E)</f>
        <v>Mastercard</v>
      </c>
      <c r="P413" s="6">
        <f t="shared" si="47"/>
        <v>0.18993333333333334</v>
      </c>
      <c r="Q413">
        <f t="shared" si="42"/>
        <v>1</v>
      </c>
      <c r="R413">
        <f t="shared" si="43"/>
        <v>0</v>
      </c>
      <c r="S413">
        <f>IF(COUNTIFS($B$1:$B$738,B412,$C$1:$C$738,#REF!)&gt;2,1,0)</f>
        <v>0</v>
      </c>
      <c r="T413">
        <f t="shared" si="44"/>
        <v>0</v>
      </c>
      <c r="U413">
        <f t="shared" si="45"/>
        <v>0</v>
      </c>
      <c r="V413">
        <f t="shared" si="46"/>
        <v>0</v>
      </c>
      <c r="W413">
        <f t="shared" si="48"/>
        <v>1</v>
      </c>
      <c r="X413" t="str" cm="1">
        <f t="array" ref="X413">_xlfn.IFS(W413&lt;=1,"Low",W413=2,"Medium",W413&gt;=3,"High")</f>
        <v>Low</v>
      </c>
    </row>
    <row r="414" spans="1:24" x14ac:dyDescent="0.3">
      <c r="A414" t="s">
        <v>855</v>
      </c>
      <c r="B414" t="s">
        <v>851</v>
      </c>
      <c r="C414" s="3">
        <v>46090</v>
      </c>
      <c r="D414" s="8" t="s">
        <v>620</v>
      </c>
      <c r="E414" s="7" t="s">
        <v>137</v>
      </c>
      <c r="F414" s="7" t="s">
        <v>40</v>
      </c>
      <c r="G414" s="7" t="s">
        <v>49</v>
      </c>
      <c r="H414" s="4">
        <v>338.8</v>
      </c>
      <c r="I414" s="7" t="s">
        <v>16</v>
      </c>
      <c r="J414" s="7" t="s">
        <v>17</v>
      </c>
      <c r="L414" t="str">
        <f>PROPER(TRIM(SUBSTITUTE(_xlfn.XLOOKUP(B414,Cardholders_Reference!A:A,Cardholders_Reference!B:B),","," ")))</f>
        <v>Bongani Sithole</v>
      </c>
      <c r="M414" s="5">
        <f>_xlfn.XLOOKUP(B414,Cardholders_Reference!A:A,Cardholders_Reference!G:G)</f>
        <v>15000</v>
      </c>
      <c r="N414" s="7" t="str">
        <f>_xlfn.XLOOKUP(B414,Cardholders_Reference!A:A,Cardholders_Reference!D:D)</f>
        <v>FNB</v>
      </c>
      <c r="O414" s="7" t="str">
        <f>_xlfn.XLOOKUP(B414,Cardholders_Reference!A:A,Cardholders_Reference!E:E)</f>
        <v>Mastercard</v>
      </c>
      <c r="P414" s="6">
        <f t="shared" si="47"/>
        <v>2.2586666666666668E-2</v>
      </c>
      <c r="Q414">
        <f t="shared" si="42"/>
        <v>1</v>
      </c>
      <c r="R414">
        <f t="shared" si="43"/>
        <v>0</v>
      </c>
      <c r="S414">
        <f>IF(COUNTIFS($B$1:$B$738,B413,$C$1:$C$738,#REF!)&gt;2,1,0)</f>
        <v>0</v>
      </c>
      <c r="T414">
        <f t="shared" si="44"/>
        <v>0</v>
      </c>
      <c r="U414">
        <f t="shared" si="45"/>
        <v>0</v>
      </c>
      <c r="V414">
        <f t="shared" si="46"/>
        <v>0</v>
      </c>
      <c r="W414">
        <f t="shared" si="48"/>
        <v>1</v>
      </c>
      <c r="X414" t="str" cm="1">
        <f t="array" ref="X414">_xlfn.IFS(W414&lt;=1,"Low",W414=2,"Medium",W414&gt;=3,"High")</f>
        <v>Low</v>
      </c>
    </row>
    <row r="415" spans="1:24" x14ac:dyDescent="0.3">
      <c r="A415" t="s">
        <v>856</v>
      </c>
      <c r="B415" t="s">
        <v>851</v>
      </c>
      <c r="C415" s="3">
        <v>45678</v>
      </c>
      <c r="D415" s="8" t="s">
        <v>734</v>
      </c>
      <c r="E415" s="7" t="s">
        <v>31</v>
      </c>
      <c r="F415" s="7" t="s">
        <v>25</v>
      </c>
      <c r="G415" s="7" t="s">
        <v>145</v>
      </c>
      <c r="H415" s="4">
        <v>911.76</v>
      </c>
      <c r="I415" s="7" t="s">
        <v>32</v>
      </c>
      <c r="J415" s="7" t="s">
        <v>17</v>
      </c>
      <c r="L415" t="str">
        <f>PROPER(TRIM(SUBSTITUTE(_xlfn.XLOOKUP(B415,Cardholders_Reference!A:A,Cardholders_Reference!B:B),","," ")))</f>
        <v>Bongani Sithole</v>
      </c>
      <c r="M415" s="5">
        <f>_xlfn.XLOOKUP(B415,Cardholders_Reference!A:A,Cardholders_Reference!G:G)</f>
        <v>15000</v>
      </c>
      <c r="N415" s="7" t="str">
        <f>_xlfn.XLOOKUP(B415,Cardholders_Reference!A:A,Cardholders_Reference!D:D)</f>
        <v>FNB</v>
      </c>
      <c r="O415" s="7" t="str">
        <f>_xlfn.XLOOKUP(B415,Cardholders_Reference!A:A,Cardholders_Reference!E:E)</f>
        <v>Mastercard</v>
      </c>
      <c r="P415" s="6">
        <f t="shared" si="47"/>
        <v>6.0783999999999998E-2</v>
      </c>
      <c r="Q415">
        <f t="shared" si="42"/>
        <v>0</v>
      </c>
      <c r="R415">
        <f t="shared" si="43"/>
        <v>0</v>
      </c>
      <c r="S415">
        <f>IF(COUNTIFS($B$1:$B$738,B414,$C$1:$C$738,#REF!)&gt;2,1,0)</f>
        <v>0</v>
      </c>
      <c r="T415">
        <f t="shared" si="44"/>
        <v>0</v>
      </c>
      <c r="U415">
        <f t="shared" si="45"/>
        <v>0</v>
      </c>
      <c r="V415">
        <f t="shared" si="46"/>
        <v>0</v>
      </c>
      <c r="W415">
        <f t="shared" si="48"/>
        <v>0</v>
      </c>
      <c r="X415" t="str" cm="1">
        <f t="array" ref="X415">_xlfn.IFS(W415&lt;=1,"Low",W415=2,"Medium",W415&gt;=3,"High")</f>
        <v>Low</v>
      </c>
    </row>
    <row r="416" spans="1:24" x14ac:dyDescent="0.3">
      <c r="A416" t="s">
        <v>857</v>
      </c>
      <c r="B416" t="s">
        <v>851</v>
      </c>
      <c r="C416" s="3">
        <v>45722</v>
      </c>
      <c r="D416" s="8" t="s">
        <v>858</v>
      </c>
      <c r="E416" s="7" t="s">
        <v>548</v>
      </c>
      <c r="F416" s="7" t="s">
        <v>40</v>
      </c>
      <c r="G416" s="7" t="s">
        <v>145</v>
      </c>
      <c r="H416" s="4">
        <v>409.1</v>
      </c>
      <c r="I416" s="7" t="s">
        <v>16</v>
      </c>
      <c r="J416" s="7" t="s">
        <v>17</v>
      </c>
      <c r="L416" t="str">
        <f>PROPER(TRIM(SUBSTITUTE(_xlfn.XLOOKUP(B416,Cardholders_Reference!A:A,Cardholders_Reference!B:B),","," ")))</f>
        <v>Bongani Sithole</v>
      </c>
      <c r="M416" s="5">
        <f>_xlfn.XLOOKUP(B416,Cardholders_Reference!A:A,Cardholders_Reference!G:G)</f>
        <v>15000</v>
      </c>
      <c r="N416" s="7" t="str">
        <f>_xlfn.XLOOKUP(B416,Cardholders_Reference!A:A,Cardholders_Reference!D:D)</f>
        <v>FNB</v>
      </c>
      <c r="O416" s="7" t="str">
        <f>_xlfn.XLOOKUP(B416,Cardholders_Reference!A:A,Cardholders_Reference!E:E)</f>
        <v>Mastercard</v>
      </c>
      <c r="P416" s="6">
        <f t="shared" si="47"/>
        <v>2.7273333333333333E-2</v>
      </c>
      <c r="Q416">
        <f t="shared" si="42"/>
        <v>1</v>
      </c>
      <c r="R416">
        <f t="shared" si="43"/>
        <v>0</v>
      </c>
      <c r="S416">
        <f>IF(COUNTIFS($B$1:$B$738,B415,$C$1:$C$738,#REF!)&gt;2,1,0)</f>
        <v>0</v>
      </c>
      <c r="T416">
        <f t="shared" si="44"/>
        <v>0</v>
      </c>
      <c r="U416">
        <f t="shared" si="45"/>
        <v>0</v>
      </c>
      <c r="V416">
        <f t="shared" si="46"/>
        <v>0</v>
      </c>
      <c r="W416">
        <f t="shared" si="48"/>
        <v>1</v>
      </c>
      <c r="X416" t="str" cm="1">
        <f t="array" ref="X416">_xlfn.IFS(W416&lt;=1,"Low",W416=2,"Medium",W416&gt;=3,"High")</f>
        <v>Low</v>
      </c>
    </row>
    <row r="417" spans="1:24" x14ac:dyDescent="0.3">
      <c r="A417" t="s">
        <v>859</v>
      </c>
      <c r="B417" t="s">
        <v>851</v>
      </c>
      <c r="C417" s="3">
        <v>46697</v>
      </c>
      <c r="D417" s="8" t="s">
        <v>860</v>
      </c>
      <c r="E417" s="7" t="s">
        <v>548</v>
      </c>
      <c r="F417" s="7" t="s">
        <v>40</v>
      </c>
      <c r="G417" s="7" t="s">
        <v>49</v>
      </c>
      <c r="H417" s="4">
        <v>234</v>
      </c>
      <c r="I417" s="7" t="s">
        <v>32</v>
      </c>
      <c r="J417" s="7" t="s">
        <v>17</v>
      </c>
      <c r="L417" t="str">
        <f>PROPER(TRIM(SUBSTITUTE(_xlfn.XLOOKUP(B417,Cardholders_Reference!A:A,Cardholders_Reference!B:B),","," ")))</f>
        <v>Bongani Sithole</v>
      </c>
      <c r="M417" s="5">
        <f>_xlfn.XLOOKUP(B417,Cardholders_Reference!A:A,Cardholders_Reference!G:G)</f>
        <v>15000</v>
      </c>
      <c r="N417" s="7" t="str">
        <f>_xlfn.XLOOKUP(B417,Cardholders_Reference!A:A,Cardholders_Reference!D:D)</f>
        <v>FNB</v>
      </c>
      <c r="O417" s="7" t="str">
        <f>_xlfn.XLOOKUP(B417,Cardholders_Reference!A:A,Cardholders_Reference!E:E)</f>
        <v>Mastercard</v>
      </c>
      <c r="P417" s="6">
        <f t="shared" si="47"/>
        <v>1.5599999999999999E-2</v>
      </c>
      <c r="Q417">
        <f t="shared" si="42"/>
        <v>1</v>
      </c>
      <c r="R417">
        <f t="shared" si="43"/>
        <v>0</v>
      </c>
      <c r="S417">
        <f>IF(COUNTIFS($B$1:$B$738,B416,$C$1:$C$738,#REF!)&gt;2,1,0)</f>
        <v>0</v>
      </c>
      <c r="T417">
        <f t="shared" si="44"/>
        <v>0</v>
      </c>
      <c r="U417">
        <f t="shared" si="45"/>
        <v>0</v>
      </c>
      <c r="V417">
        <f t="shared" si="46"/>
        <v>0</v>
      </c>
      <c r="W417">
        <f t="shared" si="48"/>
        <v>1</v>
      </c>
      <c r="X417" t="str" cm="1">
        <f t="array" ref="X417">_xlfn.IFS(W417&lt;=1,"Low",W417=2,"Medium",W417&gt;=3,"High")</f>
        <v>Low</v>
      </c>
    </row>
    <row r="418" spans="1:24" x14ac:dyDescent="0.3">
      <c r="A418" t="s">
        <v>861</v>
      </c>
      <c r="B418" t="s">
        <v>851</v>
      </c>
      <c r="C418" s="3">
        <v>45727</v>
      </c>
      <c r="D418" s="8" t="s">
        <v>488</v>
      </c>
      <c r="E418" s="7" t="s">
        <v>44</v>
      </c>
      <c r="F418" s="7" t="s">
        <v>25</v>
      </c>
      <c r="G418" s="7" t="s">
        <v>49</v>
      </c>
      <c r="H418" s="4">
        <v>685.84</v>
      </c>
      <c r="I418" s="7" t="s">
        <v>95</v>
      </c>
      <c r="J418" s="7" t="s">
        <v>17</v>
      </c>
      <c r="L418" t="str">
        <f>PROPER(TRIM(SUBSTITUTE(_xlfn.XLOOKUP(B418,Cardholders_Reference!A:A,Cardholders_Reference!B:B),","," ")))</f>
        <v>Bongani Sithole</v>
      </c>
      <c r="M418" s="5">
        <f>_xlfn.XLOOKUP(B418,Cardholders_Reference!A:A,Cardholders_Reference!G:G)</f>
        <v>15000</v>
      </c>
      <c r="N418" s="7" t="str">
        <f>_xlfn.XLOOKUP(B418,Cardholders_Reference!A:A,Cardholders_Reference!D:D)</f>
        <v>FNB</v>
      </c>
      <c r="O418" s="7" t="str">
        <f>_xlfn.XLOOKUP(B418,Cardholders_Reference!A:A,Cardholders_Reference!E:E)</f>
        <v>Mastercard</v>
      </c>
      <c r="P418" s="6">
        <f t="shared" si="47"/>
        <v>4.5722666666666668E-2</v>
      </c>
      <c r="Q418">
        <f t="shared" si="42"/>
        <v>0</v>
      </c>
      <c r="R418">
        <f t="shared" si="43"/>
        <v>0</v>
      </c>
      <c r="S418">
        <f>IF(COUNTIFS($B$1:$B$738,B417,$C$1:$C$738,#REF!)&gt;2,1,0)</f>
        <v>0</v>
      </c>
      <c r="T418">
        <f t="shared" si="44"/>
        <v>0</v>
      </c>
      <c r="U418">
        <f t="shared" si="45"/>
        <v>0</v>
      </c>
      <c r="V418">
        <f t="shared" si="46"/>
        <v>1</v>
      </c>
      <c r="W418">
        <f t="shared" si="48"/>
        <v>1</v>
      </c>
      <c r="X418" t="str" cm="1">
        <f t="array" ref="X418">_xlfn.IFS(W418&lt;=1,"Low",W418=2,"Medium",W418&gt;=3,"High")</f>
        <v>Low</v>
      </c>
    </row>
    <row r="419" spans="1:24" x14ac:dyDescent="0.3">
      <c r="A419" t="s">
        <v>862</v>
      </c>
      <c r="B419" t="s">
        <v>851</v>
      </c>
      <c r="C419" s="3">
        <v>45944</v>
      </c>
      <c r="D419" s="8" t="s">
        <v>863</v>
      </c>
      <c r="E419" s="7" t="s">
        <v>77</v>
      </c>
      <c r="F419" s="7" t="s">
        <v>15</v>
      </c>
      <c r="G419" s="7" t="s">
        <v>49</v>
      </c>
      <c r="H419" s="4">
        <v>3511.63</v>
      </c>
      <c r="I419" s="7" t="s">
        <v>95</v>
      </c>
      <c r="J419" s="7" t="s">
        <v>41</v>
      </c>
      <c r="L419" t="str">
        <f>PROPER(TRIM(SUBSTITUTE(_xlfn.XLOOKUP(B419,Cardholders_Reference!A:A,Cardholders_Reference!B:B),","," ")))</f>
        <v>Bongani Sithole</v>
      </c>
      <c r="M419" s="5">
        <f>_xlfn.XLOOKUP(B419,Cardholders_Reference!A:A,Cardholders_Reference!G:G)</f>
        <v>15000</v>
      </c>
      <c r="N419" s="7" t="str">
        <f>_xlfn.XLOOKUP(B419,Cardholders_Reference!A:A,Cardholders_Reference!D:D)</f>
        <v>FNB</v>
      </c>
      <c r="O419" s="7" t="str">
        <f>_xlfn.XLOOKUP(B419,Cardholders_Reference!A:A,Cardholders_Reference!E:E)</f>
        <v>Mastercard</v>
      </c>
      <c r="P419" s="6">
        <f t="shared" si="47"/>
        <v>0.23410866666666669</v>
      </c>
      <c r="Q419">
        <f t="shared" si="42"/>
        <v>0</v>
      </c>
      <c r="R419">
        <f t="shared" si="43"/>
        <v>0</v>
      </c>
      <c r="S419">
        <f>IF(COUNTIFS($B$1:$B$738,B418,$C$1:$C$738,#REF!)&gt;2,1,0)</f>
        <v>0</v>
      </c>
      <c r="T419">
        <f t="shared" si="44"/>
        <v>0</v>
      </c>
      <c r="U419">
        <f t="shared" si="45"/>
        <v>0</v>
      </c>
      <c r="V419">
        <f t="shared" si="46"/>
        <v>1</v>
      </c>
      <c r="W419">
        <f t="shared" si="48"/>
        <v>1</v>
      </c>
      <c r="X419" t="str" cm="1">
        <f t="array" ref="X419">_xlfn.IFS(W419&lt;=1,"Low",W419=2,"Medium",W419&gt;=3,"High")</f>
        <v>Low</v>
      </c>
    </row>
    <row r="420" spans="1:24" x14ac:dyDescent="0.3">
      <c r="A420" t="s">
        <v>864</v>
      </c>
      <c r="B420" t="s">
        <v>851</v>
      </c>
      <c r="C420" s="3">
        <v>46240</v>
      </c>
      <c r="D420" s="8" t="s">
        <v>263</v>
      </c>
      <c r="E420" s="7" t="s">
        <v>73</v>
      </c>
      <c r="F420" s="7" t="s">
        <v>74</v>
      </c>
      <c r="G420" s="7" t="s">
        <v>145</v>
      </c>
      <c r="H420" s="4">
        <v>496.83</v>
      </c>
      <c r="I420" s="7" t="s">
        <v>26</v>
      </c>
      <c r="J420" s="7" t="s">
        <v>17</v>
      </c>
      <c r="L420" t="str">
        <f>PROPER(TRIM(SUBSTITUTE(_xlfn.XLOOKUP(B420,Cardholders_Reference!A:A,Cardholders_Reference!B:B),","," ")))</f>
        <v>Bongani Sithole</v>
      </c>
      <c r="M420" s="5">
        <f>_xlfn.XLOOKUP(B420,Cardholders_Reference!A:A,Cardholders_Reference!G:G)</f>
        <v>15000</v>
      </c>
      <c r="N420" s="7" t="str">
        <f>_xlfn.XLOOKUP(B420,Cardholders_Reference!A:A,Cardholders_Reference!D:D)</f>
        <v>FNB</v>
      </c>
      <c r="O420" s="7" t="str">
        <f>_xlfn.XLOOKUP(B420,Cardholders_Reference!A:A,Cardholders_Reference!E:E)</f>
        <v>Mastercard</v>
      </c>
      <c r="P420" s="6">
        <f t="shared" si="47"/>
        <v>3.3121999999999999E-2</v>
      </c>
      <c r="Q420">
        <f t="shared" si="42"/>
        <v>0</v>
      </c>
      <c r="R420">
        <f t="shared" si="43"/>
        <v>0</v>
      </c>
      <c r="S420">
        <f>IF(COUNTIFS($B$1:$B$738,B419,$C$1:$C$738,#REF!)&gt;2,1,0)</f>
        <v>0</v>
      </c>
      <c r="T420">
        <f t="shared" si="44"/>
        <v>0</v>
      </c>
      <c r="U420">
        <f t="shared" si="45"/>
        <v>0</v>
      </c>
      <c r="V420">
        <f t="shared" si="46"/>
        <v>1</v>
      </c>
      <c r="W420">
        <f t="shared" si="48"/>
        <v>1</v>
      </c>
      <c r="X420" t="str" cm="1">
        <f t="array" ref="X420">_xlfn.IFS(W420&lt;=1,"Low",W420=2,"Medium",W420&gt;=3,"High")</f>
        <v>Low</v>
      </c>
    </row>
    <row r="421" spans="1:24" x14ac:dyDescent="0.3">
      <c r="A421" t="s">
        <v>865</v>
      </c>
      <c r="B421" t="s">
        <v>851</v>
      </c>
      <c r="C421" s="3">
        <v>46045</v>
      </c>
      <c r="D421" s="8" t="s">
        <v>1439</v>
      </c>
      <c r="E421" s="7" t="s">
        <v>111</v>
      </c>
      <c r="F421" s="7" t="s">
        <v>48</v>
      </c>
      <c r="G421" s="7" t="s">
        <v>49</v>
      </c>
      <c r="H421" s="4">
        <v>589.73</v>
      </c>
      <c r="I421" s="7" t="s">
        <v>16</v>
      </c>
      <c r="J421" s="7" t="s">
        <v>17</v>
      </c>
      <c r="L421" t="str">
        <f>PROPER(TRIM(SUBSTITUTE(_xlfn.XLOOKUP(B421,Cardholders_Reference!A:A,Cardholders_Reference!B:B),","," ")))</f>
        <v>Bongani Sithole</v>
      </c>
      <c r="M421" s="5">
        <f>_xlfn.XLOOKUP(B421,Cardholders_Reference!A:A,Cardholders_Reference!G:G)</f>
        <v>15000</v>
      </c>
      <c r="N421" s="7" t="str">
        <f>_xlfn.XLOOKUP(B421,Cardholders_Reference!A:A,Cardholders_Reference!D:D)</f>
        <v>FNB</v>
      </c>
      <c r="O421" s="7" t="str">
        <f>_xlfn.XLOOKUP(B421,Cardholders_Reference!A:A,Cardholders_Reference!E:E)</f>
        <v>Mastercard</v>
      </c>
      <c r="P421" s="6">
        <f t="shared" si="47"/>
        <v>3.9315333333333334E-2</v>
      </c>
      <c r="Q421">
        <f t="shared" si="42"/>
        <v>1</v>
      </c>
      <c r="R421">
        <f t="shared" si="43"/>
        <v>1</v>
      </c>
      <c r="S421">
        <f>IF(COUNTIFS($B$1:$B$738,B420,$C$1:$C$738,#REF!)&gt;2,1,0)</f>
        <v>0</v>
      </c>
      <c r="T421">
        <f t="shared" si="44"/>
        <v>0</v>
      </c>
      <c r="U421">
        <f t="shared" si="45"/>
        <v>0</v>
      </c>
      <c r="V421">
        <f t="shared" si="46"/>
        <v>0</v>
      </c>
      <c r="W421">
        <f t="shared" si="48"/>
        <v>2</v>
      </c>
      <c r="X421" t="str" cm="1">
        <f t="array" ref="X421">_xlfn.IFS(W421&lt;=1,"Low",W421=2,"Medium",W421&gt;=3,"High")</f>
        <v>Medium</v>
      </c>
    </row>
    <row r="422" spans="1:24" x14ac:dyDescent="0.3">
      <c r="A422" t="s">
        <v>866</v>
      </c>
      <c r="B422" t="s">
        <v>867</v>
      </c>
      <c r="C422" s="3">
        <v>46199</v>
      </c>
      <c r="D422" s="8" t="s">
        <v>868</v>
      </c>
      <c r="E422" s="7" t="s">
        <v>47</v>
      </c>
      <c r="F422" s="7" t="s">
        <v>48</v>
      </c>
      <c r="G422" s="7" t="s">
        <v>177</v>
      </c>
      <c r="H422" s="4">
        <v>1480.3</v>
      </c>
      <c r="I422" s="7" t="s">
        <v>16</v>
      </c>
      <c r="J422" s="7" t="s">
        <v>17</v>
      </c>
      <c r="L422" t="str">
        <f>PROPER(TRIM(SUBSTITUTE(_xlfn.XLOOKUP(B422,Cardholders_Reference!A:A,Cardholders_Reference!B:B),","," ")))</f>
        <v>Naledi Sithole</v>
      </c>
      <c r="M422" s="5">
        <f>_xlfn.XLOOKUP(B422,Cardholders_Reference!A:A,Cardholders_Reference!G:G)</f>
        <v>30000</v>
      </c>
      <c r="N422" s="7" t="str">
        <f>_xlfn.XLOOKUP(B422,Cardholders_Reference!A:A,Cardholders_Reference!D:D)</f>
        <v>Nedbank</v>
      </c>
      <c r="O422" s="7" t="str">
        <f>_xlfn.XLOOKUP(B422,Cardholders_Reference!A:A,Cardholders_Reference!E:E)</f>
        <v>Mastercard</v>
      </c>
      <c r="P422" s="6">
        <f t="shared" si="47"/>
        <v>4.9343333333333329E-2</v>
      </c>
      <c r="Q422">
        <f t="shared" si="42"/>
        <v>0</v>
      </c>
      <c r="R422">
        <f t="shared" si="43"/>
        <v>0</v>
      </c>
      <c r="S422">
        <f>IF(COUNTIFS($B$1:$B$738,B421,$C$1:$C$738,#REF!)&gt;2,1,0)</f>
        <v>0</v>
      </c>
      <c r="T422">
        <f t="shared" si="44"/>
        <v>0</v>
      </c>
      <c r="U422">
        <f t="shared" si="45"/>
        <v>0</v>
      </c>
      <c r="V422">
        <f t="shared" si="46"/>
        <v>0</v>
      </c>
      <c r="W422">
        <f t="shared" si="48"/>
        <v>0</v>
      </c>
      <c r="X422" t="str" cm="1">
        <f t="array" ref="X422">_xlfn.IFS(W422&lt;=1,"Low",W422=2,"Medium",W422&gt;=3,"High")</f>
        <v>Low</v>
      </c>
    </row>
    <row r="423" spans="1:24" x14ac:dyDescent="0.3">
      <c r="A423" t="s">
        <v>869</v>
      </c>
      <c r="B423" t="s">
        <v>867</v>
      </c>
      <c r="C423" s="3">
        <v>45716</v>
      </c>
      <c r="D423" s="8" t="s">
        <v>244</v>
      </c>
      <c r="E423" s="7" t="s">
        <v>80</v>
      </c>
      <c r="F423" s="7" t="s">
        <v>81</v>
      </c>
      <c r="G423" s="7" t="s">
        <v>49</v>
      </c>
      <c r="H423" s="4">
        <v>6843.53</v>
      </c>
      <c r="I423" s="7" t="s">
        <v>26</v>
      </c>
      <c r="J423" s="7" t="s">
        <v>17</v>
      </c>
      <c r="L423" t="str">
        <f>PROPER(TRIM(SUBSTITUTE(_xlfn.XLOOKUP(B423,Cardholders_Reference!A:A,Cardholders_Reference!B:B),","," ")))</f>
        <v>Naledi Sithole</v>
      </c>
      <c r="M423" s="5">
        <f>_xlfn.XLOOKUP(B423,Cardholders_Reference!A:A,Cardholders_Reference!G:G)</f>
        <v>30000</v>
      </c>
      <c r="N423" s="7" t="str">
        <f>_xlfn.XLOOKUP(B423,Cardholders_Reference!A:A,Cardholders_Reference!D:D)</f>
        <v>Nedbank</v>
      </c>
      <c r="O423" s="7" t="str">
        <f>_xlfn.XLOOKUP(B423,Cardholders_Reference!A:A,Cardholders_Reference!E:E)</f>
        <v>Mastercard</v>
      </c>
      <c r="P423" s="6">
        <f t="shared" si="47"/>
        <v>0.22811766666666666</v>
      </c>
      <c r="Q423">
        <f t="shared" si="42"/>
        <v>0</v>
      </c>
      <c r="R423">
        <f t="shared" si="43"/>
        <v>0</v>
      </c>
      <c r="S423">
        <f>IF(COUNTIFS($B$1:$B$738,B422,$C$1:$C$738,#REF!)&gt;2,1,0)</f>
        <v>0</v>
      </c>
      <c r="T423">
        <f t="shared" si="44"/>
        <v>0</v>
      </c>
      <c r="U423">
        <f t="shared" si="45"/>
        <v>0</v>
      </c>
      <c r="V423">
        <f t="shared" si="46"/>
        <v>1</v>
      </c>
      <c r="W423">
        <f t="shared" si="48"/>
        <v>1</v>
      </c>
      <c r="X423" t="str" cm="1">
        <f t="array" ref="X423">_xlfn.IFS(W423&lt;=1,"Low",W423=2,"Medium",W423&gt;=3,"High")</f>
        <v>Low</v>
      </c>
    </row>
    <row r="424" spans="1:24" x14ac:dyDescent="0.3">
      <c r="A424" t="s">
        <v>870</v>
      </c>
      <c r="B424" t="s">
        <v>867</v>
      </c>
      <c r="C424" s="3">
        <v>45862</v>
      </c>
      <c r="D424" s="8" t="s">
        <v>440</v>
      </c>
      <c r="E424" s="7" t="s">
        <v>94</v>
      </c>
      <c r="F424" s="7" t="s">
        <v>53</v>
      </c>
      <c r="G424" s="7" t="s">
        <v>192</v>
      </c>
      <c r="H424" s="4">
        <v>222.29</v>
      </c>
      <c r="I424" s="7" t="s">
        <v>26</v>
      </c>
      <c r="J424" s="7" t="s">
        <v>17</v>
      </c>
      <c r="L424" t="str">
        <f>PROPER(TRIM(SUBSTITUTE(_xlfn.XLOOKUP(B424,Cardholders_Reference!A:A,Cardholders_Reference!B:B),","," ")))</f>
        <v>Naledi Sithole</v>
      </c>
      <c r="M424" s="5">
        <f>_xlfn.XLOOKUP(B424,Cardholders_Reference!A:A,Cardholders_Reference!G:G)</f>
        <v>30000</v>
      </c>
      <c r="N424" s="7" t="str">
        <f>_xlfn.XLOOKUP(B424,Cardholders_Reference!A:A,Cardholders_Reference!D:D)</f>
        <v>Nedbank</v>
      </c>
      <c r="O424" s="7" t="str">
        <f>_xlfn.XLOOKUP(B424,Cardholders_Reference!A:A,Cardholders_Reference!E:E)</f>
        <v>Mastercard</v>
      </c>
      <c r="P424" s="6">
        <f t="shared" si="47"/>
        <v>7.4096666666666668E-3</v>
      </c>
      <c r="Q424">
        <f t="shared" si="42"/>
        <v>1</v>
      </c>
      <c r="R424">
        <f t="shared" si="43"/>
        <v>0</v>
      </c>
      <c r="S424">
        <f>IF(COUNTIFS($B$1:$B$738,B423,$C$1:$C$738,#REF!)&gt;2,1,0)</f>
        <v>0</v>
      </c>
      <c r="T424">
        <f t="shared" si="44"/>
        <v>0</v>
      </c>
      <c r="U424">
        <f t="shared" si="45"/>
        <v>0</v>
      </c>
      <c r="V424">
        <f t="shared" si="46"/>
        <v>1</v>
      </c>
      <c r="W424">
        <f t="shared" si="48"/>
        <v>2</v>
      </c>
      <c r="X424" t="str" cm="1">
        <f t="array" ref="X424">_xlfn.IFS(W424&lt;=1,"Low",W424=2,"Medium",W424&gt;=3,"High")</f>
        <v>Medium</v>
      </c>
    </row>
    <row r="425" spans="1:24" x14ac:dyDescent="0.3">
      <c r="A425" t="s">
        <v>871</v>
      </c>
      <c r="B425" t="s">
        <v>867</v>
      </c>
      <c r="C425" s="3">
        <v>45750</v>
      </c>
      <c r="D425" s="8" t="s">
        <v>872</v>
      </c>
      <c r="E425" s="7" t="s">
        <v>156</v>
      </c>
      <c r="F425" s="7" t="s">
        <v>36</v>
      </c>
      <c r="G425" s="7" t="s">
        <v>177</v>
      </c>
      <c r="H425" s="4">
        <v>512.01</v>
      </c>
      <c r="I425" s="7" t="s">
        <v>32</v>
      </c>
      <c r="J425" s="7" t="s">
        <v>17</v>
      </c>
      <c r="L425" t="str">
        <f>PROPER(TRIM(SUBSTITUTE(_xlfn.XLOOKUP(B425,Cardholders_Reference!A:A,Cardholders_Reference!B:B),","," ")))</f>
        <v>Naledi Sithole</v>
      </c>
      <c r="M425" s="5">
        <f>_xlfn.XLOOKUP(B425,Cardholders_Reference!A:A,Cardholders_Reference!G:G)</f>
        <v>30000</v>
      </c>
      <c r="N425" s="7" t="str">
        <f>_xlfn.XLOOKUP(B425,Cardholders_Reference!A:A,Cardholders_Reference!D:D)</f>
        <v>Nedbank</v>
      </c>
      <c r="O425" s="7" t="str">
        <f>_xlfn.XLOOKUP(B425,Cardholders_Reference!A:A,Cardholders_Reference!E:E)</f>
        <v>Mastercard</v>
      </c>
      <c r="P425" s="6">
        <f t="shared" si="47"/>
        <v>1.7066999999999999E-2</v>
      </c>
      <c r="Q425">
        <f t="shared" si="42"/>
        <v>1</v>
      </c>
      <c r="R425">
        <f t="shared" si="43"/>
        <v>0</v>
      </c>
      <c r="S425">
        <f>IF(COUNTIFS($B$1:$B$738,B424,$C$1:$C$738,#REF!)&gt;2,1,0)</f>
        <v>0</v>
      </c>
      <c r="T425">
        <f t="shared" si="44"/>
        <v>0</v>
      </c>
      <c r="U425">
        <f t="shared" si="45"/>
        <v>0</v>
      </c>
      <c r="V425">
        <f t="shared" si="46"/>
        <v>0</v>
      </c>
      <c r="W425">
        <f t="shared" si="48"/>
        <v>1</v>
      </c>
      <c r="X425" t="str" cm="1">
        <f t="array" ref="X425">_xlfn.IFS(W425&lt;=1,"Low",W425=2,"Medium",W425&gt;=3,"High")</f>
        <v>Low</v>
      </c>
    </row>
    <row r="426" spans="1:24" x14ac:dyDescent="0.3">
      <c r="A426" t="s">
        <v>873</v>
      </c>
      <c r="B426" t="s">
        <v>867</v>
      </c>
      <c r="C426" s="3">
        <v>46014</v>
      </c>
      <c r="D426" s="8" t="s">
        <v>537</v>
      </c>
      <c r="E426" s="7" t="s">
        <v>70</v>
      </c>
      <c r="F426" s="7" t="s">
        <v>36</v>
      </c>
      <c r="G426" s="7" t="s">
        <v>177</v>
      </c>
      <c r="H426" s="4">
        <v>498.23</v>
      </c>
      <c r="I426" s="7" t="s">
        <v>95</v>
      </c>
      <c r="J426" s="7" t="s">
        <v>17</v>
      </c>
      <c r="L426" t="str">
        <f>PROPER(TRIM(SUBSTITUTE(_xlfn.XLOOKUP(B426,Cardholders_Reference!A:A,Cardholders_Reference!B:B),","," ")))</f>
        <v>Naledi Sithole</v>
      </c>
      <c r="M426" s="5">
        <f>_xlfn.XLOOKUP(B426,Cardholders_Reference!A:A,Cardholders_Reference!G:G)</f>
        <v>30000</v>
      </c>
      <c r="N426" s="7" t="str">
        <f>_xlfn.XLOOKUP(B426,Cardholders_Reference!A:A,Cardholders_Reference!D:D)</f>
        <v>Nedbank</v>
      </c>
      <c r="O426" s="7" t="str">
        <f>_xlfn.XLOOKUP(B426,Cardholders_Reference!A:A,Cardholders_Reference!E:E)</f>
        <v>Mastercard</v>
      </c>
      <c r="P426" s="6">
        <f t="shared" si="47"/>
        <v>1.6607666666666666E-2</v>
      </c>
      <c r="Q426">
        <f t="shared" si="42"/>
        <v>0</v>
      </c>
      <c r="R426">
        <f t="shared" si="43"/>
        <v>0</v>
      </c>
      <c r="S426">
        <f>IF(COUNTIFS($B$1:$B$738,B425,$C$1:$C$738,#REF!)&gt;2,1,0)</f>
        <v>0</v>
      </c>
      <c r="T426">
        <f t="shared" si="44"/>
        <v>0</v>
      </c>
      <c r="U426">
        <f t="shared" si="45"/>
        <v>0</v>
      </c>
      <c r="V426">
        <f t="shared" si="46"/>
        <v>1</v>
      </c>
      <c r="W426">
        <f t="shared" si="48"/>
        <v>1</v>
      </c>
      <c r="X426" t="str" cm="1">
        <f t="array" ref="X426">_xlfn.IFS(W426&lt;=1,"Low",W426=2,"Medium",W426&gt;=3,"High")</f>
        <v>Low</v>
      </c>
    </row>
    <row r="427" spans="1:24" x14ac:dyDescent="0.3">
      <c r="A427" t="s">
        <v>874</v>
      </c>
      <c r="B427" t="s">
        <v>867</v>
      </c>
      <c r="C427" s="3">
        <v>45872</v>
      </c>
      <c r="D427" s="8" t="s">
        <v>1439</v>
      </c>
      <c r="E427" s="7" t="s">
        <v>132</v>
      </c>
      <c r="F427" s="7" t="s">
        <v>25</v>
      </c>
      <c r="G427" s="7" t="s">
        <v>177</v>
      </c>
      <c r="H427" s="4">
        <v>1106.8699999999999</v>
      </c>
      <c r="I427" s="7" t="s">
        <v>95</v>
      </c>
      <c r="J427" s="7" t="s">
        <v>41</v>
      </c>
      <c r="L427" t="str">
        <f>PROPER(TRIM(SUBSTITUTE(_xlfn.XLOOKUP(B427,Cardholders_Reference!A:A,Cardholders_Reference!B:B),","," ")))</f>
        <v>Naledi Sithole</v>
      </c>
      <c r="M427" s="5">
        <f>_xlfn.XLOOKUP(B427,Cardholders_Reference!A:A,Cardholders_Reference!G:G)</f>
        <v>30000</v>
      </c>
      <c r="N427" s="7" t="str">
        <f>_xlfn.XLOOKUP(B427,Cardholders_Reference!A:A,Cardholders_Reference!D:D)</f>
        <v>Nedbank</v>
      </c>
      <c r="O427" s="7" t="str">
        <f>_xlfn.XLOOKUP(B427,Cardholders_Reference!A:A,Cardholders_Reference!E:E)</f>
        <v>Mastercard</v>
      </c>
      <c r="P427" s="6">
        <f t="shared" si="47"/>
        <v>3.689566666666666E-2</v>
      </c>
      <c r="Q427">
        <f t="shared" si="42"/>
        <v>0</v>
      </c>
      <c r="R427">
        <f t="shared" si="43"/>
        <v>1</v>
      </c>
      <c r="S427">
        <f>IF(COUNTIFS($B$1:$B$738,B426,$C$1:$C$738,#REF!)&gt;2,1,0)</f>
        <v>0</v>
      </c>
      <c r="T427">
        <f t="shared" si="44"/>
        <v>0</v>
      </c>
      <c r="U427">
        <f t="shared" si="45"/>
        <v>0</v>
      </c>
      <c r="V427">
        <f t="shared" si="46"/>
        <v>1</v>
      </c>
      <c r="W427">
        <f t="shared" si="48"/>
        <v>2</v>
      </c>
      <c r="X427" t="str" cm="1">
        <f t="array" ref="X427">_xlfn.IFS(W427&lt;=1,"Low",W427=2,"Medium",W427&gt;=3,"High")</f>
        <v>Medium</v>
      </c>
    </row>
    <row r="428" spans="1:24" x14ac:dyDescent="0.3">
      <c r="A428" t="s">
        <v>875</v>
      </c>
      <c r="B428" t="s">
        <v>867</v>
      </c>
      <c r="C428" s="3">
        <v>45875</v>
      </c>
      <c r="D428" s="8" t="s">
        <v>876</v>
      </c>
      <c r="E428" s="7" t="s">
        <v>230</v>
      </c>
      <c r="F428" s="7" t="s">
        <v>81</v>
      </c>
      <c r="G428" s="7" t="s">
        <v>177</v>
      </c>
      <c r="H428" s="4">
        <v>13096.73</v>
      </c>
      <c r="I428" s="7" t="s">
        <v>32</v>
      </c>
      <c r="J428" s="7" t="s">
        <v>41</v>
      </c>
      <c r="L428" t="str">
        <f>PROPER(TRIM(SUBSTITUTE(_xlfn.XLOOKUP(B428,Cardholders_Reference!A:A,Cardholders_Reference!B:B),","," ")))</f>
        <v>Naledi Sithole</v>
      </c>
      <c r="M428" s="5">
        <f>_xlfn.XLOOKUP(B428,Cardholders_Reference!A:A,Cardholders_Reference!G:G)</f>
        <v>30000</v>
      </c>
      <c r="N428" s="7" t="str">
        <f>_xlfn.XLOOKUP(B428,Cardholders_Reference!A:A,Cardholders_Reference!D:D)</f>
        <v>Nedbank</v>
      </c>
      <c r="O428" s="7" t="str">
        <f>_xlfn.XLOOKUP(B428,Cardholders_Reference!A:A,Cardholders_Reference!E:E)</f>
        <v>Mastercard</v>
      </c>
      <c r="P428" s="6">
        <f t="shared" si="47"/>
        <v>0.43655766666666668</v>
      </c>
      <c r="Q428">
        <f t="shared" si="42"/>
        <v>0</v>
      </c>
      <c r="R428">
        <f t="shared" si="43"/>
        <v>0</v>
      </c>
      <c r="S428">
        <f>IF(COUNTIFS($B$1:$B$738,B427,$C$1:$C$738,#REF!)&gt;2,1,0)</f>
        <v>0</v>
      </c>
      <c r="T428">
        <f t="shared" si="44"/>
        <v>0</v>
      </c>
      <c r="U428">
        <f t="shared" si="45"/>
        <v>0</v>
      </c>
      <c r="V428">
        <f t="shared" si="46"/>
        <v>0</v>
      </c>
      <c r="W428">
        <f t="shared" si="48"/>
        <v>0</v>
      </c>
      <c r="X428" t="str" cm="1">
        <f t="array" ref="X428">_xlfn.IFS(W428&lt;=1,"Low",W428=2,"Medium",W428&gt;=3,"High")</f>
        <v>Low</v>
      </c>
    </row>
    <row r="429" spans="1:24" x14ac:dyDescent="0.3">
      <c r="A429" t="s">
        <v>877</v>
      </c>
      <c r="B429" t="s">
        <v>867</v>
      </c>
      <c r="C429" s="3">
        <v>46786</v>
      </c>
      <c r="D429" s="8" t="s">
        <v>720</v>
      </c>
      <c r="E429" s="7" t="s">
        <v>140</v>
      </c>
      <c r="F429" s="7" t="s">
        <v>53</v>
      </c>
      <c r="G429" s="7" t="s">
        <v>192</v>
      </c>
      <c r="H429" s="4">
        <v>832.21</v>
      </c>
      <c r="I429" s="7" t="s">
        <v>95</v>
      </c>
      <c r="J429" s="7" t="s">
        <v>17</v>
      </c>
      <c r="L429" t="str">
        <f>PROPER(TRIM(SUBSTITUTE(_xlfn.XLOOKUP(B429,Cardholders_Reference!A:A,Cardholders_Reference!B:B),","," ")))</f>
        <v>Naledi Sithole</v>
      </c>
      <c r="M429" s="5">
        <f>_xlfn.XLOOKUP(B429,Cardholders_Reference!A:A,Cardholders_Reference!G:G)</f>
        <v>30000</v>
      </c>
      <c r="N429" s="7" t="str">
        <f>_xlfn.XLOOKUP(B429,Cardholders_Reference!A:A,Cardholders_Reference!D:D)</f>
        <v>Nedbank</v>
      </c>
      <c r="O429" s="7" t="str">
        <f>_xlfn.XLOOKUP(B429,Cardholders_Reference!A:A,Cardholders_Reference!E:E)</f>
        <v>Mastercard</v>
      </c>
      <c r="P429" s="6">
        <f t="shared" si="47"/>
        <v>2.7740333333333336E-2</v>
      </c>
      <c r="Q429">
        <f t="shared" si="42"/>
        <v>0</v>
      </c>
      <c r="R429">
        <f t="shared" si="43"/>
        <v>0</v>
      </c>
      <c r="S429">
        <f>IF(COUNTIFS($B$1:$B$738,B428,$C$1:$C$738,#REF!)&gt;2,1,0)</f>
        <v>0</v>
      </c>
      <c r="T429">
        <f t="shared" si="44"/>
        <v>1</v>
      </c>
      <c r="U429">
        <f t="shared" si="45"/>
        <v>0</v>
      </c>
      <c r="V429">
        <f t="shared" si="46"/>
        <v>1</v>
      </c>
      <c r="W429">
        <f t="shared" si="48"/>
        <v>2</v>
      </c>
      <c r="X429" t="str" cm="1">
        <f t="array" ref="X429">_xlfn.IFS(W429&lt;=1,"Low",W429=2,"Medium",W429&gt;=3,"High")</f>
        <v>Medium</v>
      </c>
    </row>
    <row r="430" spans="1:24" x14ac:dyDescent="0.3">
      <c r="A430" t="s">
        <v>878</v>
      </c>
      <c r="B430" t="s">
        <v>867</v>
      </c>
      <c r="C430" s="3">
        <v>46174</v>
      </c>
      <c r="D430" s="8" t="s">
        <v>879</v>
      </c>
      <c r="E430" s="7" t="s">
        <v>156</v>
      </c>
      <c r="F430" s="7" t="s">
        <v>36</v>
      </c>
      <c r="G430" s="7" t="s">
        <v>177</v>
      </c>
      <c r="H430" s="4">
        <v>341.65</v>
      </c>
      <c r="I430" s="7" t="s">
        <v>32</v>
      </c>
      <c r="J430" s="7" t="s">
        <v>17</v>
      </c>
      <c r="L430" t="str">
        <f>PROPER(TRIM(SUBSTITUTE(_xlfn.XLOOKUP(B430,Cardholders_Reference!A:A,Cardholders_Reference!B:B),","," ")))</f>
        <v>Naledi Sithole</v>
      </c>
      <c r="M430" s="5">
        <f>_xlfn.XLOOKUP(B430,Cardholders_Reference!A:A,Cardholders_Reference!G:G)</f>
        <v>30000</v>
      </c>
      <c r="N430" s="7" t="str">
        <f>_xlfn.XLOOKUP(B430,Cardholders_Reference!A:A,Cardholders_Reference!D:D)</f>
        <v>Nedbank</v>
      </c>
      <c r="O430" s="7" t="str">
        <f>_xlfn.XLOOKUP(B430,Cardholders_Reference!A:A,Cardholders_Reference!E:E)</f>
        <v>Mastercard</v>
      </c>
      <c r="P430" s="6">
        <f t="shared" si="47"/>
        <v>1.1388333333333332E-2</v>
      </c>
      <c r="Q430">
        <f t="shared" si="42"/>
        <v>1</v>
      </c>
      <c r="R430">
        <f t="shared" si="43"/>
        <v>0</v>
      </c>
      <c r="S430">
        <f>IF(COUNTIFS($B$1:$B$738,B429,$C$1:$C$738,#REF!)&gt;2,1,0)</f>
        <v>0</v>
      </c>
      <c r="T430">
        <f t="shared" si="44"/>
        <v>0</v>
      </c>
      <c r="U430">
        <f t="shared" si="45"/>
        <v>0</v>
      </c>
      <c r="V430">
        <f t="shared" si="46"/>
        <v>0</v>
      </c>
      <c r="W430">
        <f t="shared" si="48"/>
        <v>1</v>
      </c>
      <c r="X430" t="str" cm="1">
        <f t="array" ref="X430">_xlfn.IFS(W430&lt;=1,"Low",W430=2,"Medium",W430&gt;=3,"High")</f>
        <v>Low</v>
      </c>
    </row>
    <row r="431" spans="1:24" x14ac:dyDescent="0.3">
      <c r="A431" t="s">
        <v>880</v>
      </c>
      <c r="B431" t="s">
        <v>867</v>
      </c>
      <c r="C431" s="3">
        <v>46486</v>
      </c>
      <c r="D431" s="8" t="s">
        <v>881</v>
      </c>
      <c r="E431" s="7" t="s">
        <v>94</v>
      </c>
      <c r="F431" s="7" t="s">
        <v>53</v>
      </c>
      <c r="G431" s="7" t="s">
        <v>177</v>
      </c>
      <c r="H431" s="4">
        <v>873.52</v>
      </c>
      <c r="I431" s="7" t="s">
        <v>32</v>
      </c>
      <c r="J431" s="7" t="s">
        <v>17</v>
      </c>
      <c r="L431" t="str">
        <f>PROPER(TRIM(SUBSTITUTE(_xlfn.XLOOKUP(B431,Cardholders_Reference!A:A,Cardholders_Reference!B:B),","," ")))</f>
        <v>Naledi Sithole</v>
      </c>
      <c r="M431" s="5">
        <f>_xlfn.XLOOKUP(B431,Cardholders_Reference!A:A,Cardholders_Reference!G:G)</f>
        <v>30000</v>
      </c>
      <c r="N431" s="7" t="str">
        <f>_xlfn.XLOOKUP(B431,Cardholders_Reference!A:A,Cardholders_Reference!D:D)</f>
        <v>Nedbank</v>
      </c>
      <c r="O431" s="7" t="str">
        <f>_xlfn.XLOOKUP(B431,Cardholders_Reference!A:A,Cardholders_Reference!E:E)</f>
        <v>Mastercard</v>
      </c>
      <c r="P431" s="6">
        <f t="shared" si="47"/>
        <v>2.9117333333333332E-2</v>
      </c>
      <c r="Q431">
        <f t="shared" si="42"/>
        <v>0</v>
      </c>
      <c r="R431">
        <f t="shared" si="43"/>
        <v>0</v>
      </c>
      <c r="S431">
        <f>IF(COUNTIFS($B$1:$B$738,B430,$C$1:$C$738,#REF!)&gt;2,1,0)</f>
        <v>0</v>
      </c>
      <c r="T431">
        <f t="shared" si="44"/>
        <v>0</v>
      </c>
      <c r="U431">
        <f t="shared" si="45"/>
        <v>0</v>
      </c>
      <c r="V431">
        <f t="shared" si="46"/>
        <v>0</v>
      </c>
      <c r="W431">
        <f t="shared" si="48"/>
        <v>0</v>
      </c>
      <c r="X431" t="str" cm="1">
        <f t="array" ref="X431">_xlfn.IFS(W431&lt;=1,"Low",W431=2,"Medium",W431&gt;=3,"High")</f>
        <v>Low</v>
      </c>
    </row>
    <row r="432" spans="1:24" x14ac:dyDescent="0.3">
      <c r="A432" t="s">
        <v>882</v>
      </c>
      <c r="B432" t="s">
        <v>867</v>
      </c>
      <c r="C432" s="3">
        <v>45698</v>
      </c>
      <c r="D432" s="8" t="s">
        <v>883</v>
      </c>
      <c r="E432" s="7" t="s">
        <v>114</v>
      </c>
      <c r="F432" s="7" t="s">
        <v>81</v>
      </c>
      <c r="G432" s="7" t="s">
        <v>192</v>
      </c>
      <c r="H432" s="4">
        <v>12780.55</v>
      </c>
      <c r="I432" s="7" t="s">
        <v>16</v>
      </c>
      <c r="J432" s="7" t="s">
        <v>17</v>
      </c>
      <c r="L432" t="str">
        <f>PROPER(TRIM(SUBSTITUTE(_xlfn.XLOOKUP(B432,Cardholders_Reference!A:A,Cardholders_Reference!B:B),","," ")))</f>
        <v>Naledi Sithole</v>
      </c>
      <c r="M432" s="5">
        <f>_xlfn.XLOOKUP(B432,Cardholders_Reference!A:A,Cardholders_Reference!G:G)</f>
        <v>30000</v>
      </c>
      <c r="N432" s="7" t="str">
        <f>_xlfn.XLOOKUP(B432,Cardholders_Reference!A:A,Cardholders_Reference!D:D)</f>
        <v>Nedbank</v>
      </c>
      <c r="O432" s="7" t="str">
        <f>_xlfn.XLOOKUP(B432,Cardholders_Reference!A:A,Cardholders_Reference!E:E)</f>
        <v>Mastercard</v>
      </c>
      <c r="P432" s="6">
        <f t="shared" si="47"/>
        <v>0.42601833333333333</v>
      </c>
      <c r="Q432">
        <f t="shared" si="42"/>
        <v>0</v>
      </c>
      <c r="R432">
        <f t="shared" si="43"/>
        <v>0</v>
      </c>
      <c r="S432">
        <f>IF(COUNTIFS($B$1:$B$738,B431,$C$1:$C$738,#REF!)&gt;2,1,0)</f>
        <v>0</v>
      </c>
      <c r="T432">
        <f t="shared" si="44"/>
        <v>0</v>
      </c>
      <c r="U432">
        <f t="shared" si="45"/>
        <v>0</v>
      </c>
      <c r="V432">
        <f t="shared" si="46"/>
        <v>0</v>
      </c>
      <c r="W432">
        <f t="shared" si="48"/>
        <v>0</v>
      </c>
      <c r="X432" t="str" cm="1">
        <f t="array" ref="X432">_xlfn.IFS(W432&lt;=1,"Low",W432=2,"Medium",W432&gt;=3,"High")</f>
        <v>Low</v>
      </c>
    </row>
    <row r="433" spans="1:24" x14ac:dyDescent="0.3">
      <c r="A433" t="s">
        <v>884</v>
      </c>
      <c r="B433" t="s">
        <v>867</v>
      </c>
      <c r="C433" s="3">
        <v>45763</v>
      </c>
      <c r="D433" s="8" t="s">
        <v>885</v>
      </c>
      <c r="E433" s="7" t="s">
        <v>94</v>
      </c>
      <c r="F433" s="7" t="s">
        <v>53</v>
      </c>
      <c r="G433" s="7" t="s">
        <v>177</v>
      </c>
      <c r="H433" s="4">
        <v>1740.23</v>
      </c>
      <c r="I433" s="7" t="s">
        <v>26</v>
      </c>
      <c r="J433" s="7" t="s">
        <v>17</v>
      </c>
      <c r="L433" t="str">
        <f>PROPER(TRIM(SUBSTITUTE(_xlfn.XLOOKUP(B433,Cardholders_Reference!A:A,Cardholders_Reference!B:B),","," ")))</f>
        <v>Naledi Sithole</v>
      </c>
      <c r="M433" s="5">
        <f>_xlfn.XLOOKUP(B433,Cardholders_Reference!A:A,Cardholders_Reference!G:G)</f>
        <v>30000</v>
      </c>
      <c r="N433" s="7" t="str">
        <f>_xlfn.XLOOKUP(B433,Cardholders_Reference!A:A,Cardholders_Reference!D:D)</f>
        <v>Nedbank</v>
      </c>
      <c r="O433" s="7" t="str">
        <f>_xlfn.XLOOKUP(B433,Cardholders_Reference!A:A,Cardholders_Reference!E:E)</f>
        <v>Mastercard</v>
      </c>
      <c r="P433" s="6">
        <f t="shared" si="47"/>
        <v>5.8007666666666666E-2</v>
      </c>
      <c r="Q433">
        <f t="shared" si="42"/>
        <v>1</v>
      </c>
      <c r="R433">
        <f t="shared" si="43"/>
        <v>0</v>
      </c>
      <c r="S433">
        <f>IF(COUNTIFS($B$1:$B$738,B432,$C$1:$C$738,#REF!)&gt;2,1,0)</f>
        <v>0</v>
      </c>
      <c r="T433">
        <f t="shared" si="44"/>
        <v>1</v>
      </c>
      <c r="U433">
        <f t="shared" si="45"/>
        <v>0</v>
      </c>
      <c r="V433">
        <f t="shared" si="46"/>
        <v>1</v>
      </c>
      <c r="W433">
        <f t="shared" si="48"/>
        <v>3</v>
      </c>
      <c r="X433" t="str" cm="1">
        <f t="array" ref="X433">_xlfn.IFS(W433&lt;=1,"Low",W433=2,"Medium",W433&gt;=3,"High")</f>
        <v>High</v>
      </c>
    </row>
    <row r="434" spans="1:24" x14ac:dyDescent="0.3">
      <c r="A434" t="s">
        <v>886</v>
      </c>
      <c r="B434" t="s">
        <v>867</v>
      </c>
      <c r="C434" s="3">
        <v>46427</v>
      </c>
      <c r="D434" s="8" t="s">
        <v>887</v>
      </c>
      <c r="E434" s="7" t="s">
        <v>140</v>
      </c>
      <c r="F434" s="7" t="s">
        <v>53</v>
      </c>
      <c r="G434" s="7" t="s">
        <v>177</v>
      </c>
      <c r="H434" s="4">
        <v>379.91</v>
      </c>
      <c r="I434" s="7" t="s">
        <v>16</v>
      </c>
      <c r="J434" s="7" t="s">
        <v>17</v>
      </c>
      <c r="L434" t="str">
        <f>PROPER(TRIM(SUBSTITUTE(_xlfn.XLOOKUP(B434,Cardholders_Reference!A:A,Cardholders_Reference!B:B),","," ")))</f>
        <v>Naledi Sithole</v>
      </c>
      <c r="M434" s="5">
        <f>_xlfn.XLOOKUP(B434,Cardholders_Reference!A:A,Cardholders_Reference!G:G)</f>
        <v>30000</v>
      </c>
      <c r="N434" s="7" t="str">
        <f>_xlfn.XLOOKUP(B434,Cardholders_Reference!A:A,Cardholders_Reference!D:D)</f>
        <v>Nedbank</v>
      </c>
      <c r="O434" s="7" t="str">
        <f>_xlfn.XLOOKUP(B434,Cardholders_Reference!A:A,Cardholders_Reference!E:E)</f>
        <v>Mastercard</v>
      </c>
      <c r="P434" s="6">
        <f t="shared" si="47"/>
        <v>1.2663666666666667E-2</v>
      </c>
      <c r="Q434">
        <f t="shared" si="42"/>
        <v>0</v>
      </c>
      <c r="R434">
        <f t="shared" si="43"/>
        <v>0</v>
      </c>
      <c r="S434">
        <f>IF(COUNTIFS($B$1:$B$738,B433,$C$1:$C$738,#REF!)&gt;2,1,0)</f>
        <v>0</v>
      </c>
      <c r="T434">
        <f t="shared" si="44"/>
        <v>0</v>
      </c>
      <c r="U434">
        <f t="shared" si="45"/>
        <v>0</v>
      </c>
      <c r="V434">
        <f t="shared" si="46"/>
        <v>0</v>
      </c>
      <c r="W434">
        <f t="shared" si="48"/>
        <v>0</v>
      </c>
      <c r="X434" t="str" cm="1">
        <f t="array" ref="X434">_xlfn.IFS(W434&lt;=1,"Low",W434=2,"Medium",W434&gt;=3,"High")</f>
        <v>Low</v>
      </c>
    </row>
    <row r="435" spans="1:24" x14ac:dyDescent="0.3">
      <c r="A435" t="s">
        <v>888</v>
      </c>
      <c r="B435" t="s">
        <v>889</v>
      </c>
      <c r="C435" s="3">
        <v>46159</v>
      </c>
      <c r="D435" s="8" t="s">
        <v>890</v>
      </c>
      <c r="E435" s="7" t="s">
        <v>215</v>
      </c>
      <c r="F435" s="7" t="s">
        <v>15</v>
      </c>
      <c r="G435" s="7" t="s">
        <v>264</v>
      </c>
      <c r="H435" s="4">
        <v>2480.4499999999998</v>
      </c>
      <c r="I435" s="7" t="s">
        <v>32</v>
      </c>
      <c r="J435" s="7" t="s">
        <v>17</v>
      </c>
      <c r="L435" t="str">
        <f>PROPER(TRIM(SUBSTITUTE(_xlfn.XLOOKUP(B435,Cardholders_Reference!A:A,Cardholders_Reference!B:B),","," ")))</f>
        <v>Kabelo Van Der Merwe</v>
      </c>
      <c r="M435" s="5">
        <f>_xlfn.XLOOKUP(B435,Cardholders_Reference!A:A,Cardholders_Reference!G:G)</f>
        <v>25000</v>
      </c>
      <c r="N435" s="7" t="str">
        <f>_xlfn.XLOOKUP(B435,Cardholders_Reference!A:A,Cardholders_Reference!D:D)</f>
        <v>FNB</v>
      </c>
      <c r="O435" s="7" t="str">
        <f>_xlfn.XLOOKUP(B435,Cardholders_Reference!A:A,Cardholders_Reference!E:E)</f>
        <v>Mastercard</v>
      </c>
      <c r="P435" s="6">
        <f t="shared" si="47"/>
        <v>9.9217999999999987E-2</v>
      </c>
      <c r="Q435">
        <f t="shared" si="42"/>
        <v>0</v>
      </c>
      <c r="R435">
        <f t="shared" si="43"/>
        <v>0</v>
      </c>
      <c r="S435">
        <f>IF(COUNTIFS($B$1:$B$738,B434,$C$1:$C$738,#REF!)&gt;2,1,0)</f>
        <v>0</v>
      </c>
      <c r="T435">
        <f t="shared" si="44"/>
        <v>0</v>
      </c>
      <c r="U435">
        <f t="shared" si="45"/>
        <v>0</v>
      </c>
      <c r="V435">
        <f t="shared" si="46"/>
        <v>0</v>
      </c>
      <c r="W435">
        <f t="shared" si="48"/>
        <v>0</v>
      </c>
      <c r="X435" t="str" cm="1">
        <f t="array" ref="X435">_xlfn.IFS(W435&lt;=1,"Low",W435=2,"Medium",W435&gt;=3,"High")</f>
        <v>Low</v>
      </c>
    </row>
    <row r="436" spans="1:24" x14ac:dyDescent="0.3">
      <c r="A436" t="s">
        <v>891</v>
      </c>
      <c r="B436" t="s">
        <v>889</v>
      </c>
      <c r="C436" s="3">
        <v>45810</v>
      </c>
      <c r="D436" s="8" t="s">
        <v>324</v>
      </c>
      <c r="E436" s="7" t="s">
        <v>97</v>
      </c>
      <c r="F436" s="7" t="s">
        <v>53</v>
      </c>
      <c r="G436" s="7" t="s">
        <v>264</v>
      </c>
      <c r="H436" s="4">
        <v>1377.59</v>
      </c>
      <c r="I436" s="7" t="s">
        <v>16</v>
      </c>
      <c r="J436" s="7" t="s">
        <v>17</v>
      </c>
      <c r="L436" t="str">
        <f>PROPER(TRIM(SUBSTITUTE(_xlfn.XLOOKUP(B436,Cardholders_Reference!A:A,Cardholders_Reference!B:B),","," ")))</f>
        <v>Kabelo Van Der Merwe</v>
      </c>
      <c r="M436" s="5">
        <f>_xlfn.XLOOKUP(B436,Cardholders_Reference!A:A,Cardholders_Reference!G:G)</f>
        <v>25000</v>
      </c>
      <c r="N436" s="7" t="str">
        <f>_xlfn.XLOOKUP(B436,Cardholders_Reference!A:A,Cardholders_Reference!D:D)</f>
        <v>FNB</v>
      </c>
      <c r="O436" s="7" t="str">
        <f>_xlfn.XLOOKUP(B436,Cardholders_Reference!A:A,Cardholders_Reference!E:E)</f>
        <v>Mastercard</v>
      </c>
      <c r="P436" s="6">
        <f t="shared" si="47"/>
        <v>5.5103599999999996E-2</v>
      </c>
      <c r="Q436">
        <f t="shared" si="42"/>
        <v>0</v>
      </c>
      <c r="R436">
        <f t="shared" si="43"/>
        <v>0</v>
      </c>
      <c r="S436">
        <f>IF(COUNTIFS($B$1:$B$738,B435,$C$1:$C$738,#REF!)&gt;2,1,0)</f>
        <v>0</v>
      </c>
      <c r="T436">
        <f t="shared" si="44"/>
        <v>0</v>
      </c>
      <c r="U436">
        <f t="shared" si="45"/>
        <v>0</v>
      </c>
      <c r="V436">
        <f t="shared" si="46"/>
        <v>0</v>
      </c>
      <c r="W436">
        <f t="shared" si="48"/>
        <v>0</v>
      </c>
      <c r="X436" t="str" cm="1">
        <f t="array" ref="X436">_xlfn.IFS(W436&lt;=1,"Low",W436=2,"Medium",W436&gt;=3,"High")</f>
        <v>Low</v>
      </c>
    </row>
    <row r="437" spans="1:24" x14ac:dyDescent="0.3">
      <c r="A437" t="s">
        <v>892</v>
      </c>
      <c r="B437" t="s">
        <v>889</v>
      </c>
      <c r="C437" s="3">
        <v>45997</v>
      </c>
      <c r="D437" s="8" t="s">
        <v>893</v>
      </c>
      <c r="E437" s="7" t="s">
        <v>39</v>
      </c>
      <c r="F437" s="7" t="s">
        <v>40</v>
      </c>
      <c r="G437" s="7" t="s">
        <v>264</v>
      </c>
      <c r="H437" s="4">
        <v>213.21</v>
      </c>
      <c r="I437" s="7" t="s">
        <v>16</v>
      </c>
      <c r="J437" s="7" t="s">
        <v>41</v>
      </c>
      <c r="L437" t="str">
        <f>PROPER(TRIM(SUBSTITUTE(_xlfn.XLOOKUP(B437,Cardholders_Reference!A:A,Cardholders_Reference!B:B),","," ")))</f>
        <v>Kabelo Van Der Merwe</v>
      </c>
      <c r="M437" s="5">
        <f>_xlfn.XLOOKUP(B437,Cardholders_Reference!A:A,Cardholders_Reference!G:G)</f>
        <v>25000</v>
      </c>
      <c r="N437" s="7" t="str">
        <f>_xlfn.XLOOKUP(B437,Cardholders_Reference!A:A,Cardholders_Reference!D:D)</f>
        <v>FNB</v>
      </c>
      <c r="O437" s="7" t="str">
        <f>_xlfn.XLOOKUP(B437,Cardholders_Reference!A:A,Cardholders_Reference!E:E)</f>
        <v>Mastercard</v>
      </c>
      <c r="P437" s="6">
        <f t="shared" si="47"/>
        <v>8.5284000000000002E-3</v>
      </c>
      <c r="Q437">
        <f t="shared" si="42"/>
        <v>0</v>
      </c>
      <c r="R437">
        <f t="shared" si="43"/>
        <v>0</v>
      </c>
      <c r="S437">
        <f>IF(COUNTIFS($B$1:$B$738,B436,$C$1:$C$738,#REF!)&gt;2,1,0)</f>
        <v>0</v>
      </c>
      <c r="T437">
        <f t="shared" si="44"/>
        <v>0</v>
      </c>
      <c r="U437">
        <f t="shared" si="45"/>
        <v>0</v>
      </c>
      <c r="V437">
        <f t="shared" si="46"/>
        <v>0</v>
      </c>
      <c r="W437">
        <f t="shared" si="48"/>
        <v>0</v>
      </c>
      <c r="X437" t="str" cm="1">
        <f t="array" ref="X437">_xlfn.IFS(W437&lt;=1,"Low",W437=2,"Medium",W437&gt;=3,"High")</f>
        <v>Low</v>
      </c>
    </row>
    <row r="438" spans="1:24" x14ac:dyDescent="0.3">
      <c r="A438" t="s">
        <v>894</v>
      </c>
      <c r="B438" t="s">
        <v>889</v>
      </c>
      <c r="C438" s="3">
        <v>46046</v>
      </c>
      <c r="D438" s="8" t="s">
        <v>895</v>
      </c>
      <c r="E438" s="7" t="s">
        <v>90</v>
      </c>
      <c r="F438" s="7" t="s">
        <v>91</v>
      </c>
      <c r="G438" s="7" t="s">
        <v>264</v>
      </c>
      <c r="H438" s="4">
        <v>1035.96</v>
      </c>
      <c r="I438" s="7" t="s">
        <v>26</v>
      </c>
      <c r="J438" s="7" t="s">
        <v>17</v>
      </c>
      <c r="L438" t="str">
        <f>PROPER(TRIM(SUBSTITUTE(_xlfn.XLOOKUP(B438,Cardholders_Reference!A:A,Cardholders_Reference!B:B),","," ")))</f>
        <v>Kabelo Van Der Merwe</v>
      </c>
      <c r="M438" s="5">
        <f>_xlfn.XLOOKUP(B438,Cardholders_Reference!A:A,Cardholders_Reference!G:G)</f>
        <v>25000</v>
      </c>
      <c r="N438" s="7" t="str">
        <f>_xlfn.XLOOKUP(B438,Cardholders_Reference!A:A,Cardholders_Reference!D:D)</f>
        <v>FNB</v>
      </c>
      <c r="O438" s="7" t="str">
        <f>_xlfn.XLOOKUP(B438,Cardholders_Reference!A:A,Cardholders_Reference!E:E)</f>
        <v>Mastercard</v>
      </c>
      <c r="P438" s="6">
        <f t="shared" si="47"/>
        <v>4.14384E-2</v>
      </c>
      <c r="Q438">
        <f t="shared" si="42"/>
        <v>0</v>
      </c>
      <c r="R438">
        <f t="shared" si="43"/>
        <v>0</v>
      </c>
      <c r="S438">
        <f>IF(COUNTIFS($B$1:$B$738,B437,$C$1:$C$738,#REF!)&gt;2,1,0)</f>
        <v>0</v>
      </c>
      <c r="T438">
        <f t="shared" si="44"/>
        <v>0</v>
      </c>
      <c r="U438">
        <f t="shared" si="45"/>
        <v>0</v>
      </c>
      <c r="V438">
        <f t="shared" si="46"/>
        <v>1</v>
      </c>
      <c r="W438">
        <f t="shared" si="48"/>
        <v>1</v>
      </c>
      <c r="X438" t="str" cm="1">
        <f t="array" ref="X438">_xlfn.IFS(W438&lt;=1,"Low",W438=2,"Medium",W438&gt;=3,"High")</f>
        <v>Low</v>
      </c>
    </row>
    <row r="439" spans="1:24" x14ac:dyDescent="0.3">
      <c r="A439" t="s">
        <v>896</v>
      </c>
      <c r="B439" t="s">
        <v>889</v>
      </c>
      <c r="C439" s="3">
        <v>45957</v>
      </c>
      <c r="D439" s="8" t="s">
        <v>452</v>
      </c>
      <c r="E439" s="7" t="s">
        <v>126</v>
      </c>
      <c r="F439" s="7" t="s">
        <v>53</v>
      </c>
      <c r="G439" s="7" t="s">
        <v>264</v>
      </c>
      <c r="H439" s="4">
        <v>1571.52</v>
      </c>
      <c r="I439" s="7" t="s">
        <v>26</v>
      </c>
      <c r="J439" s="7" t="s">
        <v>41</v>
      </c>
      <c r="L439" t="str">
        <f>PROPER(TRIM(SUBSTITUTE(_xlfn.XLOOKUP(B439,Cardholders_Reference!A:A,Cardholders_Reference!B:B),","," ")))</f>
        <v>Kabelo Van Der Merwe</v>
      </c>
      <c r="M439" s="5">
        <f>_xlfn.XLOOKUP(B439,Cardholders_Reference!A:A,Cardholders_Reference!G:G)</f>
        <v>25000</v>
      </c>
      <c r="N439" s="7" t="str">
        <f>_xlfn.XLOOKUP(B439,Cardholders_Reference!A:A,Cardholders_Reference!D:D)</f>
        <v>FNB</v>
      </c>
      <c r="O439" s="7" t="str">
        <f>_xlfn.XLOOKUP(B439,Cardholders_Reference!A:A,Cardholders_Reference!E:E)</f>
        <v>Mastercard</v>
      </c>
      <c r="P439" s="6">
        <f t="shared" si="47"/>
        <v>6.2860799999999994E-2</v>
      </c>
      <c r="Q439">
        <f t="shared" si="42"/>
        <v>0</v>
      </c>
      <c r="R439">
        <f t="shared" si="43"/>
        <v>0</v>
      </c>
      <c r="S439">
        <f>IF(COUNTIFS($B$1:$B$738,B438,$C$1:$C$738,#REF!)&gt;2,1,0)</f>
        <v>0</v>
      </c>
      <c r="T439">
        <f t="shared" si="44"/>
        <v>0</v>
      </c>
      <c r="U439">
        <f t="shared" si="45"/>
        <v>0</v>
      </c>
      <c r="V439">
        <f t="shared" si="46"/>
        <v>1</v>
      </c>
      <c r="W439">
        <f t="shared" si="48"/>
        <v>1</v>
      </c>
      <c r="X439" t="str" cm="1">
        <f t="array" ref="X439">_xlfn.IFS(W439&lt;=1,"Low",W439=2,"Medium",W439&gt;=3,"High")</f>
        <v>Low</v>
      </c>
    </row>
    <row r="440" spans="1:24" x14ac:dyDescent="0.3">
      <c r="A440" t="s">
        <v>897</v>
      </c>
      <c r="B440" t="s">
        <v>889</v>
      </c>
      <c r="C440" s="3">
        <v>46297</v>
      </c>
      <c r="D440" s="8" t="s">
        <v>281</v>
      </c>
      <c r="E440" s="7" t="s">
        <v>57</v>
      </c>
      <c r="F440" s="7" t="s">
        <v>36</v>
      </c>
      <c r="G440" s="7" t="s">
        <v>264</v>
      </c>
      <c r="H440" s="4">
        <v>472.45</v>
      </c>
      <c r="I440" s="7" t="s">
        <v>26</v>
      </c>
      <c r="J440" s="7" t="s">
        <v>17</v>
      </c>
      <c r="L440" t="str">
        <f>PROPER(TRIM(SUBSTITUTE(_xlfn.XLOOKUP(B440,Cardholders_Reference!A:A,Cardholders_Reference!B:B),","," ")))</f>
        <v>Kabelo Van Der Merwe</v>
      </c>
      <c r="M440" s="5">
        <f>_xlfn.XLOOKUP(B440,Cardholders_Reference!A:A,Cardholders_Reference!G:G)</f>
        <v>25000</v>
      </c>
      <c r="N440" s="7" t="str">
        <f>_xlfn.XLOOKUP(B440,Cardholders_Reference!A:A,Cardholders_Reference!D:D)</f>
        <v>FNB</v>
      </c>
      <c r="O440" s="7" t="str">
        <f>_xlfn.XLOOKUP(B440,Cardholders_Reference!A:A,Cardholders_Reference!E:E)</f>
        <v>Mastercard</v>
      </c>
      <c r="P440" s="6">
        <f t="shared" si="47"/>
        <v>1.8897999999999998E-2</v>
      </c>
      <c r="Q440">
        <f t="shared" si="42"/>
        <v>0</v>
      </c>
      <c r="R440">
        <f t="shared" si="43"/>
        <v>0</v>
      </c>
      <c r="S440">
        <f>IF(COUNTIFS($B$1:$B$738,B439,$C$1:$C$738,#REF!)&gt;2,1,0)</f>
        <v>0</v>
      </c>
      <c r="T440">
        <f t="shared" si="44"/>
        <v>0</v>
      </c>
      <c r="U440">
        <f t="shared" si="45"/>
        <v>0</v>
      </c>
      <c r="V440">
        <f t="shared" si="46"/>
        <v>1</v>
      </c>
      <c r="W440">
        <f t="shared" si="48"/>
        <v>1</v>
      </c>
      <c r="X440" t="str" cm="1">
        <f t="array" ref="X440">_xlfn.IFS(W440&lt;=1,"Low",W440=2,"Medium",W440&gt;=3,"High")</f>
        <v>Low</v>
      </c>
    </row>
    <row r="441" spans="1:24" x14ac:dyDescent="0.3">
      <c r="A441" t="s">
        <v>898</v>
      </c>
      <c r="B441" t="s">
        <v>889</v>
      </c>
      <c r="C441" s="3">
        <v>46178</v>
      </c>
      <c r="D441" s="8" t="s">
        <v>899</v>
      </c>
      <c r="E441" s="7" t="s">
        <v>121</v>
      </c>
      <c r="F441" s="7" t="s">
        <v>36</v>
      </c>
      <c r="G441" s="7" t="s">
        <v>264</v>
      </c>
      <c r="H441" s="4">
        <v>423.69</v>
      </c>
      <c r="I441" s="7" t="s">
        <v>32</v>
      </c>
      <c r="J441" s="7" t="s">
        <v>17</v>
      </c>
      <c r="L441" t="str">
        <f>PROPER(TRIM(SUBSTITUTE(_xlfn.XLOOKUP(B441,Cardholders_Reference!A:A,Cardholders_Reference!B:B),","," ")))</f>
        <v>Kabelo Van Der Merwe</v>
      </c>
      <c r="M441" s="5">
        <f>_xlfn.XLOOKUP(B441,Cardholders_Reference!A:A,Cardholders_Reference!G:G)</f>
        <v>25000</v>
      </c>
      <c r="N441" s="7" t="str">
        <f>_xlfn.XLOOKUP(B441,Cardholders_Reference!A:A,Cardholders_Reference!D:D)</f>
        <v>FNB</v>
      </c>
      <c r="O441" s="7" t="str">
        <f>_xlfn.XLOOKUP(B441,Cardholders_Reference!A:A,Cardholders_Reference!E:E)</f>
        <v>Mastercard</v>
      </c>
      <c r="P441" s="6">
        <f t="shared" si="47"/>
        <v>1.69476E-2</v>
      </c>
      <c r="Q441">
        <f t="shared" si="42"/>
        <v>0</v>
      </c>
      <c r="R441">
        <f t="shared" si="43"/>
        <v>0</v>
      </c>
      <c r="S441">
        <f>IF(COUNTIFS($B$1:$B$738,B440,$C$1:$C$738,#REF!)&gt;2,1,0)</f>
        <v>0</v>
      </c>
      <c r="T441">
        <f t="shared" si="44"/>
        <v>0</v>
      </c>
      <c r="U441">
        <f t="shared" si="45"/>
        <v>0</v>
      </c>
      <c r="V441">
        <f t="shared" si="46"/>
        <v>0</v>
      </c>
      <c r="W441">
        <f t="shared" si="48"/>
        <v>0</v>
      </c>
      <c r="X441" t="str" cm="1">
        <f t="array" ref="X441">_xlfn.IFS(W441&lt;=1,"Low",W441=2,"Medium",W441&gt;=3,"High")</f>
        <v>Low</v>
      </c>
    </row>
    <row r="442" spans="1:24" x14ac:dyDescent="0.3">
      <c r="A442" t="s">
        <v>900</v>
      </c>
      <c r="B442" t="s">
        <v>889</v>
      </c>
      <c r="C442" s="3">
        <v>45941</v>
      </c>
      <c r="D442" s="8" t="s">
        <v>901</v>
      </c>
      <c r="E442" s="7" t="s">
        <v>73</v>
      </c>
      <c r="F442" s="7" t="s">
        <v>74</v>
      </c>
      <c r="G442" s="7" t="s">
        <v>264</v>
      </c>
      <c r="H442" s="4">
        <v>259</v>
      </c>
      <c r="I442" s="7" t="s">
        <v>95</v>
      </c>
      <c r="J442" s="7" t="s">
        <v>41</v>
      </c>
      <c r="L442" t="str">
        <f>PROPER(TRIM(SUBSTITUTE(_xlfn.XLOOKUP(B442,Cardholders_Reference!A:A,Cardholders_Reference!B:B),","," ")))</f>
        <v>Kabelo Van Der Merwe</v>
      </c>
      <c r="M442" s="5">
        <f>_xlfn.XLOOKUP(B442,Cardholders_Reference!A:A,Cardholders_Reference!G:G)</f>
        <v>25000</v>
      </c>
      <c r="N442" s="7" t="str">
        <f>_xlfn.XLOOKUP(B442,Cardholders_Reference!A:A,Cardholders_Reference!D:D)</f>
        <v>FNB</v>
      </c>
      <c r="O442" s="7" t="str">
        <f>_xlfn.XLOOKUP(B442,Cardholders_Reference!A:A,Cardholders_Reference!E:E)</f>
        <v>Mastercard</v>
      </c>
      <c r="P442" s="6">
        <f t="shared" si="47"/>
        <v>1.0359999999999999E-2</v>
      </c>
      <c r="Q442">
        <f t="shared" si="42"/>
        <v>0</v>
      </c>
      <c r="R442">
        <f t="shared" si="43"/>
        <v>0</v>
      </c>
      <c r="S442">
        <f>IF(COUNTIFS($B$1:$B$738,B441,$C$1:$C$738,#REF!)&gt;2,1,0)</f>
        <v>0</v>
      </c>
      <c r="T442">
        <f t="shared" si="44"/>
        <v>0</v>
      </c>
      <c r="U442">
        <f t="shared" si="45"/>
        <v>0</v>
      </c>
      <c r="V442">
        <f t="shared" si="46"/>
        <v>1</v>
      </c>
      <c r="W442">
        <f t="shared" si="48"/>
        <v>1</v>
      </c>
      <c r="X442" t="str" cm="1">
        <f t="array" ref="X442">_xlfn.IFS(W442&lt;=1,"Low",W442=2,"Medium",W442&gt;=3,"High")</f>
        <v>Low</v>
      </c>
    </row>
    <row r="443" spans="1:24" x14ac:dyDescent="0.3">
      <c r="A443" t="s">
        <v>902</v>
      </c>
      <c r="B443" t="s">
        <v>889</v>
      </c>
      <c r="C443" s="3">
        <v>45923</v>
      </c>
      <c r="D443" s="8" t="s">
        <v>524</v>
      </c>
      <c r="E443" s="7" t="s">
        <v>111</v>
      </c>
      <c r="F443" s="7" t="s">
        <v>48</v>
      </c>
      <c r="G443" s="7" t="s">
        <v>264</v>
      </c>
      <c r="H443" s="4">
        <v>1285.7</v>
      </c>
      <c r="I443" s="7" t="s">
        <v>26</v>
      </c>
      <c r="J443" s="7" t="s">
        <v>17</v>
      </c>
      <c r="L443" t="str">
        <f>PROPER(TRIM(SUBSTITUTE(_xlfn.XLOOKUP(B443,Cardholders_Reference!A:A,Cardholders_Reference!B:B),","," ")))</f>
        <v>Kabelo Van Der Merwe</v>
      </c>
      <c r="M443" s="5">
        <f>_xlfn.XLOOKUP(B443,Cardholders_Reference!A:A,Cardholders_Reference!G:G)</f>
        <v>25000</v>
      </c>
      <c r="N443" s="7" t="str">
        <f>_xlfn.XLOOKUP(B443,Cardholders_Reference!A:A,Cardholders_Reference!D:D)</f>
        <v>FNB</v>
      </c>
      <c r="O443" s="7" t="str">
        <f>_xlfn.XLOOKUP(B443,Cardholders_Reference!A:A,Cardholders_Reference!E:E)</f>
        <v>Mastercard</v>
      </c>
      <c r="P443" s="6">
        <f t="shared" si="47"/>
        <v>5.1428000000000001E-2</v>
      </c>
      <c r="Q443">
        <f t="shared" si="42"/>
        <v>0</v>
      </c>
      <c r="R443">
        <f t="shared" si="43"/>
        <v>0</v>
      </c>
      <c r="S443">
        <f>IF(COUNTIFS($B$1:$B$738,B442,$C$1:$C$738,#REF!)&gt;2,1,0)</f>
        <v>0</v>
      </c>
      <c r="T443">
        <f t="shared" si="44"/>
        <v>0</v>
      </c>
      <c r="U443">
        <f t="shared" si="45"/>
        <v>0</v>
      </c>
      <c r="V443">
        <f t="shared" si="46"/>
        <v>1</v>
      </c>
      <c r="W443">
        <f t="shared" si="48"/>
        <v>1</v>
      </c>
      <c r="X443" t="str" cm="1">
        <f t="array" ref="X443">_xlfn.IFS(W443&lt;=1,"Low",W443=2,"Medium",W443&gt;=3,"High")</f>
        <v>Low</v>
      </c>
    </row>
    <row r="444" spans="1:24" x14ac:dyDescent="0.3">
      <c r="A444" t="s">
        <v>903</v>
      </c>
      <c r="B444" t="s">
        <v>889</v>
      </c>
      <c r="C444" s="3">
        <v>46148</v>
      </c>
      <c r="D444" s="8" t="s">
        <v>67</v>
      </c>
      <c r="E444" s="7" t="s">
        <v>52</v>
      </c>
      <c r="F444" s="7" t="s">
        <v>53</v>
      </c>
      <c r="G444" s="7" t="s">
        <v>264</v>
      </c>
      <c r="H444" s="4">
        <v>689.71</v>
      </c>
      <c r="I444" s="7" t="s">
        <v>26</v>
      </c>
      <c r="J444" s="7" t="s">
        <v>17</v>
      </c>
      <c r="L444" t="str">
        <f>PROPER(TRIM(SUBSTITUTE(_xlfn.XLOOKUP(B444,Cardholders_Reference!A:A,Cardholders_Reference!B:B),","," ")))</f>
        <v>Kabelo Van Der Merwe</v>
      </c>
      <c r="M444" s="5">
        <f>_xlfn.XLOOKUP(B444,Cardholders_Reference!A:A,Cardholders_Reference!G:G)</f>
        <v>25000</v>
      </c>
      <c r="N444" s="7" t="str">
        <f>_xlfn.XLOOKUP(B444,Cardholders_Reference!A:A,Cardholders_Reference!D:D)</f>
        <v>FNB</v>
      </c>
      <c r="O444" s="7" t="str">
        <f>_xlfn.XLOOKUP(B444,Cardholders_Reference!A:A,Cardholders_Reference!E:E)</f>
        <v>Mastercard</v>
      </c>
      <c r="P444" s="6">
        <f t="shared" si="47"/>
        <v>2.7588400000000003E-2</v>
      </c>
      <c r="Q444">
        <f t="shared" si="42"/>
        <v>0</v>
      </c>
      <c r="R444">
        <f t="shared" si="43"/>
        <v>0</v>
      </c>
      <c r="S444">
        <f>IF(COUNTIFS($B$1:$B$738,B443,$C$1:$C$738,#REF!)&gt;2,1,0)</f>
        <v>0</v>
      </c>
      <c r="T444">
        <f t="shared" si="44"/>
        <v>0</v>
      </c>
      <c r="U444">
        <f t="shared" si="45"/>
        <v>0</v>
      </c>
      <c r="V444">
        <f t="shared" si="46"/>
        <v>1</v>
      </c>
      <c r="W444">
        <f t="shared" si="48"/>
        <v>1</v>
      </c>
      <c r="X444" t="str" cm="1">
        <f t="array" ref="X444">_xlfn.IFS(W444&lt;=1,"Low",W444=2,"Medium",W444&gt;=3,"High")</f>
        <v>Low</v>
      </c>
    </row>
    <row r="445" spans="1:24" x14ac:dyDescent="0.3">
      <c r="A445" t="s">
        <v>904</v>
      </c>
      <c r="B445" t="s">
        <v>889</v>
      </c>
      <c r="C445" s="3">
        <v>46091</v>
      </c>
      <c r="D445" s="8" t="s">
        <v>1439</v>
      </c>
      <c r="E445" s="7" t="s">
        <v>220</v>
      </c>
      <c r="F445" s="7" t="s">
        <v>91</v>
      </c>
      <c r="G445" s="7" t="s">
        <v>177</v>
      </c>
      <c r="H445" s="4">
        <v>3227.82</v>
      </c>
      <c r="I445" s="7" t="s">
        <v>32</v>
      </c>
      <c r="J445" s="7" t="s">
        <v>17</v>
      </c>
      <c r="L445" t="str">
        <f>PROPER(TRIM(SUBSTITUTE(_xlfn.XLOOKUP(B445,Cardholders_Reference!A:A,Cardholders_Reference!B:B),","," ")))</f>
        <v>Kabelo Van Der Merwe</v>
      </c>
      <c r="M445" s="5">
        <f>_xlfn.XLOOKUP(B445,Cardholders_Reference!A:A,Cardholders_Reference!G:G)</f>
        <v>25000</v>
      </c>
      <c r="N445" s="7" t="str">
        <f>_xlfn.XLOOKUP(B445,Cardholders_Reference!A:A,Cardholders_Reference!D:D)</f>
        <v>FNB</v>
      </c>
      <c r="O445" s="7" t="str">
        <f>_xlfn.XLOOKUP(B445,Cardholders_Reference!A:A,Cardholders_Reference!E:E)</f>
        <v>Mastercard</v>
      </c>
      <c r="P445" s="6">
        <f t="shared" si="47"/>
        <v>0.1291128</v>
      </c>
      <c r="Q445">
        <f t="shared" si="42"/>
        <v>0</v>
      </c>
      <c r="R445">
        <f t="shared" si="43"/>
        <v>1</v>
      </c>
      <c r="S445">
        <f>IF(COUNTIFS($B$1:$B$738,B444,$C$1:$C$738,#REF!)&gt;2,1,0)</f>
        <v>0</v>
      </c>
      <c r="T445">
        <f t="shared" si="44"/>
        <v>0</v>
      </c>
      <c r="U445">
        <f t="shared" si="45"/>
        <v>0</v>
      </c>
      <c r="V445">
        <f t="shared" si="46"/>
        <v>0</v>
      </c>
      <c r="W445">
        <f t="shared" si="48"/>
        <v>1</v>
      </c>
      <c r="X445" t="str" cm="1">
        <f t="array" ref="X445">_xlfn.IFS(W445&lt;=1,"Low",W445=2,"Medium",W445&gt;=3,"High")</f>
        <v>Low</v>
      </c>
    </row>
    <row r="446" spans="1:24" x14ac:dyDescent="0.3">
      <c r="A446" t="s">
        <v>905</v>
      </c>
      <c r="B446" t="s">
        <v>889</v>
      </c>
      <c r="C446" s="3">
        <v>45966</v>
      </c>
      <c r="D446" s="8" t="s">
        <v>1439</v>
      </c>
      <c r="E446" s="7" t="s">
        <v>121</v>
      </c>
      <c r="F446" s="7" t="s">
        <v>36</v>
      </c>
      <c r="G446" s="7" t="s">
        <v>264</v>
      </c>
      <c r="H446" s="4">
        <v>643.41999999999996</v>
      </c>
      <c r="I446" s="7" t="s">
        <v>95</v>
      </c>
      <c r="J446" s="7" t="s">
        <v>17</v>
      </c>
      <c r="L446" t="str">
        <f>PROPER(TRIM(SUBSTITUTE(_xlfn.XLOOKUP(B446,Cardholders_Reference!A:A,Cardholders_Reference!B:B),","," ")))</f>
        <v>Kabelo Van Der Merwe</v>
      </c>
      <c r="M446" s="5">
        <f>_xlfn.XLOOKUP(B446,Cardholders_Reference!A:A,Cardholders_Reference!G:G)</f>
        <v>25000</v>
      </c>
      <c r="N446" s="7" t="str">
        <f>_xlfn.XLOOKUP(B446,Cardholders_Reference!A:A,Cardholders_Reference!D:D)</f>
        <v>FNB</v>
      </c>
      <c r="O446" s="7" t="str">
        <f>_xlfn.XLOOKUP(B446,Cardholders_Reference!A:A,Cardholders_Reference!E:E)</f>
        <v>Mastercard</v>
      </c>
      <c r="P446" s="6">
        <f t="shared" si="47"/>
        <v>2.5736799999999997E-2</v>
      </c>
      <c r="Q446">
        <f t="shared" si="42"/>
        <v>1</v>
      </c>
      <c r="R446">
        <f t="shared" si="43"/>
        <v>1</v>
      </c>
      <c r="S446">
        <f>IF(COUNTIFS($B$1:$B$738,B445,$C$1:$C$738,#REF!)&gt;2,1,0)</f>
        <v>0</v>
      </c>
      <c r="T446">
        <f t="shared" si="44"/>
        <v>0</v>
      </c>
      <c r="U446">
        <f t="shared" si="45"/>
        <v>0</v>
      </c>
      <c r="V446">
        <f t="shared" si="46"/>
        <v>1</v>
      </c>
      <c r="W446">
        <f t="shared" si="48"/>
        <v>3</v>
      </c>
      <c r="X446" t="str" cm="1">
        <f t="array" ref="X446">_xlfn.IFS(W446&lt;=1,"Low",W446=2,"Medium",W446&gt;=3,"High")</f>
        <v>High</v>
      </c>
    </row>
    <row r="447" spans="1:24" x14ac:dyDescent="0.3">
      <c r="A447" t="s">
        <v>906</v>
      </c>
      <c r="B447" t="s">
        <v>907</v>
      </c>
      <c r="C447" s="3">
        <v>46067</v>
      </c>
      <c r="D447" s="8" t="s">
        <v>908</v>
      </c>
      <c r="E447" s="7" t="s">
        <v>137</v>
      </c>
      <c r="F447" s="7" t="s">
        <v>40</v>
      </c>
      <c r="G447" s="7" t="s">
        <v>264</v>
      </c>
      <c r="H447" s="4">
        <v>311.89999999999998</v>
      </c>
      <c r="I447" s="7" t="s">
        <v>32</v>
      </c>
      <c r="J447" s="7" t="s">
        <v>17</v>
      </c>
      <c r="L447" t="str">
        <f>PROPER(TRIM(SUBSTITUTE(_xlfn.XLOOKUP(B447,Cardholders_Reference!A:A,Cardholders_Reference!B:B),","," ")))</f>
        <v>Mariam Naidoo</v>
      </c>
      <c r="M447" s="5">
        <f>_xlfn.XLOOKUP(B447,Cardholders_Reference!A:A,Cardholders_Reference!G:G)</f>
        <v>20000</v>
      </c>
      <c r="N447" s="7" t="str">
        <f>_xlfn.XLOOKUP(B447,Cardholders_Reference!A:A,Cardholders_Reference!D:D)</f>
        <v>Nedbank</v>
      </c>
      <c r="O447" s="7" t="str">
        <f>_xlfn.XLOOKUP(B447,Cardholders_Reference!A:A,Cardholders_Reference!E:E)</f>
        <v>Visa</v>
      </c>
      <c r="P447" s="6">
        <f t="shared" si="47"/>
        <v>1.5594999999999999E-2</v>
      </c>
      <c r="Q447">
        <f t="shared" si="42"/>
        <v>0</v>
      </c>
      <c r="R447">
        <f t="shared" si="43"/>
        <v>0</v>
      </c>
      <c r="S447">
        <f>IF(COUNTIFS($B$1:$B$738,B446,$C$1:$C$738,#REF!)&gt;2,1,0)</f>
        <v>0</v>
      </c>
      <c r="T447">
        <f t="shared" si="44"/>
        <v>0</v>
      </c>
      <c r="U447">
        <f t="shared" si="45"/>
        <v>0</v>
      </c>
      <c r="V447">
        <f t="shared" si="46"/>
        <v>0</v>
      </c>
      <c r="W447">
        <f t="shared" si="48"/>
        <v>0</v>
      </c>
      <c r="X447" t="str" cm="1">
        <f t="array" ref="X447">_xlfn.IFS(W447&lt;=1,"Low",W447=2,"Medium",W447&gt;=3,"High")</f>
        <v>Low</v>
      </c>
    </row>
    <row r="448" spans="1:24" x14ac:dyDescent="0.3">
      <c r="A448" t="s">
        <v>909</v>
      </c>
      <c r="B448" t="s">
        <v>907</v>
      </c>
      <c r="C448" s="3">
        <v>46362</v>
      </c>
      <c r="D448" s="8" t="s">
        <v>910</v>
      </c>
      <c r="E448" s="7" t="s">
        <v>215</v>
      </c>
      <c r="F448" s="7" t="s">
        <v>15</v>
      </c>
      <c r="G448" s="7" t="s">
        <v>264</v>
      </c>
      <c r="H448" s="4">
        <v>4011.66</v>
      </c>
      <c r="I448" s="7" t="s">
        <v>32</v>
      </c>
      <c r="J448" s="7" t="s">
        <v>41</v>
      </c>
      <c r="L448" t="str">
        <f>PROPER(TRIM(SUBSTITUTE(_xlfn.XLOOKUP(B448,Cardholders_Reference!A:A,Cardholders_Reference!B:B),","," ")))</f>
        <v>Mariam Naidoo</v>
      </c>
      <c r="M448" s="5">
        <f>_xlfn.XLOOKUP(B448,Cardholders_Reference!A:A,Cardholders_Reference!G:G)</f>
        <v>20000</v>
      </c>
      <c r="N448" s="7" t="str">
        <f>_xlfn.XLOOKUP(B448,Cardholders_Reference!A:A,Cardholders_Reference!D:D)</f>
        <v>Nedbank</v>
      </c>
      <c r="O448" s="7" t="str">
        <f>_xlfn.XLOOKUP(B448,Cardholders_Reference!A:A,Cardholders_Reference!E:E)</f>
        <v>Visa</v>
      </c>
      <c r="P448" s="6">
        <f t="shared" si="47"/>
        <v>0.20058299999999998</v>
      </c>
      <c r="Q448">
        <f t="shared" si="42"/>
        <v>0</v>
      </c>
      <c r="R448">
        <f t="shared" si="43"/>
        <v>0</v>
      </c>
      <c r="S448">
        <f>IF(COUNTIFS($B$1:$B$738,B447,$C$1:$C$738,#REF!)&gt;2,1,0)</f>
        <v>0</v>
      </c>
      <c r="T448">
        <f t="shared" si="44"/>
        <v>0</v>
      </c>
      <c r="U448">
        <f t="shared" si="45"/>
        <v>0</v>
      </c>
      <c r="V448">
        <f t="shared" si="46"/>
        <v>0</v>
      </c>
      <c r="W448">
        <f t="shared" si="48"/>
        <v>0</v>
      </c>
      <c r="X448" t="str" cm="1">
        <f t="array" ref="X448">_xlfn.IFS(W448&lt;=1,"Low",W448=2,"Medium",W448&gt;=3,"High")</f>
        <v>Low</v>
      </c>
    </row>
    <row r="449" spans="1:24" x14ac:dyDescent="0.3">
      <c r="A449" t="s">
        <v>911</v>
      </c>
      <c r="B449" t="s">
        <v>907</v>
      </c>
      <c r="C449" s="3">
        <v>46134</v>
      </c>
      <c r="D449" s="8" t="s">
        <v>912</v>
      </c>
      <c r="E449" s="7" t="s">
        <v>230</v>
      </c>
      <c r="F449" s="7" t="s">
        <v>81</v>
      </c>
      <c r="G449" s="7" t="s">
        <v>177</v>
      </c>
      <c r="H449" s="4">
        <v>11654.58</v>
      </c>
      <c r="I449" s="7" t="s">
        <v>26</v>
      </c>
      <c r="J449" s="7" t="s">
        <v>17</v>
      </c>
      <c r="L449" t="str">
        <f>PROPER(TRIM(SUBSTITUTE(_xlfn.XLOOKUP(B449,Cardholders_Reference!A:A,Cardholders_Reference!B:B),","," ")))</f>
        <v>Mariam Naidoo</v>
      </c>
      <c r="M449" s="5">
        <f>_xlfn.XLOOKUP(B449,Cardholders_Reference!A:A,Cardholders_Reference!G:G)</f>
        <v>20000</v>
      </c>
      <c r="N449" s="7" t="str">
        <f>_xlfn.XLOOKUP(B449,Cardholders_Reference!A:A,Cardholders_Reference!D:D)</f>
        <v>Nedbank</v>
      </c>
      <c r="O449" s="7" t="str">
        <f>_xlfn.XLOOKUP(B449,Cardholders_Reference!A:A,Cardholders_Reference!E:E)</f>
        <v>Visa</v>
      </c>
      <c r="P449" s="6">
        <f t="shared" si="47"/>
        <v>0.58272899999999994</v>
      </c>
      <c r="Q449">
        <f t="shared" si="42"/>
        <v>0</v>
      </c>
      <c r="R449">
        <f t="shared" si="43"/>
        <v>0</v>
      </c>
      <c r="S449">
        <f>IF(COUNTIFS($B$1:$B$738,B448,$C$1:$C$738,#REF!)&gt;2,1,0)</f>
        <v>0</v>
      </c>
      <c r="T449">
        <f t="shared" si="44"/>
        <v>0</v>
      </c>
      <c r="U449">
        <f t="shared" si="45"/>
        <v>0</v>
      </c>
      <c r="V449">
        <f t="shared" si="46"/>
        <v>1</v>
      </c>
      <c r="W449">
        <f t="shared" si="48"/>
        <v>1</v>
      </c>
      <c r="X449" t="str" cm="1">
        <f t="array" ref="X449">_xlfn.IFS(W449&lt;=1,"Low",W449=2,"Medium",W449&gt;=3,"High")</f>
        <v>Low</v>
      </c>
    </row>
    <row r="450" spans="1:24" x14ac:dyDescent="0.3">
      <c r="A450" t="s">
        <v>913</v>
      </c>
      <c r="B450" t="s">
        <v>907</v>
      </c>
      <c r="C450" s="3">
        <v>46099</v>
      </c>
      <c r="D450" s="8" t="s">
        <v>914</v>
      </c>
      <c r="E450" s="7" t="s">
        <v>242</v>
      </c>
      <c r="F450" s="7" t="s">
        <v>15</v>
      </c>
      <c r="G450" s="7" t="s">
        <v>264</v>
      </c>
      <c r="H450" s="4">
        <v>3704.61</v>
      </c>
      <c r="I450" s="7" t="s">
        <v>95</v>
      </c>
      <c r="J450" s="7" t="s">
        <v>17</v>
      </c>
      <c r="L450" t="str">
        <f>PROPER(TRIM(SUBSTITUTE(_xlfn.XLOOKUP(B450,Cardholders_Reference!A:A,Cardholders_Reference!B:B),","," ")))</f>
        <v>Mariam Naidoo</v>
      </c>
      <c r="M450" s="5">
        <f>_xlfn.XLOOKUP(B450,Cardholders_Reference!A:A,Cardholders_Reference!G:G)</f>
        <v>20000</v>
      </c>
      <c r="N450" s="7" t="str">
        <f>_xlfn.XLOOKUP(B450,Cardholders_Reference!A:A,Cardholders_Reference!D:D)</f>
        <v>Nedbank</v>
      </c>
      <c r="O450" s="7" t="str">
        <f>_xlfn.XLOOKUP(B450,Cardholders_Reference!A:A,Cardholders_Reference!E:E)</f>
        <v>Visa</v>
      </c>
      <c r="P450" s="6">
        <f t="shared" si="47"/>
        <v>0.18523050000000002</v>
      </c>
      <c r="Q450">
        <f t="shared" ref="Q450:Q513" si="49">IF(COUNTIFS($B$1:$B$738,B449,$G$1:$G$738,G449)/COUNTIF($B$1:$B$738,B449)&lt;0.5,1,0)</f>
        <v>1</v>
      </c>
      <c r="R450">
        <f t="shared" ref="R450:R513" si="50">IF(D450="Unknown",1,IF(OR(TIMEVALUE(D450)&lt;TIME(5,0,0),TIMEVALUE(D450)&gt;=TIME(23,0,0)),1,0))</f>
        <v>0</v>
      </c>
      <c r="S450">
        <f>IF(COUNTIFS($B$1:$B$738,B449,$C$1:$C$738,#REF!)&gt;2,1,0)</f>
        <v>0</v>
      </c>
      <c r="T450">
        <f t="shared" ref="T450:T513" si="51">IF(P449&gt;0.4,1,0)</f>
        <v>1</v>
      </c>
      <c r="U450">
        <f t="shared" ref="U450:U513" si="52">IF(OR(F449="Gambling",F449="ATM Withdrawal"),1,0)</f>
        <v>0</v>
      </c>
      <c r="V450">
        <f t="shared" ref="V450:V513" si="53">IF(OR(I450="Card Not Present (Phone)",I450="Online"),1,0)</f>
        <v>1</v>
      </c>
      <c r="W450">
        <f t="shared" si="48"/>
        <v>3</v>
      </c>
      <c r="X450" t="str" cm="1">
        <f t="array" ref="X450">_xlfn.IFS(W450&lt;=1,"Low",W450=2,"Medium",W450&gt;=3,"High")</f>
        <v>High</v>
      </c>
    </row>
    <row r="451" spans="1:24" x14ac:dyDescent="0.3">
      <c r="A451" t="s">
        <v>915</v>
      </c>
      <c r="B451" t="s">
        <v>907</v>
      </c>
      <c r="C451" s="3">
        <v>45732</v>
      </c>
      <c r="D451" s="8" t="s">
        <v>147</v>
      </c>
      <c r="E451" s="7" t="s">
        <v>24</v>
      </c>
      <c r="F451" s="7" t="s">
        <v>25</v>
      </c>
      <c r="G451" s="7" t="s">
        <v>250</v>
      </c>
      <c r="H451" s="4">
        <v>740.85</v>
      </c>
      <c r="I451" s="7" t="s">
        <v>32</v>
      </c>
      <c r="J451" s="7" t="s">
        <v>17</v>
      </c>
      <c r="L451" t="str">
        <f>PROPER(TRIM(SUBSTITUTE(_xlfn.XLOOKUP(B451,Cardholders_Reference!A:A,Cardholders_Reference!B:B),","," ")))</f>
        <v>Mariam Naidoo</v>
      </c>
      <c r="M451" s="5">
        <f>_xlfn.XLOOKUP(B451,Cardholders_Reference!A:A,Cardholders_Reference!G:G)</f>
        <v>20000</v>
      </c>
      <c r="N451" s="7" t="str">
        <f>_xlfn.XLOOKUP(B451,Cardholders_Reference!A:A,Cardholders_Reference!D:D)</f>
        <v>Nedbank</v>
      </c>
      <c r="O451" s="7" t="str">
        <f>_xlfn.XLOOKUP(B451,Cardholders_Reference!A:A,Cardholders_Reference!E:E)</f>
        <v>Visa</v>
      </c>
      <c r="P451" s="6">
        <f t="shared" ref="P451:P514" si="54">H451/M451</f>
        <v>3.7042499999999999E-2</v>
      </c>
      <c r="Q451">
        <f t="shared" si="49"/>
        <v>0</v>
      </c>
      <c r="R451">
        <f t="shared" si="50"/>
        <v>0</v>
      </c>
      <c r="S451">
        <f>IF(COUNTIFS($B$1:$B$738,B450,$C$1:$C$738,#REF!)&gt;2,1,0)</f>
        <v>0</v>
      </c>
      <c r="T451">
        <f t="shared" si="51"/>
        <v>0</v>
      </c>
      <c r="U451">
        <f t="shared" si="52"/>
        <v>0</v>
      </c>
      <c r="V451">
        <f t="shared" si="53"/>
        <v>0</v>
      </c>
      <c r="W451">
        <f t="shared" ref="W451:W514" si="55">SUM(Q451:V451)</f>
        <v>0</v>
      </c>
      <c r="X451" t="str" cm="1">
        <f t="array" ref="X451">_xlfn.IFS(W451&lt;=1,"Low",W451=2,"Medium",W451&gt;=3,"High")</f>
        <v>Low</v>
      </c>
    </row>
    <row r="452" spans="1:24" x14ac:dyDescent="0.3">
      <c r="A452" t="s">
        <v>916</v>
      </c>
      <c r="B452" t="s">
        <v>907</v>
      </c>
      <c r="C452" s="3">
        <v>45757</v>
      </c>
      <c r="D452" s="8" t="s">
        <v>917</v>
      </c>
      <c r="E452" s="7" t="s">
        <v>132</v>
      </c>
      <c r="F452" s="7" t="s">
        <v>25</v>
      </c>
      <c r="G452" s="7" t="s">
        <v>177</v>
      </c>
      <c r="H452" s="4">
        <v>893.66</v>
      </c>
      <c r="I452" s="7" t="s">
        <v>95</v>
      </c>
      <c r="J452" s="7" t="s">
        <v>17</v>
      </c>
      <c r="L452" t="str">
        <f>PROPER(TRIM(SUBSTITUTE(_xlfn.XLOOKUP(B452,Cardholders_Reference!A:A,Cardholders_Reference!B:B),","," ")))</f>
        <v>Mariam Naidoo</v>
      </c>
      <c r="M452" s="5">
        <f>_xlfn.XLOOKUP(B452,Cardholders_Reference!A:A,Cardholders_Reference!G:G)</f>
        <v>20000</v>
      </c>
      <c r="N452" s="7" t="str">
        <f>_xlfn.XLOOKUP(B452,Cardholders_Reference!A:A,Cardholders_Reference!D:D)</f>
        <v>Nedbank</v>
      </c>
      <c r="O452" s="7" t="str">
        <f>_xlfn.XLOOKUP(B452,Cardholders_Reference!A:A,Cardholders_Reference!E:E)</f>
        <v>Visa</v>
      </c>
      <c r="P452" s="6">
        <f t="shared" si="54"/>
        <v>4.4683E-2</v>
      </c>
      <c r="Q452">
        <f t="shared" si="49"/>
        <v>1</v>
      </c>
      <c r="R452">
        <f t="shared" si="50"/>
        <v>0</v>
      </c>
      <c r="S452">
        <f>IF(COUNTIFS($B$1:$B$738,B451,$C$1:$C$738,#REF!)&gt;2,1,0)</f>
        <v>0</v>
      </c>
      <c r="T452">
        <f t="shared" si="51"/>
        <v>0</v>
      </c>
      <c r="U452">
        <f t="shared" si="52"/>
        <v>0</v>
      </c>
      <c r="V452">
        <f t="shared" si="53"/>
        <v>1</v>
      </c>
      <c r="W452">
        <f t="shared" si="55"/>
        <v>2</v>
      </c>
      <c r="X452" t="str" cm="1">
        <f t="array" ref="X452">_xlfn.IFS(W452&lt;=1,"Low",W452=2,"Medium",W452&gt;=3,"High")</f>
        <v>Medium</v>
      </c>
    </row>
    <row r="453" spans="1:24" x14ac:dyDescent="0.3">
      <c r="A453" t="s">
        <v>918</v>
      </c>
      <c r="B453" t="s">
        <v>907</v>
      </c>
      <c r="C453" s="3">
        <v>46114</v>
      </c>
      <c r="D453" s="8" t="s">
        <v>840</v>
      </c>
      <c r="E453" s="7" t="s">
        <v>84</v>
      </c>
      <c r="F453" s="7" t="s">
        <v>61</v>
      </c>
      <c r="G453" s="7" t="s">
        <v>264</v>
      </c>
      <c r="H453" s="4">
        <v>10760.27</v>
      </c>
      <c r="I453" s="7" t="s">
        <v>26</v>
      </c>
      <c r="J453" s="7" t="s">
        <v>17</v>
      </c>
      <c r="L453" t="str">
        <f>PROPER(TRIM(SUBSTITUTE(_xlfn.XLOOKUP(B453,Cardholders_Reference!A:A,Cardholders_Reference!B:B),","," ")))</f>
        <v>Mariam Naidoo</v>
      </c>
      <c r="M453" s="5">
        <f>_xlfn.XLOOKUP(B453,Cardholders_Reference!A:A,Cardholders_Reference!G:G)</f>
        <v>20000</v>
      </c>
      <c r="N453" s="7" t="str">
        <f>_xlfn.XLOOKUP(B453,Cardholders_Reference!A:A,Cardholders_Reference!D:D)</f>
        <v>Nedbank</v>
      </c>
      <c r="O453" s="7" t="str">
        <f>_xlfn.XLOOKUP(B453,Cardholders_Reference!A:A,Cardholders_Reference!E:E)</f>
        <v>Visa</v>
      </c>
      <c r="P453" s="6">
        <f t="shared" si="54"/>
        <v>0.53801350000000003</v>
      </c>
      <c r="Q453">
        <f t="shared" si="49"/>
        <v>1</v>
      </c>
      <c r="R453">
        <f t="shared" si="50"/>
        <v>0</v>
      </c>
      <c r="S453">
        <f>IF(COUNTIFS($B$1:$B$738,B452,$C$1:$C$738,#REF!)&gt;2,1,0)</f>
        <v>0</v>
      </c>
      <c r="T453">
        <f t="shared" si="51"/>
        <v>0</v>
      </c>
      <c r="U453">
        <f t="shared" si="52"/>
        <v>0</v>
      </c>
      <c r="V453">
        <f t="shared" si="53"/>
        <v>1</v>
      </c>
      <c r="W453">
        <f t="shared" si="55"/>
        <v>2</v>
      </c>
      <c r="X453" t="str" cm="1">
        <f t="array" ref="X453">_xlfn.IFS(W453&lt;=1,"Low",W453=2,"Medium",W453&gt;=3,"High")</f>
        <v>Medium</v>
      </c>
    </row>
    <row r="454" spans="1:24" x14ac:dyDescent="0.3">
      <c r="A454" t="s">
        <v>919</v>
      </c>
      <c r="B454" t="s">
        <v>907</v>
      </c>
      <c r="C454" s="3">
        <v>46083</v>
      </c>
      <c r="D454" s="8" t="s">
        <v>920</v>
      </c>
      <c r="E454" s="7" t="s">
        <v>548</v>
      </c>
      <c r="F454" s="7" t="s">
        <v>40</v>
      </c>
      <c r="G454" s="7" t="s">
        <v>264</v>
      </c>
      <c r="H454" s="4">
        <v>331.19</v>
      </c>
      <c r="I454" s="7" t="s">
        <v>95</v>
      </c>
      <c r="J454" s="7" t="s">
        <v>17</v>
      </c>
      <c r="L454" t="str">
        <f>PROPER(TRIM(SUBSTITUTE(_xlfn.XLOOKUP(B454,Cardholders_Reference!A:A,Cardholders_Reference!B:B),","," ")))</f>
        <v>Mariam Naidoo</v>
      </c>
      <c r="M454" s="5">
        <f>_xlfn.XLOOKUP(B454,Cardholders_Reference!A:A,Cardholders_Reference!G:G)</f>
        <v>20000</v>
      </c>
      <c r="N454" s="7" t="str">
        <f>_xlfn.XLOOKUP(B454,Cardholders_Reference!A:A,Cardholders_Reference!D:D)</f>
        <v>Nedbank</v>
      </c>
      <c r="O454" s="7" t="str">
        <f>_xlfn.XLOOKUP(B454,Cardholders_Reference!A:A,Cardholders_Reference!E:E)</f>
        <v>Visa</v>
      </c>
      <c r="P454" s="6">
        <f t="shared" si="54"/>
        <v>1.6559500000000001E-2</v>
      </c>
      <c r="Q454">
        <f t="shared" si="49"/>
        <v>0</v>
      </c>
      <c r="R454">
        <f t="shared" si="50"/>
        <v>0</v>
      </c>
      <c r="S454">
        <f>IF(COUNTIFS($B$1:$B$738,B453,$C$1:$C$738,#REF!)&gt;2,1,0)</f>
        <v>0</v>
      </c>
      <c r="T454">
        <f t="shared" si="51"/>
        <v>1</v>
      </c>
      <c r="U454">
        <f t="shared" si="52"/>
        <v>0</v>
      </c>
      <c r="V454">
        <f t="shared" si="53"/>
        <v>1</v>
      </c>
      <c r="W454">
        <f t="shared" si="55"/>
        <v>2</v>
      </c>
      <c r="X454" t="str" cm="1">
        <f t="array" ref="X454">_xlfn.IFS(W454&lt;=1,"Low",W454=2,"Medium",W454&gt;=3,"High")</f>
        <v>Medium</v>
      </c>
    </row>
    <row r="455" spans="1:24" x14ac:dyDescent="0.3">
      <c r="A455" t="s">
        <v>921</v>
      </c>
      <c r="B455" t="s">
        <v>907</v>
      </c>
      <c r="C455" s="3">
        <v>46569</v>
      </c>
      <c r="D455" s="8" t="s">
        <v>28</v>
      </c>
      <c r="E455" s="7" t="s">
        <v>70</v>
      </c>
      <c r="F455" s="7" t="s">
        <v>36</v>
      </c>
      <c r="G455" s="7" t="s">
        <v>264</v>
      </c>
      <c r="H455" s="4">
        <v>227.56</v>
      </c>
      <c r="I455" s="7" t="s">
        <v>16</v>
      </c>
      <c r="J455" s="7" t="s">
        <v>17</v>
      </c>
      <c r="K455" t="s">
        <v>141</v>
      </c>
      <c r="L455" t="str">
        <f>PROPER(TRIM(SUBSTITUTE(_xlfn.XLOOKUP(B455,Cardholders_Reference!A:A,Cardholders_Reference!B:B),","," ")))</f>
        <v>Mariam Naidoo</v>
      </c>
      <c r="M455" s="5">
        <f>_xlfn.XLOOKUP(B455,Cardholders_Reference!A:A,Cardholders_Reference!G:G)</f>
        <v>20000</v>
      </c>
      <c r="N455" s="7" t="str">
        <f>_xlfn.XLOOKUP(B455,Cardholders_Reference!A:A,Cardholders_Reference!D:D)</f>
        <v>Nedbank</v>
      </c>
      <c r="O455" s="7" t="str">
        <f>_xlfn.XLOOKUP(B455,Cardholders_Reference!A:A,Cardholders_Reference!E:E)</f>
        <v>Visa</v>
      </c>
      <c r="P455" s="6">
        <f t="shared" si="54"/>
        <v>1.1378000000000001E-2</v>
      </c>
      <c r="Q455">
        <f t="shared" si="49"/>
        <v>0</v>
      </c>
      <c r="R455">
        <f t="shared" si="50"/>
        <v>0</v>
      </c>
      <c r="S455">
        <f>IF(COUNTIFS($B$1:$B$738,B454,$C$1:$C$738,#REF!)&gt;2,1,0)</f>
        <v>0</v>
      </c>
      <c r="T455">
        <f t="shared" si="51"/>
        <v>0</v>
      </c>
      <c r="U455">
        <f t="shared" si="52"/>
        <v>0</v>
      </c>
      <c r="V455">
        <f t="shared" si="53"/>
        <v>0</v>
      </c>
      <c r="W455">
        <f t="shared" si="55"/>
        <v>0</v>
      </c>
      <c r="X455" t="str" cm="1">
        <f t="array" ref="X455">_xlfn.IFS(W455&lt;=1,"Low",W455=2,"Medium",W455&gt;=3,"High")</f>
        <v>Low</v>
      </c>
    </row>
    <row r="456" spans="1:24" x14ac:dyDescent="0.3">
      <c r="A456" t="s">
        <v>922</v>
      </c>
      <c r="B456" t="s">
        <v>907</v>
      </c>
      <c r="C456" s="3">
        <v>46163</v>
      </c>
      <c r="D456" s="8" t="s">
        <v>835</v>
      </c>
      <c r="E456" s="7" t="s">
        <v>215</v>
      </c>
      <c r="F456" s="7" t="s">
        <v>15</v>
      </c>
      <c r="G456" s="7" t="s">
        <v>264</v>
      </c>
      <c r="H456" s="4">
        <v>520.87</v>
      </c>
      <c r="I456" s="7" t="s">
        <v>26</v>
      </c>
      <c r="J456" s="7" t="s">
        <v>17</v>
      </c>
      <c r="L456" t="str">
        <f>PROPER(TRIM(SUBSTITUTE(_xlfn.XLOOKUP(B456,Cardholders_Reference!A:A,Cardholders_Reference!B:B),","," ")))</f>
        <v>Mariam Naidoo</v>
      </c>
      <c r="M456" s="5">
        <f>_xlfn.XLOOKUP(B456,Cardholders_Reference!A:A,Cardholders_Reference!G:G)</f>
        <v>20000</v>
      </c>
      <c r="N456" s="7" t="str">
        <f>_xlfn.XLOOKUP(B456,Cardholders_Reference!A:A,Cardholders_Reference!D:D)</f>
        <v>Nedbank</v>
      </c>
      <c r="O456" s="7" t="str">
        <f>_xlfn.XLOOKUP(B456,Cardholders_Reference!A:A,Cardholders_Reference!E:E)</f>
        <v>Visa</v>
      </c>
      <c r="P456" s="6">
        <f t="shared" si="54"/>
        <v>2.6043500000000001E-2</v>
      </c>
      <c r="Q456">
        <f t="shared" si="49"/>
        <v>0</v>
      </c>
      <c r="R456">
        <f t="shared" si="50"/>
        <v>0</v>
      </c>
      <c r="S456">
        <f>IF(COUNTIFS($B$1:$B$738,B455,$C$1:$C$738,#REF!)&gt;2,1,0)</f>
        <v>0</v>
      </c>
      <c r="T456">
        <f t="shared" si="51"/>
        <v>0</v>
      </c>
      <c r="U456">
        <f t="shared" si="52"/>
        <v>0</v>
      </c>
      <c r="V456">
        <f t="shared" si="53"/>
        <v>1</v>
      </c>
      <c r="W456">
        <f t="shared" si="55"/>
        <v>1</v>
      </c>
      <c r="X456" t="str" cm="1">
        <f t="array" ref="X456">_xlfn.IFS(W456&lt;=1,"Low",W456=2,"Medium",W456&gt;=3,"High")</f>
        <v>Low</v>
      </c>
    </row>
    <row r="457" spans="1:24" x14ac:dyDescent="0.3">
      <c r="A457" t="s">
        <v>923</v>
      </c>
      <c r="B457" t="s">
        <v>907</v>
      </c>
      <c r="C457" s="3">
        <v>45697</v>
      </c>
      <c r="D457" s="8" t="s">
        <v>255</v>
      </c>
      <c r="E457" s="7" t="s">
        <v>24</v>
      </c>
      <c r="F457" s="7" t="s">
        <v>25</v>
      </c>
      <c r="G457" s="7" t="s">
        <v>264</v>
      </c>
      <c r="H457" s="4">
        <v>359.81</v>
      </c>
      <c r="I457" s="7" t="s">
        <v>26</v>
      </c>
      <c r="J457" s="7" t="s">
        <v>17</v>
      </c>
      <c r="L457" t="str">
        <f>PROPER(TRIM(SUBSTITUTE(_xlfn.XLOOKUP(B457,Cardholders_Reference!A:A,Cardholders_Reference!B:B),","," ")))</f>
        <v>Mariam Naidoo</v>
      </c>
      <c r="M457" s="5">
        <f>_xlfn.XLOOKUP(B457,Cardholders_Reference!A:A,Cardholders_Reference!G:G)</f>
        <v>20000</v>
      </c>
      <c r="N457" s="7" t="str">
        <f>_xlfn.XLOOKUP(B457,Cardholders_Reference!A:A,Cardholders_Reference!D:D)</f>
        <v>Nedbank</v>
      </c>
      <c r="O457" s="7" t="str">
        <f>_xlfn.XLOOKUP(B457,Cardholders_Reference!A:A,Cardholders_Reference!E:E)</f>
        <v>Visa</v>
      </c>
      <c r="P457" s="6">
        <f t="shared" si="54"/>
        <v>1.79905E-2</v>
      </c>
      <c r="Q457">
        <f t="shared" si="49"/>
        <v>0</v>
      </c>
      <c r="R457">
        <f t="shared" si="50"/>
        <v>0</v>
      </c>
      <c r="S457">
        <f>IF(COUNTIFS($B$1:$B$738,B456,$C$1:$C$738,#REF!)&gt;2,1,0)</f>
        <v>0</v>
      </c>
      <c r="T457">
        <f t="shared" si="51"/>
        <v>0</v>
      </c>
      <c r="U457">
        <f t="shared" si="52"/>
        <v>0</v>
      </c>
      <c r="V457">
        <f t="shared" si="53"/>
        <v>1</v>
      </c>
      <c r="W457">
        <f t="shared" si="55"/>
        <v>1</v>
      </c>
      <c r="X457" t="str" cm="1">
        <f t="array" ref="X457">_xlfn.IFS(W457&lt;=1,"Low",W457=2,"Medium",W457&gt;=3,"High")</f>
        <v>Low</v>
      </c>
    </row>
    <row r="458" spans="1:24" x14ac:dyDescent="0.3">
      <c r="A458" t="s">
        <v>924</v>
      </c>
      <c r="B458" t="s">
        <v>925</v>
      </c>
      <c r="C458" s="3">
        <v>45885</v>
      </c>
      <c r="D458" s="8" t="s">
        <v>401</v>
      </c>
      <c r="E458" s="7" t="s">
        <v>548</v>
      </c>
      <c r="F458" s="7" t="s">
        <v>40</v>
      </c>
      <c r="G458" s="7" t="s">
        <v>108</v>
      </c>
      <c r="H458" s="4">
        <v>338.68</v>
      </c>
      <c r="I458" s="7" t="s">
        <v>32</v>
      </c>
      <c r="J458" s="7" t="s">
        <v>41</v>
      </c>
      <c r="L458" t="str">
        <f>PROPER(TRIM(SUBSTITUTE(_xlfn.XLOOKUP(B458,Cardholders_Reference!A:A,Cardholders_Reference!B:B),","," ")))</f>
        <v>Bongani Van Der Merwe</v>
      </c>
      <c r="M458" s="5">
        <f>_xlfn.XLOOKUP(B458,Cardholders_Reference!A:A,Cardholders_Reference!G:G)</f>
        <v>100000</v>
      </c>
      <c r="N458" s="7" t="str">
        <f>_xlfn.XLOOKUP(B458,Cardholders_Reference!A:A,Cardholders_Reference!D:D)</f>
        <v>Capitec</v>
      </c>
      <c r="O458" s="7" t="str">
        <f>_xlfn.XLOOKUP(B458,Cardholders_Reference!A:A,Cardholders_Reference!E:E)</f>
        <v>Visa</v>
      </c>
      <c r="P458" s="6">
        <f t="shared" si="54"/>
        <v>3.3868000000000001E-3</v>
      </c>
      <c r="Q458">
        <f t="shared" si="49"/>
        <v>0</v>
      </c>
      <c r="R458">
        <f t="shared" si="50"/>
        <v>0</v>
      </c>
      <c r="S458">
        <f>IF(COUNTIFS($B$1:$B$738,B457,$C$1:$C$738,#REF!)&gt;2,1,0)</f>
        <v>0</v>
      </c>
      <c r="T458">
        <f t="shared" si="51"/>
        <v>0</v>
      </c>
      <c r="U458">
        <f t="shared" si="52"/>
        <v>0</v>
      </c>
      <c r="V458">
        <f t="shared" si="53"/>
        <v>0</v>
      </c>
      <c r="W458">
        <f t="shared" si="55"/>
        <v>0</v>
      </c>
      <c r="X458" t="str" cm="1">
        <f t="array" ref="X458">_xlfn.IFS(W458&lt;=1,"Low",W458=2,"Medium",W458&gt;=3,"High")</f>
        <v>Low</v>
      </c>
    </row>
    <row r="459" spans="1:24" x14ac:dyDescent="0.3">
      <c r="A459" t="s">
        <v>926</v>
      </c>
      <c r="B459" t="s">
        <v>925</v>
      </c>
      <c r="C459" s="3">
        <v>45856</v>
      </c>
      <c r="D459" s="8" t="s">
        <v>927</v>
      </c>
      <c r="E459" s="7" t="s">
        <v>73</v>
      </c>
      <c r="F459" s="7" t="s">
        <v>74</v>
      </c>
      <c r="G459" s="7" t="s">
        <v>108</v>
      </c>
      <c r="H459" s="4">
        <v>476.14</v>
      </c>
      <c r="I459" s="7" t="s">
        <v>32</v>
      </c>
      <c r="J459" s="7" t="s">
        <v>17</v>
      </c>
      <c r="L459" t="str">
        <f>PROPER(TRIM(SUBSTITUTE(_xlfn.XLOOKUP(B459,Cardholders_Reference!A:A,Cardholders_Reference!B:B),","," ")))</f>
        <v>Bongani Van Der Merwe</v>
      </c>
      <c r="M459" s="5">
        <f>_xlfn.XLOOKUP(B459,Cardholders_Reference!A:A,Cardholders_Reference!G:G)</f>
        <v>100000</v>
      </c>
      <c r="N459" s="7" t="str">
        <f>_xlfn.XLOOKUP(B459,Cardholders_Reference!A:A,Cardholders_Reference!D:D)</f>
        <v>Capitec</v>
      </c>
      <c r="O459" s="7" t="str">
        <f>_xlfn.XLOOKUP(B459,Cardholders_Reference!A:A,Cardholders_Reference!E:E)</f>
        <v>Visa</v>
      </c>
      <c r="P459" s="6">
        <f t="shared" si="54"/>
        <v>4.7613999999999998E-3</v>
      </c>
      <c r="Q459">
        <f t="shared" si="49"/>
        <v>0</v>
      </c>
      <c r="R459">
        <f t="shared" si="50"/>
        <v>0</v>
      </c>
      <c r="S459">
        <f>IF(COUNTIFS($B$1:$B$738,B458,$C$1:$C$738,#REF!)&gt;2,1,0)</f>
        <v>0</v>
      </c>
      <c r="T459">
        <f t="shared" si="51"/>
        <v>0</v>
      </c>
      <c r="U459">
        <f t="shared" si="52"/>
        <v>0</v>
      </c>
      <c r="V459">
        <f t="shared" si="53"/>
        <v>0</v>
      </c>
      <c r="W459">
        <f t="shared" si="55"/>
        <v>0</v>
      </c>
      <c r="X459" t="str" cm="1">
        <f t="array" ref="X459">_xlfn.IFS(W459&lt;=1,"Low",W459=2,"Medium",W459&gt;=3,"High")</f>
        <v>Low</v>
      </c>
    </row>
    <row r="460" spans="1:24" x14ac:dyDescent="0.3">
      <c r="A460" t="s">
        <v>928</v>
      </c>
      <c r="B460" t="s">
        <v>925</v>
      </c>
      <c r="C460" s="3">
        <v>46095</v>
      </c>
      <c r="D460" s="8" t="s">
        <v>929</v>
      </c>
      <c r="E460" s="7" t="s">
        <v>377</v>
      </c>
      <c r="F460" s="7" t="s">
        <v>74</v>
      </c>
      <c r="G460" s="7" t="s">
        <v>108</v>
      </c>
      <c r="H460" s="4">
        <v>527.19000000000005</v>
      </c>
      <c r="I460" s="7" t="s">
        <v>16</v>
      </c>
      <c r="J460" s="7" t="s">
        <v>17</v>
      </c>
      <c r="L460" t="str">
        <f>PROPER(TRIM(SUBSTITUTE(_xlfn.XLOOKUP(B460,Cardholders_Reference!A:A,Cardholders_Reference!B:B),","," ")))</f>
        <v>Bongani Van Der Merwe</v>
      </c>
      <c r="M460" s="5">
        <f>_xlfn.XLOOKUP(B460,Cardholders_Reference!A:A,Cardholders_Reference!G:G)</f>
        <v>100000</v>
      </c>
      <c r="N460" s="7" t="str">
        <f>_xlfn.XLOOKUP(B460,Cardholders_Reference!A:A,Cardholders_Reference!D:D)</f>
        <v>Capitec</v>
      </c>
      <c r="O460" s="7" t="str">
        <f>_xlfn.XLOOKUP(B460,Cardholders_Reference!A:A,Cardholders_Reference!E:E)</f>
        <v>Visa</v>
      </c>
      <c r="P460" s="6">
        <f t="shared" si="54"/>
        <v>5.2719000000000004E-3</v>
      </c>
      <c r="Q460">
        <f t="shared" si="49"/>
        <v>0</v>
      </c>
      <c r="R460">
        <f t="shared" si="50"/>
        <v>0</v>
      </c>
      <c r="S460">
        <f>IF(COUNTIFS($B$1:$B$738,B459,$C$1:$C$738,#REF!)&gt;2,1,0)</f>
        <v>0</v>
      </c>
      <c r="T460">
        <f t="shared" si="51"/>
        <v>0</v>
      </c>
      <c r="U460">
        <f t="shared" si="52"/>
        <v>0</v>
      </c>
      <c r="V460">
        <f t="shared" si="53"/>
        <v>0</v>
      </c>
      <c r="W460">
        <f t="shared" si="55"/>
        <v>0</v>
      </c>
      <c r="X460" t="str" cm="1">
        <f t="array" ref="X460">_xlfn.IFS(W460&lt;=1,"Low",W460=2,"Medium",W460&gt;=3,"High")</f>
        <v>Low</v>
      </c>
    </row>
    <row r="461" spans="1:24" x14ac:dyDescent="0.3">
      <c r="A461" t="s">
        <v>930</v>
      </c>
      <c r="B461" t="s">
        <v>925</v>
      </c>
      <c r="C461" s="3">
        <v>45680</v>
      </c>
      <c r="D461" s="8" t="s">
        <v>931</v>
      </c>
      <c r="E461" s="7" t="s">
        <v>129</v>
      </c>
      <c r="F461" s="7" t="s">
        <v>25</v>
      </c>
      <c r="G461" s="7" t="s">
        <v>108</v>
      </c>
      <c r="H461" s="4">
        <v>1167.99</v>
      </c>
      <c r="I461" s="7" t="s">
        <v>16</v>
      </c>
      <c r="J461" s="7" t="s">
        <v>17</v>
      </c>
      <c r="L461" t="str">
        <f>PROPER(TRIM(SUBSTITUTE(_xlfn.XLOOKUP(B461,Cardholders_Reference!A:A,Cardholders_Reference!B:B),","," ")))</f>
        <v>Bongani Van Der Merwe</v>
      </c>
      <c r="M461" s="5">
        <f>_xlfn.XLOOKUP(B461,Cardholders_Reference!A:A,Cardholders_Reference!G:G)</f>
        <v>100000</v>
      </c>
      <c r="N461" s="7" t="str">
        <f>_xlfn.XLOOKUP(B461,Cardholders_Reference!A:A,Cardholders_Reference!D:D)</f>
        <v>Capitec</v>
      </c>
      <c r="O461" s="7" t="str">
        <f>_xlfn.XLOOKUP(B461,Cardholders_Reference!A:A,Cardholders_Reference!E:E)</f>
        <v>Visa</v>
      </c>
      <c r="P461" s="6">
        <f t="shared" si="54"/>
        <v>1.16799E-2</v>
      </c>
      <c r="Q461">
        <f t="shared" si="49"/>
        <v>0</v>
      </c>
      <c r="R461">
        <f t="shared" si="50"/>
        <v>0</v>
      </c>
      <c r="S461">
        <f>IF(COUNTIFS($B$1:$B$738,B460,$C$1:$C$738,#REF!)&gt;2,1,0)</f>
        <v>0</v>
      </c>
      <c r="T461">
        <f t="shared" si="51"/>
        <v>0</v>
      </c>
      <c r="U461">
        <f t="shared" si="52"/>
        <v>0</v>
      </c>
      <c r="V461">
        <f t="shared" si="53"/>
        <v>0</v>
      </c>
      <c r="W461">
        <f t="shared" si="55"/>
        <v>0</v>
      </c>
      <c r="X461" t="str" cm="1">
        <f t="array" ref="X461">_xlfn.IFS(W461&lt;=1,"Low",W461=2,"Medium",W461&gt;=3,"High")</f>
        <v>Low</v>
      </c>
    </row>
    <row r="462" spans="1:24" x14ac:dyDescent="0.3">
      <c r="A462" t="s">
        <v>932</v>
      </c>
      <c r="B462" t="s">
        <v>925</v>
      </c>
      <c r="C462" s="3">
        <v>46018</v>
      </c>
      <c r="D462" s="8" t="s">
        <v>165</v>
      </c>
      <c r="E462" s="7" t="s">
        <v>215</v>
      </c>
      <c r="F462" s="7" t="s">
        <v>15</v>
      </c>
      <c r="G462" s="7" t="s">
        <v>108</v>
      </c>
      <c r="H462" s="4">
        <v>3677.29</v>
      </c>
      <c r="I462" s="7" t="s">
        <v>95</v>
      </c>
      <c r="J462" s="7" t="s">
        <v>17</v>
      </c>
      <c r="L462" t="str">
        <f>PROPER(TRIM(SUBSTITUTE(_xlfn.XLOOKUP(B462,Cardholders_Reference!A:A,Cardholders_Reference!B:B),","," ")))</f>
        <v>Bongani Van Der Merwe</v>
      </c>
      <c r="M462" s="5">
        <f>_xlfn.XLOOKUP(B462,Cardholders_Reference!A:A,Cardholders_Reference!G:G)</f>
        <v>100000</v>
      </c>
      <c r="N462" s="7" t="str">
        <f>_xlfn.XLOOKUP(B462,Cardholders_Reference!A:A,Cardholders_Reference!D:D)</f>
        <v>Capitec</v>
      </c>
      <c r="O462" s="7" t="str">
        <f>_xlfn.XLOOKUP(B462,Cardholders_Reference!A:A,Cardholders_Reference!E:E)</f>
        <v>Visa</v>
      </c>
      <c r="P462" s="6">
        <f t="shared" si="54"/>
        <v>3.6772899999999997E-2</v>
      </c>
      <c r="Q462">
        <f t="shared" si="49"/>
        <v>0</v>
      </c>
      <c r="R462">
        <f t="shared" si="50"/>
        <v>0</v>
      </c>
      <c r="S462">
        <f>IF(COUNTIFS($B$1:$B$738,B461,$C$1:$C$738,#REF!)&gt;2,1,0)</f>
        <v>0</v>
      </c>
      <c r="T462">
        <f t="shared" si="51"/>
        <v>0</v>
      </c>
      <c r="U462">
        <f t="shared" si="52"/>
        <v>0</v>
      </c>
      <c r="V462">
        <f t="shared" si="53"/>
        <v>1</v>
      </c>
      <c r="W462">
        <f t="shared" si="55"/>
        <v>1</v>
      </c>
      <c r="X462" t="str" cm="1">
        <f t="array" ref="X462">_xlfn.IFS(W462&lt;=1,"Low",W462=2,"Medium",W462&gt;=3,"High")</f>
        <v>Low</v>
      </c>
    </row>
    <row r="463" spans="1:24" x14ac:dyDescent="0.3">
      <c r="A463" t="s">
        <v>933</v>
      </c>
      <c r="B463" t="s">
        <v>925</v>
      </c>
      <c r="C463" s="3">
        <v>46007</v>
      </c>
      <c r="D463" s="8" t="s">
        <v>934</v>
      </c>
      <c r="E463" s="7" t="s">
        <v>64</v>
      </c>
      <c r="F463" s="7" t="s">
        <v>65</v>
      </c>
      <c r="G463" s="7" t="s">
        <v>118</v>
      </c>
      <c r="H463" s="4">
        <v>4109.4399999999996</v>
      </c>
      <c r="I463" s="7" t="s">
        <v>16</v>
      </c>
      <c r="J463" s="7" t="s">
        <v>17</v>
      </c>
      <c r="L463" t="str">
        <f>PROPER(TRIM(SUBSTITUTE(_xlfn.XLOOKUP(B463,Cardholders_Reference!A:A,Cardholders_Reference!B:B),","," ")))</f>
        <v>Bongani Van Der Merwe</v>
      </c>
      <c r="M463" s="5">
        <f>_xlfn.XLOOKUP(B463,Cardholders_Reference!A:A,Cardholders_Reference!G:G)</f>
        <v>100000</v>
      </c>
      <c r="N463" s="7" t="str">
        <f>_xlfn.XLOOKUP(B463,Cardholders_Reference!A:A,Cardholders_Reference!D:D)</f>
        <v>Capitec</v>
      </c>
      <c r="O463" s="7" t="str">
        <f>_xlfn.XLOOKUP(B463,Cardholders_Reference!A:A,Cardholders_Reference!E:E)</f>
        <v>Visa</v>
      </c>
      <c r="P463" s="6">
        <f t="shared" si="54"/>
        <v>4.1094399999999996E-2</v>
      </c>
      <c r="Q463">
        <f t="shared" si="49"/>
        <v>0</v>
      </c>
      <c r="R463">
        <f t="shared" si="50"/>
        <v>0</v>
      </c>
      <c r="S463">
        <f>IF(COUNTIFS($B$1:$B$738,B462,$C$1:$C$738,#REF!)&gt;2,1,0)</f>
        <v>0</v>
      </c>
      <c r="T463">
        <f t="shared" si="51"/>
        <v>0</v>
      </c>
      <c r="U463">
        <f t="shared" si="52"/>
        <v>0</v>
      </c>
      <c r="V463">
        <f t="shared" si="53"/>
        <v>0</v>
      </c>
      <c r="W463">
        <f t="shared" si="55"/>
        <v>0</v>
      </c>
      <c r="X463" t="str" cm="1">
        <f t="array" ref="X463">_xlfn.IFS(W463&lt;=1,"Low",W463=2,"Medium",W463&gt;=3,"High")</f>
        <v>Low</v>
      </c>
    </row>
    <row r="464" spans="1:24" x14ac:dyDescent="0.3">
      <c r="A464" t="s">
        <v>935</v>
      </c>
      <c r="B464" t="s">
        <v>925</v>
      </c>
      <c r="C464" s="3">
        <v>45888</v>
      </c>
      <c r="D464" s="8" t="s">
        <v>936</v>
      </c>
      <c r="E464" s="7" t="s">
        <v>230</v>
      </c>
      <c r="F464" s="7" t="s">
        <v>81</v>
      </c>
      <c r="G464" s="7" t="s">
        <v>118</v>
      </c>
      <c r="H464" s="4">
        <v>8784.6299999999992</v>
      </c>
      <c r="I464" s="7" t="s">
        <v>95</v>
      </c>
      <c r="J464" s="7" t="s">
        <v>17</v>
      </c>
      <c r="L464" t="str">
        <f>PROPER(TRIM(SUBSTITUTE(_xlfn.XLOOKUP(B464,Cardholders_Reference!A:A,Cardholders_Reference!B:B),","," ")))</f>
        <v>Bongani Van Der Merwe</v>
      </c>
      <c r="M464" s="5">
        <f>_xlfn.XLOOKUP(B464,Cardholders_Reference!A:A,Cardholders_Reference!G:G)</f>
        <v>100000</v>
      </c>
      <c r="N464" s="7" t="str">
        <f>_xlfn.XLOOKUP(B464,Cardholders_Reference!A:A,Cardholders_Reference!D:D)</f>
        <v>Capitec</v>
      </c>
      <c r="O464" s="7" t="str">
        <f>_xlfn.XLOOKUP(B464,Cardholders_Reference!A:A,Cardholders_Reference!E:E)</f>
        <v>Visa</v>
      </c>
      <c r="P464" s="6">
        <f t="shared" si="54"/>
        <v>8.7846299999999988E-2</v>
      </c>
      <c r="Q464">
        <f t="shared" si="49"/>
        <v>1</v>
      </c>
      <c r="R464">
        <f t="shared" si="50"/>
        <v>0</v>
      </c>
      <c r="S464">
        <f>IF(COUNTIFS($B$1:$B$738,B463,$C$1:$C$738,#REF!)&gt;2,1,0)</f>
        <v>0</v>
      </c>
      <c r="T464">
        <f t="shared" si="51"/>
        <v>0</v>
      </c>
      <c r="U464">
        <f t="shared" si="52"/>
        <v>1</v>
      </c>
      <c r="V464">
        <f t="shared" si="53"/>
        <v>1</v>
      </c>
      <c r="W464">
        <f t="shared" si="55"/>
        <v>3</v>
      </c>
      <c r="X464" t="str" cm="1">
        <f t="array" ref="X464">_xlfn.IFS(W464&lt;=1,"Low",W464=2,"Medium",W464&gt;=3,"High")</f>
        <v>High</v>
      </c>
    </row>
    <row r="465" spans="1:24" x14ac:dyDescent="0.3">
      <c r="A465" t="s">
        <v>937</v>
      </c>
      <c r="B465" t="s">
        <v>925</v>
      </c>
      <c r="C465" s="3">
        <v>45691</v>
      </c>
      <c r="D465" s="8" t="s">
        <v>938</v>
      </c>
      <c r="E465" s="7" t="s">
        <v>84</v>
      </c>
      <c r="F465" s="7" t="s">
        <v>61</v>
      </c>
      <c r="G465" s="7" t="s">
        <v>250</v>
      </c>
      <c r="H465" s="4">
        <v>7443.01</v>
      </c>
      <c r="I465" s="7" t="s">
        <v>16</v>
      </c>
      <c r="J465" s="7" t="s">
        <v>17</v>
      </c>
      <c r="L465" t="str">
        <f>PROPER(TRIM(SUBSTITUTE(_xlfn.XLOOKUP(B465,Cardholders_Reference!A:A,Cardholders_Reference!B:B),","," ")))</f>
        <v>Bongani Van Der Merwe</v>
      </c>
      <c r="M465" s="5">
        <f>_xlfn.XLOOKUP(B465,Cardholders_Reference!A:A,Cardholders_Reference!G:G)</f>
        <v>100000</v>
      </c>
      <c r="N465" s="7" t="str">
        <f>_xlfn.XLOOKUP(B465,Cardholders_Reference!A:A,Cardholders_Reference!D:D)</f>
        <v>Capitec</v>
      </c>
      <c r="O465" s="7" t="str">
        <f>_xlfn.XLOOKUP(B465,Cardholders_Reference!A:A,Cardholders_Reference!E:E)</f>
        <v>Visa</v>
      </c>
      <c r="P465" s="6">
        <f t="shared" si="54"/>
        <v>7.4430099999999999E-2</v>
      </c>
      <c r="Q465">
        <f t="shared" si="49"/>
        <v>1</v>
      </c>
      <c r="R465">
        <f t="shared" si="50"/>
        <v>0</v>
      </c>
      <c r="S465">
        <f>IF(COUNTIFS($B$1:$B$738,B464,$C$1:$C$738,#REF!)&gt;2,1,0)</f>
        <v>0</v>
      </c>
      <c r="T465">
        <f t="shared" si="51"/>
        <v>0</v>
      </c>
      <c r="U465">
        <f t="shared" si="52"/>
        <v>0</v>
      </c>
      <c r="V465">
        <f t="shared" si="53"/>
        <v>0</v>
      </c>
      <c r="W465">
        <f t="shared" si="55"/>
        <v>1</v>
      </c>
      <c r="X465" t="str" cm="1">
        <f t="array" ref="X465">_xlfn.IFS(W465&lt;=1,"Low",W465=2,"Medium",W465&gt;=3,"High")</f>
        <v>Low</v>
      </c>
    </row>
    <row r="466" spans="1:24" x14ac:dyDescent="0.3">
      <c r="A466" t="s">
        <v>939</v>
      </c>
      <c r="B466" t="s">
        <v>925</v>
      </c>
      <c r="C466" s="3">
        <v>45945</v>
      </c>
      <c r="D466" s="8" t="s">
        <v>940</v>
      </c>
      <c r="E466" s="7" t="s">
        <v>156</v>
      </c>
      <c r="F466" s="7" t="s">
        <v>36</v>
      </c>
      <c r="G466" s="7" t="s">
        <v>118</v>
      </c>
      <c r="H466" s="4">
        <v>498.92</v>
      </c>
      <c r="I466" s="7" t="s">
        <v>16</v>
      </c>
      <c r="J466" s="7" t="s">
        <v>17</v>
      </c>
      <c r="L466" t="str">
        <f>PROPER(TRIM(SUBSTITUTE(_xlfn.XLOOKUP(B466,Cardholders_Reference!A:A,Cardholders_Reference!B:B),","," ")))</f>
        <v>Bongani Van Der Merwe</v>
      </c>
      <c r="M466" s="5">
        <f>_xlfn.XLOOKUP(B466,Cardholders_Reference!A:A,Cardholders_Reference!G:G)</f>
        <v>100000</v>
      </c>
      <c r="N466" s="7" t="str">
        <f>_xlfn.XLOOKUP(B466,Cardholders_Reference!A:A,Cardholders_Reference!D:D)</f>
        <v>Capitec</v>
      </c>
      <c r="O466" s="7" t="str">
        <f>_xlfn.XLOOKUP(B466,Cardholders_Reference!A:A,Cardholders_Reference!E:E)</f>
        <v>Visa</v>
      </c>
      <c r="P466" s="6">
        <f t="shared" si="54"/>
        <v>4.9892000000000001E-3</v>
      </c>
      <c r="Q466">
        <f t="shared" si="49"/>
        <v>1</v>
      </c>
      <c r="R466">
        <f t="shared" si="50"/>
        <v>0</v>
      </c>
      <c r="S466">
        <f>IF(COUNTIFS($B$1:$B$738,B465,$C$1:$C$738,#REF!)&gt;2,1,0)</f>
        <v>0</v>
      </c>
      <c r="T466">
        <f t="shared" si="51"/>
        <v>0</v>
      </c>
      <c r="U466">
        <f t="shared" si="52"/>
        <v>0</v>
      </c>
      <c r="V466">
        <f t="shared" si="53"/>
        <v>0</v>
      </c>
      <c r="W466">
        <f t="shared" si="55"/>
        <v>1</v>
      </c>
      <c r="X466" t="str" cm="1">
        <f t="array" ref="X466">_xlfn.IFS(W466&lt;=1,"Low",W466=2,"Medium",W466&gt;=3,"High")</f>
        <v>Low</v>
      </c>
    </row>
    <row r="467" spans="1:24" x14ac:dyDescent="0.3">
      <c r="A467" t="s">
        <v>941</v>
      </c>
      <c r="B467" t="s">
        <v>925</v>
      </c>
      <c r="C467" s="3">
        <v>46107</v>
      </c>
      <c r="D467" s="8" t="s">
        <v>942</v>
      </c>
      <c r="E467" s="7" t="s">
        <v>486</v>
      </c>
      <c r="F467" s="7" t="s">
        <v>21</v>
      </c>
      <c r="G467" s="7" t="s">
        <v>118</v>
      </c>
      <c r="H467" s="4">
        <v>2453.44</v>
      </c>
      <c r="I467" s="7" t="s">
        <v>32</v>
      </c>
      <c r="J467" s="7" t="s">
        <v>17</v>
      </c>
      <c r="L467" t="str">
        <f>PROPER(TRIM(SUBSTITUTE(_xlfn.XLOOKUP(B467,Cardholders_Reference!A:A,Cardholders_Reference!B:B),","," ")))</f>
        <v>Bongani Van Der Merwe</v>
      </c>
      <c r="M467" s="5">
        <f>_xlfn.XLOOKUP(B467,Cardholders_Reference!A:A,Cardholders_Reference!G:G)</f>
        <v>100000</v>
      </c>
      <c r="N467" s="7" t="str">
        <f>_xlfn.XLOOKUP(B467,Cardholders_Reference!A:A,Cardholders_Reference!D:D)</f>
        <v>Capitec</v>
      </c>
      <c r="O467" s="7" t="str">
        <f>_xlfn.XLOOKUP(B467,Cardholders_Reference!A:A,Cardholders_Reference!E:E)</f>
        <v>Visa</v>
      </c>
      <c r="P467" s="6">
        <f t="shared" si="54"/>
        <v>2.4534400000000001E-2</v>
      </c>
      <c r="Q467">
        <f t="shared" si="49"/>
        <v>1</v>
      </c>
      <c r="R467">
        <f t="shared" si="50"/>
        <v>0</v>
      </c>
      <c r="S467">
        <f>IF(COUNTIFS($B$1:$B$738,B466,$C$1:$C$738,#REF!)&gt;2,1,0)</f>
        <v>0</v>
      </c>
      <c r="T467">
        <f t="shared" si="51"/>
        <v>0</v>
      </c>
      <c r="U467">
        <f t="shared" si="52"/>
        <v>0</v>
      </c>
      <c r="V467">
        <f t="shared" si="53"/>
        <v>0</v>
      </c>
      <c r="W467">
        <f t="shared" si="55"/>
        <v>1</v>
      </c>
      <c r="X467" t="str" cm="1">
        <f t="array" ref="X467">_xlfn.IFS(W467&lt;=1,"Low",W467=2,"Medium",W467&gt;=3,"High")</f>
        <v>Low</v>
      </c>
    </row>
    <row r="468" spans="1:24" x14ac:dyDescent="0.3">
      <c r="A468" t="s">
        <v>943</v>
      </c>
      <c r="B468" t="s">
        <v>944</v>
      </c>
      <c r="C468" s="3">
        <v>46166</v>
      </c>
      <c r="D468" s="8" t="s">
        <v>945</v>
      </c>
      <c r="E468" s="7" t="s">
        <v>170</v>
      </c>
      <c r="F468" s="7" t="s">
        <v>91</v>
      </c>
      <c r="G468" s="7" t="s">
        <v>250</v>
      </c>
      <c r="H468" s="4">
        <v>3227.42</v>
      </c>
      <c r="I468" s="7" t="s">
        <v>95</v>
      </c>
      <c r="J468" s="7" t="s">
        <v>17</v>
      </c>
      <c r="L468" t="str">
        <f>PROPER(TRIM(SUBSTITUTE(_xlfn.XLOOKUP(B468,Cardholders_Reference!A:A,Cardholders_Reference!B:B),","," ")))</f>
        <v>Sanele Sithole</v>
      </c>
      <c r="M468" s="5">
        <f>_xlfn.XLOOKUP(B468,Cardholders_Reference!A:A,Cardholders_Reference!G:G)</f>
        <v>60000</v>
      </c>
      <c r="N468" s="7" t="str">
        <f>_xlfn.XLOOKUP(B468,Cardholders_Reference!A:A,Cardholders_Reference!D:D)</f>
        <v>Standard Bank</v>
      </c>
      <c r="O468" s="7" t="str">
        <f>_xlfn.XLOOKUP(B468,Cardholders_Reference!A:A,Cardholders_Reference!E:E)</f>
        <v>Visa</v>
      </c>
      <c r="P468" s="6">
        <f t="shared" si="54"/>
        <v>5.3790333333333336E-2</v>
      </c>
      <c r="Q468">
        <f t="shared" si="49"/>
        <v>1</v>
      </c>
      <c r="R468">
        <f t="shared" si="50"/>
        <v>0</v>
      </c>
      <c r="S468">
        <f>IF(COUNTIFS($B$1:$B$738,B467,$C$1:$C$738,#REF!)&gt;2,1,0)</f>
        <v>0</v>
      </c>
      <c r="T468">
        <f t="shared" si="51"/>
        <v>0</v>
      </c>
      <c r="U468">
        <f t="shared" si="52"/>
        <v>1</v>
      </c>
      <c r="V468">
        <f t="shared" si="53"/>
        <v>1</v>
      </c>
      <c r="W468">
        <f t="shared" si="55"/>
        <v>3</v>
      </c>
      <c r="X468" t="str" cm="1">
        <f t="array" ref="X468">_xlfn.IFS(W468&lt;=1,"Low",W468=2,"Medium",W468&gt;=3,"High")</f>
        <v>High</v>
      </c>
    </row>
    <row r="469" spans="1:24" x14ac:dyDescent="0.3">
      <c r="A469" t="s">
        <v>946</v>
      </c>
      <c r="B469" t="s">
        <v>944</v>
      </c>
      <c r="C469" s="3">
        <v>45984</v>
      </c>
      <c r="D469" s="8" t="s">
        <v>947</v>
      </c>
      <c r="E469" s="7" t="s">
        <v>70</v>
      </c>
      <c r="F469" s="7" t="s">
        <v>36</v>
      </c>
      <c r="G469" s="7" t="s">
        <v>250</v>
      </c>
      <c r="H469" s="4">
        <v>374.79</v>
      </c>
      <c r="I469" s="7" t="s">
        <v>16</v>
      </c>
      <c r="J469" s="7" t="s">
        <v>17</v>
      </c>
      <c r="L469" t="str">
        <f>PROPER(TRIM(SUBSTITUTE(_xlfn.XLOOKUP(B469,Cardholders_Reference!A:A,Cardholders_Reference!B:B),","," ")))</f>
        <v>Sanele Sithole</v>
      </c>
      <c r="M469" s="5">
        <f>_xlfn.XLOOKUP(B469,Cardholders_Reference!A:A,Cardholders_Reference!G:G)</f>
        <v>60000</v>
      </c>
      <c r="N469" s="7" t="str">
        <f>_xlfn.XLOOKUP(B469,Cardholders_Reference!A:A,Cardholders_Reference!D:D)</f>
        <v>Standard Bank</v>
      </c>
      <c r="O469" s="7" t="str">
        <f>_xlfn.XLOOKUP(B469,Cardholders_Reference!A:A,Cardholders_Reference!E:E)</f>
        <v>Visa</v>
      </c>
      <c r="P469" s="6">
        <f t="shared" si="54"/>
        <v>6.2465000000000003E-3</v>
      </c>
      <c r="Q469">
        <f t="shared" si="49"/>
        <v>0</v>
      </c>
      <c r="R469">
        <f t="shared" si="50"/>
        <v>0</v>
      </c>
      <c r="S469">
        <f>IF(COUNTIFS($B$1:$B$738,B468,$C$1:$C$738,#REF!)&gt;2,1,0)</f>
        <v>0</v>
      </c>
      <c r="T469">
        <f t="shared" si="51"/>
        <v>0</v>
      </c>
      <c r="U469">
        <f t="shared" si="52"/>
        <v>0</v>
      </c>
      <c r="V469">
        <f t="shared" si="53"/>
        <v>0</v>
      </c>
      <c r="W469">
        <f t="shared" si="55"/>
        <v>0</v>
      </c>
      <c r="X469" t="str" cm="1">
        <f t="array" ref="X469">_xlfn.IFS(W469&lt;=1,"Low",W469=2,"Medium",W469&gt;=3,"High")</f>
        <v>Low</v>
      </c>
    </row>
    <row r="470" spans="1:24" x14ac:dyDescent="0.3">
      <c r="A470" t="s">
        <v>948</v>
      </c>
      <c r="B470" t="s">
        <v>944</v>
      </c>
      <c r="C470" s="3">
        <v>45903</v>
      </c>
      <c r="D470" s="8" t="s">
        <v>846</v>
      </c>
      <c r="E470" s="7" t="s">
        <v>321</v>
      </c>
      <c r="F470" s="7" t="s">
        <v>61</v>
      </c>
      <c r="G470" s="7" t="s">
        <v>250</v>
      </c>
      <c r="H470" s="4">
        <v>5238.28</v>
      </c>
      <c r="I470" s="7" t="s">
        <v>95</v>
      </c>
      <c r="J470" s="7" t="s">
        <v>17</v>
      </c>
      <c r="L470" t="str">
        <f>PROPER(TRIM(SUBSTITUTE(_xlfn.XLOOKUP(B470,Cardholders_Reference!A:A,Cardholders_Reference!B:B),","," ")))</f>
        <v>Sanele Sithole</v>
      </c>
      <c r="M470" s="5">
        <f>_xlfn.XLOOKUP(B470,Cardholders_Reference!A:A,Cardholders_Reference!G:G)</f>
        <v>60000</v>
      </c>
      <c r="N470" s="7" t="str">
        <f>_xlfn.XLOOKUP(B470,Cardholders_Reference!A:A,Cardholders_Reference!D:D)</f>
        <v>Standard Bank</v>
      </c>
      <c r="O470" s="7" t="str">
        <f>_xlfn.XLOOKUP(B470,Cardholders_Reference!A:A,Cardholders_Reference!E:E)</f>
        <v>Visa</v>
      </c>
      <c r="P470" s="6">
        <f t="shared" si="54"/>
        <v>8.7304666666666669E-2</v>
      </c>
      <c r="Q470">
        <f t="shared" si="49"/>
        <v>0</v>
      </c>
      <c r="R470">
        <f t="shared" si="50"/>
        <v>0</v>
      </c>
      <c r="S470">
        <f>IF(COUNTIFS($B$1:$B$738,B469,$C$1:$C$738,#REF!)&gt;2,1,0)</f>
        <v>0</v>
      </c>
      <c r="T470">
        <f t="shared" si="51"/>
        <v>0</v>
      </c>
      <c r="U470">
        <f t="shared" si="52"/>
        <v>0</v>
      </c>
      <c r="V470">
        <f t="shared" si="53"/>
        <v>1</v>
      </c>
      <c r="W470">
        <f t="shared" si="55"/>
        <v>1</v>
      </c>
      <c r="X470" t="str" cm="1">
        <f t="array" ref="X470">_xlfn.IFS(W470&lt;=1,"Low",W470=2,"Medium",W470&gt;=3,"High")</f>
        <v>Low</v>
      </c>
    </row>
    <row r="471" spans="1:24" x14ac:dyDescent="0.3">
      <c r="A471" t="s">
        <v>949</v>
      </c>
      <c r="B471" t="s">
        <v>944</v>
      </c>
      <c r="C471" s="3">
        <v>46186</v>
      </c>
      <c r="D471" s="8" t="s">
        <v>817</v>
      </c>
      <c r="E471" s="7" t="s">
        <v>94</v>
      </c>
      <c r="F471" s="7" t="s">
        <v>53</v>
      </c>
      <c r="G471" s="7" t="s">
        <v>250</v>
      </c>
      <c r="H471" s="4">
        <v>1555.64</v>
      </c>
      <c r="I471" s="7" t="s">
        <v>26</v>
      </c>
      <c r="J471" s="7" t="s">
        <v>41</v>
      </c>
      <c r="L471" t="str">
        <f>PROPER(TRIM(SUBSTITUTE(_xlfn.XLOOKUP(B471,Cardholders_Reference!A:A,Cardholders_Reference!B:B),","," ")))</f>
        <v>Sanele Sithole</v>
      </c>
      <c r="M471" s="5">
        <f>_xlfn.XLOOKUP(B471,Cardholders_Reference!A:A,Cardholders_Reference!G:G)</f>
        <v>60000</v>
      </c>
      <c r="N471" s="7" t="str">
        <f>_xlfn.XLOOKUP(B471,Cardholders_Reference!A:A,Cardholders_Reference!D:D)</f>
        <v>Standard Bank</v>
      </c>
      <c r="O471" s="7" t="str">
        <f>_xlfn.XLOOKUP(B471,Cardholders_Reference!A:A,Cardholders_Reference!E:E)</f>
        <v>Visa</v>
      </c>
      <c r="P471" s="6">
        <f t="shared" si="54"/>
        <v>2.5927333333333333E-2</v>
      </c>
      <c r="Q471">
        <f t="shared" si="49"/>
        <v>0</v>
      </c>
      <c r="R471">
        <f t="shared" si="50"/>
        <v>0</v>
      </c>
      <c r="S471">
        <f>IF(COUNTIFS($B$1:$B$738,B470,$C$1:$C$738,#REF!)&gt;2,1,0)</f>
        <v>0</v>
      </c>
      <c r="T471">
        <f t="shared" si="51"/>
        <v>0</v>
      </c>
      <c r="U471">
        <f t="shared" si="52"/>
        <v>0</v>
      </c>
      <c r="V471">
        <f t="shared" si="53"/>
        <v>1</v>
      </c>
      <c r="W471">
        <f t="shared" si="55"/>
        <v>1</v>
      </c>
      <c r="X471" t="str" cm="1">
        <f t="array" ref="X471">_xlfn.IFS(W471&lt;=1,"Low",W471=2,"Medium",W471&gt;=3,"High")</f>
        <v>Low</v>
      </c>
    </row>
    <row r="472" spans="1:24" x14ac:dyDescent="0.3">
      <c r="A472" t="s">
        <v>950</v>
      </c>
      <c r="B472" t="s">
        <v>944</v>
      </c>
      <c r="C472" s="3">
        <v>46107</v>
      </c>
      <c r="D472" s="8" t="s">
        <v>1439</v>
      </c>
      <c r="E472" s="7" t="s">
        <v>156</v>
      </c>
      <c r="F472" s="7" t="s">
        <v>36</v>
      </c>
      <c r="G472" s="7" t="s">
        <v>250</v>
      </c>
      <c r="H472" s="4">
        <v>106.35</v>
      </c>
      <c r="I472" s="7" t="s">
        <v>32</v>
      </c>
      <c r="J472" s="7" t="s">
        <v>17</v>
      </c>
      <c r="L472" t="str">
        <f>PROPER(TRIM(SUBSTITUTE(_xlfn.XLOOKUP(B472,Cardholders_Reference!A:A,Cardholders_Reference!B:B),","," ")))</f>
        <v>Sanele Sithole</v>
      </c>
      <c r="M472" s="5">
        <f>_xlfn.XLOOKUP(B472,Cardholders_Reference!A:A,Cardholders_Reference!G:G)</f>
        <v>60000</v>
      </c>
      <c r="N472" s="7" t="str">
        <f>_xlfn.XLOOKUP(B472,Cardholders_Reference!A:A,Cardholders_Reference!D:D)</f>
        <v>Standard Bank</v>
      </c>
      <c r="O472" s="7" t="str">
        <f>_xlfn.XLOOKUP(B472,Cardholders_Reference!A:A,Cardholders_Reference!E:E)</f>
        <v>Visa</v>
      </c>
      <c r="P472" s="6">
        <f t="shared" si="54"/>
        <v>1.7725E-3</v>
      </c>
      <c r="Q472">
        <f t="shared" si="49"/>
        <v>0</v>
      </c>
      <c r="R472">
        <f t="shared" si="50"/>
        <v>1</v>
      </c>
      <c r="S472">
        <f>IF(COUNTIFS($B$1:$B$738,B471,$C$1:$C$738,#REF!)&gt;2,1,0)</f>
        <v>0</v>
      </c>
      <c r="T472">
        <f t="shared" si="51"/>
        <v>0</v>
      </c>
      <c r="U472">
        <f t="shared" si="52"/>
        <v>0</v>
      </c>
      <c r="V472">
        <f t="shared" si="53"/>
        <v>0</v>
      </c>
      <c r="W472">
        <f t="shared" si="55"/>
        <v>1</v>
      </c>
      <c r="X472" t="str" cm="1">
        <f t="array" ref="X472">_xlfn.IFS(W472&lt;=1,"Low",W472=2,"Medium",W472&gt;=3,"High")</f>
        <v>Low</v>
      </c>
    </row>
    <row r="473" spans="1:24" x14ac:dyDescent="0.3">
      <c r="A473" t="s">
        <v>951</v>
      </c>
      <c r="B473" t="s">
        <v>944</v>
      </c>
      <c r="C473" s="3">
        <v>46359</v>
      </c>
      <c r="D473" s="8" t="s">
        <v>624</v>
      </c>
      <c r="E473" s="7" t="s">
        <v>64</v>
      </c>
      <c r="F473" s="7" t="s">
        <v>65</v>
      </c>
      <c r="G473" s="7" t="s">
        <v>250</v>
      </c>
      <c r="H473" s="4">
        <v>1791.49</v>
      </c>
      <c r="I473" s="7" t="s">
        <v>95</v>
      </c>
      <c r="J473" s="7" t="s">
        <v>17</v>
      </c>
      <c r="L473" t="str">
        <f>PROPER(TRIM(SUBSTITUTE(_xlfn.XLOOKUP(B473,Cardholders_Reference!A:A,Cardholders_Reference!B:B),","," ")))</f>
        <v>Sanele Sithole</v>
      </c>
      <c r="M473" s="5">
        <f>_xlfn.XLOOKUP(B473,Cardholders_Reference!A:A,Cardholders_Reference!G:G)</f>
        <v>60000</v>
      </c>
      <c r="N473" s="7" t="str">
        <f>_xlfn.XLOOKUP(B473,Cardholders_Reference!A:A,Cardholders_Reference!D:D)</f>
        <v>Standard Bank</v>
      </c>
      <c r="O473" s="7" t="str">
        <f>_xlfn.XLOOKUP(B473,Cardholders_Reference!A:A,Cardholders_Reference!E:E)</f>
        <v>Visa</v>
      </c>
      <c r="P473" s="6">
        <f t="shared" si="54"/>
        <v>2.9858166666666668E-2</v>
      </c>
      <c r="Q473">
        <f t="shared" si="49"/>
        <v>0</v>
      </c>
      <c r="R473">
        <f t="shared" si="50"/>
        <v>0</v>
      </c>
      <c r="S473">
        <f>IF(COUNTIFS($B$1:$B$738,B472,$C$1:$C$738,#REF!)&gt;2,1,0)</f>
        <v>0</v>
      </c>
      <c r="T473">
        <f t="shared" si="51"/>
        <v>0</v>
      </c>
      <c r="U473">
        <f t="shared" si="52"/>
        <v>0</v>
      </c>
      <c r="V473">
        <f t="shared" si="53"/>
        <v>1</v>
      </c>
      <c r="W473">
        <f t="shared" si="55"/>
        <v>1</v>
      </c>
      <c r="X473" t="str" cm="1">
        <f t="array" ref="X473">_xlfn.IFS(W473&lt;=1,"Low",W473=2,"Medium",W473&gt;=3,"High")</f>
        <v>Low</v>
      </c>
    </row>
    <row r="474" spans="1:24" x14ac:dyDescent="0.3">
      <c r="A474" t="s">
        <v>952</v>
      </c>
      <c r="B474" t="s">
        <v>944</v>
      </c>
      <c r="C474" s="3">
        <v>45945</v>
      </c>
      <c r="D474" s="8" t="s">
        <v>803</v>
      </c>
      <c r="E474" s="7" t="s">
        <v>126</v>
      </c>
      <c r="F474" s="7" t="s">
        <v>53</v>
      </c>
      <c r="G474" s="7" t="s">
        <v>250</v>
      </c>
      <c r="H474" s="4">
        <v>575.51</v>
      </c>
      <c r="I474" s="7" t="s">
        <v>26</v>
      </c>
      <c r="J474" s="7" t="s">
        <v>17</v>
      </c>
      <c r="L474" t="str">
        <f>PROPER(TRIM(SUBSTITUTE(_xlfn.XLOOKUP(B474,Cardholders_Reference!A:A,Cardholders_Reference!B:B),","," ")))</f>
        <v>Sanele Sithole</v>
      </c>
      <c r="M474" s="5">
        <f>_xlfn.XLOOKUP(B474,Cardholders_Reference!A:A,Cardholders_Reference!G:G)</f>
        <v>60000</v>
      </c>
      <c r="N474" s="7" t="str">
        <f>_xlfn.XLOOKUP(B474,Cardholders_Reference!A:A,Cardholders_Reference!D:D)</f>
        <v>Standard Bank</v>
      </c>
      <c r="O474" s="7" t="str">
        <f>_xlfn.XLOOKUP(B474,Cardholders_Reference!A:A,Cardholders_Reference!E:E)</f>
        <v>Visa</v>
      </c>
      <c r="P474" s="6">
        <f t="shared" si="54"/>
        <v>9.5918333333333324E-3</v>
      </c>
      <c r="Q474">
        <f t="shared" si="49"/>
        <v>0</v>
      </c>
      <c r="R474">
        <f t="shared" si="50"/>
        <v>0</v>
      </c>
      <c r="S474">
        <f>IF(COUNTIFS($B$1:$B$738,B473,$C$1:$C$738,#REF!)&gt;2,1,0)</f>
        <v>0</v>
      </c>
      <c r="T474">
        <f t="shared" si="51"/>
        <v>0</v>
      </c>
      <c r="U474">
        <f t="shared" si="52"/>
        <v>1</v>
      </c>
      <c r="V474">
        <f t="shared" si="53"/>
        <v>1</v>
      </c>
      <c r="W474">
        <f t="shared" si="55"/>
        <v>2</v>
      </c>
      <c r="X474" t="str" cm="1">
        <f t="array" ref="X474">_xlfn.IFS(W474&lt;=1,"Low",W474=2,"Medium",W474&gt;=3,"High")</f>
        <v>Medium</v>
      </c>
    </row>
    <row r="475" spans="1:24" x14ac:dyDescent="0.3">
      <c r="A475" t="s">
        <v>953</v>
      </c>
      <c r="B475" t="s">
        <v>944</v>
      </c>
      <c r="C475" s="3">
        <v>46001</v>
      </c>
      <c r="D475" s="8" t="s">
        <v>954</v>
      </c>
      <c r="E475" s="7" t="s">
        <v>220</v>
      </c>
      <c r="F475" s="7" t="s">
        <v>91</v>
      </c>
      <c r="G475" s="7" t="s">
        <v>250</v>
      </c>
      <c r="H475" s="4">
        <v>2700.88</v>
      </c>
      <c r="I475" s="7" t="s">
        <v>95</v>
      </c>
      <c r="J475" s="7" t="s">
        <v>41</v>
      </c>
      <c r="L475" t="str">
        <f>PROPER(TRIM(SUBSTITUTE(_xlfn.XLOOKUP(B475,Cardholders_Reference!A:A,Cardholders_Reference!B:B),","," ")))</f>
        <v>Sanele Sithole</v>
      </c>
      <c r="M475" s="5">
        <f>_xlfn.XLOOKUP(B475,Cardholders_Reference!A:A,Cardholders_Reference!G:G)</f>
        <v>60000</v>
      </c>
      <c r="N475" s="7" t="str">
        <f>_xlfn.XLOOKUP(B475,Cardholders_Reference!A:A,Cardholders_Reference!D:D)</f>
        <v>Standard Bank</v>
      </c>
      <c r="O475" s="7" t="str">
        <f>_xlfn.XLOOKUP(B475,Cardholders_Reference!A:A,Cardholders_Reference!E:E)</f>
        <v>Visa</v>
      </c>
      <c r="P475" s="6">
        <f t="shared" si="54"/>
        <v>4.5014666666666668E-2</v>
      </c>
      <c r="Q475">
        <f t="shared" si="49"/>
        <v>0</v>
      </c>
      <c r="R475">
        <f t="shared" si="50"/>
        <v>0</v>
      </c>
      <c r="S475">
        <f>IF(COUNTIFS($B$1:$B$738,B474,$C$1:$C$738,#REF!)&gt;2,1,0)</f>
        <v>0</v>
      </c>
      <c r="T475">
        <f t="shared" si="51"/>
        <v>0</v>
      </c>
      <c r="U475">
        <f t="shared" si="52"/>
        <v>0</v>
      </c>
      <c r="V475">
        <f t="shared" si="53"/>
        <v>1</v>
      </c>
      <c r="W475">
        <f t="shared" si="55"/>
        <v>1</v>
      </c>
      <c r="X475" t="str" cm="1">
        <f t="array" ref="X475">_xlfn.IFS(W475&lt;=1,"Low",W475=2,"Medium",W475&gt;=3,"High")</f>
        <v>Low</v>
      </c>
    </row>
    <row r="476" spans="1:24" x14ac:dyDescent="0.3">
      <c r="A476" t="s">
        <v>955</v>
      </c>
      <c r="B476" t="s">
        <v>944</v>
      </c>
      <c r="C476" s="3">
        <v>45905</v>
      </c>
      <c r="D476" s="8" t="s">
        <v>305</v>
      </c>
      <c r="E476" s="7" t="s">
        <v>94</v>
      </c>
      <c r="F476" s="7" t="s">
        <v>53</v>
      </c>
      <c r="G476" s="7" t="s">
        <v>250</v>
      </c>
      <c r="H476" s="4">
        <v>888.32</v>
      </c>
      <c r="I476" s="7" t="s">
        <v>95</v>
      </c>
      <c r="J476" s="7" t="s">
        <v>17</v>
      </c>
      <c r="L476" t="str">
        <f>PROPER(TRIM(SUBSTITUTE(_xlfn.XLOOKUP(B476,Cardholders_Reference!A:A,Cardholders_Reference!B:B),","," ")))</f>
        <v>Sanele Sithole</v>
      </c>
      <c r="M476" s="5">
        <f>_xlfn.XLOOKUP(B476,Cardholders_Reference!A:A,Cardholders_Reference!G:G)</f>
        <v>60000</v>
      </c>
      <c r="N476" s="7" t="str">
        <f>_xlfn.XLOOKUP(B476,Cardholders_Reference!A:A,Cardholders_Reference!D:D)</f>
        <v>Standard Bank</v>
      </c>
      <c r="O476" s="7" t="str">
        <f>_xlfn.XLOOKUP(B476,Cardholders_Reference!A:A,Cardholders_Reference!E:E)</f>
        <v>Visa</v>
      </c>
      <c r="P476" s="6">
        <f t="shared" si="54"/>
        <v>1.4805333333333334E-2</v>
      </c>
      <c r="Q476">
        <f t="shared" si="49"/>
        <v>0</v>
      </c>
      <c r="R476">
        <f t="shared" si="50"/>
        <v>0</v>
      </c>
      <c r="S476">
        <f>IF(COUNTIFS($B$1:$B$738,B475,$C$1:$C$738,#REF!)&gt;2,1,0)</f>
        <v>0</v>
      </c>
      <c r="T476">
        <f t="shared" si="51"/>
        <v>0</v>
      </c>
      <c r="U476">
        <f t="shared" si="52"/>
        <v>0</v>
      </c>
      <c r="V476">
        <f t="shared" si="53"/>
        <v>1</v>
      </c>
      <c r="W476">
        <f t="shared" si="55"/>
        <v>1</v>
      </c>
      <c r="X476" t="str" cm="1">
        <f t="array" ref="X476">_xlfn.IFS(W476&lt;=1,"Low",W476=2,"Medium",W476&gt;=3,"High")</f>
        <v>Low</v>
      </c>
    </row>
    <row r="477" spans="1:24" x14ac:dyDescent="0.3">
      <c r="A477" t="s">
        <v>956</v>
      </c>
      <c r="B477" t="s">
        <v>957</v>
      </c>
      <c r="C477" s="3">
        <v>46083</v>
      </c>
      <c r="D477" s="8" t="s">
        <v>958</v>
      </c>
      <c r="E477" s="7" t="s">
        <v>331</v>
      </c>
      <c r="F477" s="7" t="s">
        <v>40</v>
      </c>
      <c r="G477" s="7" t="s">
        <v>250</v>
      </c>
      <c r="H477" s="4">
        <v>295.5</v>
      </c>
      <c r="I477" s="7" t="s">
        <v>26</v>
      </c>
      <c r="J477" s="7" t="s">
        <v>17</v>
      </c>
      <c r="L477" t="str">
        <f>PROPER(TRIM(SUBSTITUTE(_xlfn.XLOOKUP(B477,Cardholders_Reference!A:A,Cardholders_Reference!B:B),","," ")))</f>
        <v>Rachel Naidoo</v>
      </c>
      <c r="M477" s="5">
        <f>_xlfn.XLOOKUP(B477,Cardholders_Reference!A:A,Cardholders_Reference!G:G)</f>
        <v>15000</v>
      </c>
      <c r="N477" s="7" t="str">
        <f>_xlfn.XLOOKUP(B477,Cardholders_Reference!A:A,Cardholders_Reference!D:D)</f>
        <v>ABSA</v>
      </c>
      <c r="O477" s="7" t="str">
        <f>_xlfn.XLOOKUP(B477,Cardholders_Reference!A:A,Cardholders_Reference!E:E)</f>
        <v>Visa</v>
      </c>
      <c r="P477" s="6">
        <f t="shared" si="54"/>
        <v>1.9699999999999999E-2</v>
      </c>
      <c r="Q477">
        <f t="shared" si="49"/>
        <v>0</v>
      </c>
      <c r="R477">
        <f t="shared" si="50"/>
        <v>0</v>
      </c>
      <c r="S477">
        <f>IF(COUNTIFS($B$1:$B$738,B476,$C$1:$C$738,#REF!)&gt;2,1,0)</f>
        <v>0</v>
      </c>
      <c r="T477">
        <f t="shared" si="51"/>
        <v>0</v>
      </c>
      <c r="U477">
        <f t="shared" si="52"/>
        <v>0</v>
      </c>
      <c r="V477">
        <f t="shared" si="53"/>
        <v>1</v>
      </c>
      <c r="W477">
        <f t="shared" si="55"/>
        <v>1</v>
      </c>
      <c r="X477" t="str" cm="1">
        <f t="array" ref="X477">_xlfn.IFS(W477&lt;=1,"Low",W477=2,"Medium",W477&gt;=3,"High")</f>
        <v>Low</v>
      </c>
    </row>
    <row r="478" spans="1:24" x14ac:dyDescent="0.3">
      <c r="A478" t="s">
        <v>959</v>
      </c>
      <c r="B478" t="s">
        <v>957</v>
      </c>
      <c r="C478" s="3">
        <v>45839</v>
      </c>
      <c r="D478" s="8" t="s">
        <v>960</v>
      </c>
      <c r="E478" s="7" t="s">
        <v>39</v>
      </c>
      <c r="F478" s="7" t="s">
        <v>40</v>
      </c>
      <c r="G478" s="7" t="s">
        <v>250</v>
      </c>
      <c r="H478" s="4">
        <v>416.33</v>
      </c>
      <c r="I478" s="7" t="s">
        <v>95</v>
      </c>
      <c r="J478" s="7" t="s">
        <v>41</v>
      </c>
      <c r="L478" t="str">
        <f>PROPER(TRIM(SUBSTITUTE(_xlfn.XLOOKUP(B478,Cardholders_Reference!A:A,Cardholders_Reference!B:B),","," ")))</f>
        <v>Rachel Naidoo</v>
      </c>
      <c r="M478" s="5">
        <f>_xlfn.XLOOKUP(B478,Cardholders_Reference!A:A,Cardholders_Reference!G:G)</f>
        <v>15000</v>
      </c>
      <c r="N478" s="7" t="str">
        <f>_xlfn.XLOOKUP(B478,Cardholders_Reference!A:A,Cardholders_Reference!D:D)</f>
        <v>ABSA</v>
      </c>
      <c r="O478" s="7" t="str">
        <f>_xlfn.XLOOKUP(B478,Cardholders_Reference!A:A,Cardholders_Reference!E:E)</f>
        <v>Visa</v>
      </c>
      <c r="P478" s="6">
        <f t="shared" si="54"/>
        <v>2.7755333333333333E-2</v>
      </c>
      <c r="Q478">
        <f t="shared" si="49"/>
        <v>0</v>
      </c>
      <c r="R478">
        <f t="shared" si="50"/>
        <v>0</v>
      </c>
      <c r="S478">
        <f>IF(COUNTIFS($B$1:$B$738,B477,$C$1:$C$738,#REF!)&gt;2,1,0)</f>
        <v>0</v>
      </c>
      <c r="T478">
        <f t="shared" si="51"/>
        <v>0</v>
      </c>
      <c r="U478">
        <f t="shared" si="52"/>
        <v>0</v>
      </c>
      <c r="V478">
        <f t="shared" si="53"/>
        <v>1</v>
      </c>
      <c r="W478">
        <f t="shared" si="55"/>
        <v>1</v>
      </c>
      <c r="X478" t="str" cm="1">
        <f t="array" ref="X478">_xlfn.IFS(W478&lt;=1,"Low",W478=2,"Medium",W478&gt;=3,"High")</f>
        <v>Low</v>
      </c>
    </row>
    <row r="479" spans="1:24" x14ac:dyDescent="0.3">
      <c r="A479" t="s">
        <v>961</v>
      </c>
      <c r="B479" t="s">
        <v>957</v>
      </c>
      <c r="C479" s="3">
        <v>46237</v>
      </c>
      <c r="D479" s="8" t="s">
        <v>868</v>
      </c>
      <c r="E479" s="7" t="s">
        <v>368</v>
      </c>
      <c r="F479" s="7" t="s">
        <v>21</v>
      </c>
      <c r="G479" s="7" t="s">
        <v>250</v>
      </c>
      <c r="H479" s="4">
        <v>2030.46</v>
      </c>
      <c r="I479" s="7" t="s">
        <v>26</v>
      </c>
      <c r="J479" s="7" t="s">
        <v>17</v>
      </c>
      <c r="L479" t="str">
        <f>PROPER(TRIM(SUBSTITUTE(_xlfn.XLOOKUP(B479,Cardholders_Reference!A:A,Cardholders_Reference!B:B),","," ")))</f>
        <v>Rachel Naidoo</v>
      </c>
      <c r="M479" s="5">
        <f>_xlfn.XLOOKUP(B479,Cardholders_Reference!A:A,Cardholders_Reference!G:G)</f>
        <v>15000</v>
      </c>
      <c r="N479" s="7" t="str">
        <f>_xlfn.XLOOKUP(B479,Cardholders_Reference!A:A,Cardholders_Reference!D:D)</f>
        <v>ABSA</v>
      </c>
      <c r="O479" s="7" t="str">
        <f>_xlfn.XLOOKUP(B479,Cardholders_Reference!A:A,Cardholders_Reference!E:E)</f>
        <v>Visa</v>
      </c>
      <c r="P479" s="6">
        <f t="shared" si="54"/>
        <v>0.13536400000000001</v>
      </c>
      <c r="Q479">
        <f t="shared" si="49"/>
        <v>0</v>
      </c>
      <c r="R479">
        <f t="shared" si="50"/>
        <v>0</v>
      </c>
      <c r="S479">
        <f>IF(COUNTIFS($B$1:$B$738,B478,$C$1:$C$738,#REF!)&gt;2,1,0)</f>
        <v>0</v>
      </c>
      <c r="T479">
        <f t="shared" si="51"/>
        <v>0</v>
      </c>
      <c r="U479">
        <f t="shared" si="52"/>
        <v>0</v>
      </c>
      <c r="V479">
        <f t="shared" si="53"/>
        <v>1</v>
      </c>
      <c r="W479">
        <f t="shared" si="55"/>
        <v>1</v>
      </c>
      <c r="X479" t="str" cm="1">
        <f t="array" ref="X479">_xlfn.IFS(W479&lt;=1,"Low",W479=2,"Medium",W479&gt;=3,"High")</f>
        <v>Low</v>
      </c>
    </row>
    <row r="480" spans="1:24" x14ac:dyDescent="0.3">
      <c r="A480" t="s">
        <v>962</v>
      </c>
      <c r="B480" t="s">
        <v>957</v>
      </c>
      <c r="C480" s="3">
        <v>46510</v>
      </c>
      <c r="D480" s="8" t="s">
        <v>895</v>
      </c>
      <c r="E480" s="7" t="s">
        <v>73</v>
      </c>
      <c r="F480" s="7" t="s">
        <v>74</v>
      </c>
      <c r="G480" s="7" t="s">
        <v>264</v>
      </c>
      <c r="H480" s="4">
        <v>414.59</v>
      </c>
      <c r="I480" s="7" t="s">
        <v>26</v>
      </c>
      <c r="J480" s="7" t="s">
        <v>17</v>
      </c>
      <c r="L480" t="str">
        <f>PROPER(TRIM(SUBSTITUTE(_xlfn.XLOOKUP(B480,Cardholders_Reference!A:A,Cardholders_Reference!B:B),","," ")))</f>
        <v>Rachel Naidoo</v>
      </c>
      <c r="M480" s="5">
        <f>_xlfn.XLOOKUP(B480,Cardholders_Reference!A:A,Cardholders_Reference!G:G)</f>
        <v>15000</v>
      </c>
      <c r="N480" s="7" t="str">
        <f>_xlfn.XLOOKUP(B480,Cardholders_Reference!A:A,Cardholders_Reference!D:D)</f>
        <v>ABSA</v>
      </c>
      <c r="O480" s="7" t="str">
        <f>_xlfn.XLOOKUP(B480,Cardholders_Reference!A:A,Cardholders_Reference!E:E)</f>
        <v>Visa</v>
      </c>
      <c r="P480" s="6">
        <f t="shared" si="54"/>
        <v>2.7639333333333332E-2</v>
      </c>
      <c r="Q480">
        <f t="shared" si="49"/>
        <v>0</v>
      </c>
      <c r="R480">
        <f t="shared" si="50"/>
        <v>0</v>
      </c>
      <c r="S480">
        <f>IF(COUNTIFS($B$1:$B$738,B479,$C$1:$C$738,#REF!)&gt;2,1,0)</f>
        <v>0</v>
      </c>
      <c r="T480">
        <f t="shared" si="51"/>
        <v>0</v>
      </c>
      <c r="U480">
        <f t="shared" si="52"/>
        <v>1</v>
      </c>
      <c r="V480">
        <f t="shared" si="53"/>
        <v>1</v>
      </c>
      <c r="W480">
        <f t="shared" si="55"/>
        <v>2</v>
      </c>
      <c r="X480" t="str" cm="1">
        <f t="array" ref="X480">_xlfn.IFS(W480&lt;=1,"Low",W480=2,"Medium",W480&gt;=3,"High")</f>
        <v>Medium</v>
      </c>
    </row>
    <row r="481" spans="1:24" x14ac:dyDescent="0.3">
      <c r="A481" t="s">
        <v>963</v>
      </c>
      <c r="B481" t="s">
        <v>957</v>
      </c>
      <c r="C481" s="3">
        <v>45928</v>
      </c>
      <c r="D481" s="8" t="s">
        <v>940</v>
      </c>
      <c r="E481" s="7" t="s">
        <v>35</v>
      </c>
      <c r="F481" s="7" t="s">
        <v>36</v>
      </c>
      <c r="G481" s="7" t="s">
        <v>177</v>
      </c>
      <c r="H481" s="4">
        <v>407.24</v>
      </c>
      <c r="I481" s="7" t="s">
        <v>32</v>
      </c>
      <c r="J481" s="7" t="s">
        <v>17</v>
      </c>
      <c r="L481" t="str">
        <f>PROPER(TRIM(SUBSTITUTE(_xlfn.XLOOKUP(B481,Cardholders_Reference!A:A,Cardholders_Reference!B:B),","," ")))</f>
        <v>Rachel Naidoo</v>
      </c>
      <c r="M481" s="5">
        <f>_xlfn.XLOOKUP(B481,Cardholders_Reference!A:A,Cardholders_Reference!G:G)</f>
        <v>15000</v>
      </c>
      <c r="N481" s="7" t="str">
        <f>_xlfn.XLOOKUP(B481,Cardholders_Reference!A:A,Cardholders_Reference!D:D)</f>
        <v>ABSA</v>
      </c>
      <c r="O481" s="7" t="str">
        <f>_xlfn.XLOOKUP(B481,Cardholders_Reference!A:A,Cardholders_Reference!E:E)</f>
        <v>Visa</v>
      </c>
      <c r="P481" s="6">
        <f t="shared" si="54"/>
        <v>2.7149333333333334E-2</v>
      </c>
      <c r="Q481">
        <f t="shared" si="49"/>
        <v>1</v>
      </c>
      <c r="R481">
        <f t="shared" si="50"/>
        <v>0</v>
      </c>
      <c r="S481">
        <f>IF(COUNTIFS($B$1:$B$738,B480,$C$1:$C$738,#REF!)&gt;2,1,0)</f>
        <v>0</v>
      </c>
      <c r="T481">
        <f t="shared" si="51"/>
        <v>0</v>
      </c>
      <c r="U481">
        <f t="shared" si="52"/>
        <v>0</v>
      </c>
      <c r="V481">
        <f t="shared" si="53"/>
        <v>0</v>
      </c>
      <c r="W481">
        <f t="shared" si="55"/>
        <v>1</v>
      </c>
      <c r="X481" t="str" cm="1">
        <f t="array" ref="X481">_xlfn.IFS(W481&lt;=1,"Low",W481=2,"Medium",W481&gt;=3,"High")</f>
        <v>Low</v>
      </c>
    </row>
    <row r="482" spans="1:24" x14ac:dyDescent="0.3">
      <c r="A482" t="s">
        <v>964</v>
      </c>
      <c r="B482" t="s">
        <v>957</v>
      </c>
      <c r="C482" s="3">
        <v>45901</v>
      </c>
      <c r="D482" s="8" t="s">
        <v>965</v>
      </c>
      <c r="E482" s="7" t="s">
        <v>215</v>
      </c>
      <c r="F482" s="7" t="s">
        <v>15</v>
      </c>
      <c r="G482" s="7" t="s">
        <v>250</v>
      </c>
      <c r="H482" s="4">
        <v>2073.16</v>
      </c>
      <c r="I482" s="7" t="s">
        <v>16</v>
      </c>
      <c r="J482" s="7" t="s">
        <v>41</v>
      </c>
      <c r="L482" t="str">
        <f>PROPER(TRIM(SUBSTITUTE(_xlfn.XLOOKUP(B482,Cardholders_Reference!A:A,Cardholders_Reference!B:B),","," ")))</f>
        <v>Rachel Naidoo</v>
      </c>
      <c r="M482" s="5">
        <f>_xlfn.XLOOKUP(B482,Cardholders_Reference!A:A,Cardholders_Reference!G:G)</f>
        <v>15000</v>
      </c>
      <c r="N482" s="7" t="str">
        <f>_xlfn.XLOOKUP(B482,Cardholders_Reference!A:A,Cardholders_Reference!D:D)</f>
        <v>ABSA</v>
      </c>
      <c r="O482" s="7" t="str">
        <f>_xlfn.XLOOKUP(B482,Cardholders_Reference!A:A,Cardholders_Reference!E:E)</f>
        <v>Visa</v>
      </c>
      <c r="P482" s="6">
        <f t="shared" si="54"/>
        <v>0.13821066666666665</v>
      </c>
      <c r="Q482">
        <f t="shared" si="49"/>
        <v>1</v>
      </c>
      <c r="R482">
        <f t="shared" si="50"/>
        <v>0</v>
      </c>
      <c r="S482">
        <f>IF(COUNTIFS($B$1:$B$738,B481,$C$1:$C$738,#REF!)&gt;2,1,0)</f>
        <v>0</v>
      </c>
      <c r="T482">
        <f t="shared" si="51"/>
        <v>0</v>
      </c>
      <c r="U482">
        <f t="shared" si="52"/>
        <v>0</v>
      </c>
      <c r="V482">
        <f t="shared" si="53"/>
        <v>0</v>
      </c>
      <c r="W482">
        <f t="shared" si="55"/>
        <v>1</v>
      </c>
      <c r="X482" t="str" cm="1">
        <f t="array" ref="X482">_xlfn.IFS(W482&lt;=1,"Low",W482=2,"Medium",W482&gt;=3,"High")</f>
        <v>Low</v>
      </c>
    </row>
    <row r="483" spans="1:24" x14ac:dyDescent="0.3">
      <c r="A483" t="s">
        <v>966</v>
      </c>
      <c r="B483" t="s">
        <v>957</v>
      </c>
      <c r="C483" s="3">
        <v>46480</v>
      </c>
      <c r="D483" s="8" t="s">
        <v>967</v>
      </c>
      <c r="E483" s="7" t="s">
        <v>140</v>
      </c>
      <c r="F483" s="7" t="s">
        <v>53</v>
      </c>
      <c r="G483" s="7" t="s">
        <v>250</v>
      </c>
      <c r="H483" s="4">
        <v>1242.28</v>
      </c>
      <c r="I483" s="7" t="s">
        <v>26</v>
      </c>
      <c r="J483" s="7" t="s">
        <v>17</v>
      </c>
      <c r="L483" t="str">
        <f>PROPER(TRIM(SUBSTITUTE(_xlfn.XLOOKUP(B483,Cardholders_Reference!A:A,Cardholders_Reference!B:B),","," ")))</f>
        <v>Rachel Naidoo</v>
      </c>
      <c r="M483" s="5">
        <f>_xlfn.XLOOKUP(B483,Cardholders_Reference!A:A,Cardholders_Reference!G:G)</f>
        <v>15000</v>
      </c>
      <c r="N483" s="7" t="str">
        <f>_xlfn.XLOOKUP(B483,Cardholders_Reference!A:A,Cardholders_Reference!D:D)</f>
        <v>ABSA</v>
      </c>
      <c r="O483" s="7" t="str">
        <f>_xlfn.XLOOKUP(B483,Cardholders_Reference!A:A,Cardholders_Reference!E:E)</f>
        <v>Visa</v>
      </c>
      <c r="P483" s="6">
        <f t="shared" si="54"/>
        <v>8.2818666666666665E-2</v>
      </c>
      <c r="Q483">
        <f t="shared" si="49"/>
        <v>0</v>
      </c>
      <c r="R483">
        <f t="shared" si="50"/>
        <v>0</v>
      </c>
      <c r="S483">
        <f>IF(COUNTIFS($B$1:$B$738,B482,$C$1:$C$738,#REF!)&gt;2,1,0)</f>
        <v>0</v>
      </c>
      <c r="T483">
        <f t="shared" si="51"/>
        <v>0</v>
      </c>
      <c r="U483">
        <f t="shared" si="52"/>
        <v>0</v>
      </c>
      <c r="V483">
        <f t="shared" si="53"/>
        <v>1</v>
      </c>
      <c r="W483">
        <f t="shared" si="55"/>
        <v>1</v>
      </c>
      <c r="X483" t="str" cm="1">
        <f t="array" ref="X483">_xlfn.IFS(W483&lt;=1,"Low",W483=2,"Medium",W483&gt;=3,"High")</f>
        <v>Low</v>
      </c>
    </row>
    <row r="484" spans="1:24" x14ac:dyDescent="0.3">
      <c r="A484" t="s">
        <v>968</v>
      </c>
      <c r="B484" t="s">
        <v>957</v>
      </c>
      <c r="C484" s="3">
        <v>46089</v>
      </c>
      <c r="D484" s="8" t="s">
        <v>969</v>
      </c>
      <c r="E484" s="7" t="s">
        <v>137</v>
      </c>
      <c r="F484" s="7" t="s">
        <v>40</v>
      </c>
      <c r="G484" s="7" t="s">
        <v>250</v>
      </c>
      <c r="H484" s="4">
        <v>421.83</v>
      </c>
      <c r="I484" s="7" t="s">
        <v>16</v>
      </c>
      <c r="J484" s="7" t="s">
        <v>41</v>
      </c>
      <c r="L484" t="str">
        <f>PROPER(TRIM(SUBSTITUTE(_xlfn.XLOOKUP(B484,Cardholders_Reference!A:A,Cardholders_Reference!B:B),","," ")))</f>
        <v>Rachel Naidoo</v>
      </c>
      <c r="M484" s="5">
        <f>_xlfn.XLOOKUP(B484,Cardholders_Reference!A:A,Cardholders_Reference!G:G)</f>
        <v>15000</v>
      </c>
      <c r="N484" s="7" t="str">
        <f>_xlfn.XLOOKUP(B484,Cardholders_Reference!A:A,Cardholders_Reference!D:D)</f>
        <v>ABSA</v>
      </c>
      <c r="O484" s="7" t="str">
        <f>_xlfn.XLOOKUP(B484,Cardholders_Reference!A:A,Cardholders_Reference!E:E)</f>
        <v>Visa</v>
      </c>
      <c r="P484" s="6">
        <f t="shared" si="54"/>
        <v>2.8121999999999998E-2</v>
      </c>
      <c r="Q484">
        <f t="shared" si="49"/>
        <v>0</v>
      </c>
      <c r="R484">
        <f t="shared" si="50"/>
        <v>0</v>
      </c>
      <c r="S484">
        <f>IF(COUNTIFS($B$1:$B$738,B483,$C$1:$C$738,#REF!)&gt;2,1,0)</f>
        <v>0</v>
      </c>
      <c r="T484">
        <f t="shared" si="51"/>
        <v>0</v>
      </c>
      <c r="U484">
        <f t="shared" si="52"/>
        <v>0</v>
      </c>
      <c r="V484">
        <f t="shared" si="53"/>
        <v>0</v>
      </c>
      <c r="W484">
        <f t="shared" si="55"/>
        <v>0</v>
      </c>
      <c r="X484" t="str" cm="1">
        <f t="array" ref="X484">_xlfn.IFS(W484&lt;=1,"Low",W484=2,"Medium",W484&gt;=3,"High")</f>
        <v>Low</v>
      </c>
    </row>
    <row r="485" spans="1:24" x14ac:dyDescent="0.3">
      <c r="A485" t="s">
        <v>970</v>
      </c>
      <c r="B485" t="s">
        <v>957</v>
      </c>
      <c r="C485" s="3">
        <v>45896</v>
      </c>
      <c r="D485" s="8" t="s">
        <v>1439</v>
      </c>
      <c r="E485" s="7" t="s">
        <v>242</v>
      </c>
      <c r="F485" s="7" t="s">
        <v>15</v>
      </c>
      <c r="G485" s="7" t="s">
        <v>250</v>
      </c>
      <c r="H485" s="4">
        <v>3362.14</v>
      </c>
      <c r="I485" s="7" t="s">
        <v>95</v>
      </c>
      <c r="J485" s="7" t="s">
        <v>17</v>
      </c>
      <c r="L485" t="str">
        <f>PROPER(TRIM(SUBSTITUTE(_xlfn.XLOOKUP(B485,Cardholders_Reference!A:A,Cardholders_Reference!B:B),","," ")))</f>
        <v>Rachel Naidoo</v>
      </c>
      <c r="M485" s="5">
        <f>_xlfn.XLOOKUP(B485,Cardholders_Reference!A:A,Cardholders_Reference!G:G)</f>
        <v>15000</v>
      </c>
      <c r="N485" s="7" t="str">
        <f>_xlfn.XLOOKUP(B485,Cardholders_Reference!A:A,Cardholders_Reference!D:D)</f>
        <v>ABSA</v>
      </c>
      <c r="O485" s="7" t="str">
        <f>_xlfn.XLOOKUP(B485,Cardholders_Reference!A:A,Cardholders_Reference!E:E)</f>
        <v>Visa</v>
      </c>
      <c r="P485" s="6">
        <f t="shared" si="54"/>
        <v>0.22414266666666666</v>
      </c>
      <c r="Q485">
        <f t="shared" si="49"/>
        <v>0</v>
      </c>
      <c r="R485">
        <f t="shared" si="50"/>
        <v>1</v>
      </c>
      <c r="S485">
        <f>IF(COUNTIFS($B$1:$B$738,B484,$C$1:$C$738,#REF!)&gt;2,1,0)</f>
        <v>0</v>
      </c>
      <c r="T485">
        <f t="shared" si="51"/>
        <v>0</v>
      </c>
      <c r="U485">
        <f t="shared" si="52"/>
        <v>0</v>
      </c>
      <c r="V485">
        <f t="shared" si="53"/>
        <v>1</v>
      </c>
      <c r="W485">
        <f t="shared" si="55"/>
        <v>2</v>
      </c>
      <c r="X485" t="str" cm="1">
        <f t="array" ref="X485">_xlfn.IFS(W485&lt;=1,"Low",W485=2,"Medium",W485&gt;=3,"High")</f>
        <v>Medium</v>
      </c>
    </row>
    <row r="486" spans="1:24" x14ac:dyDescent="0.3">
      <c r="A486" t="s">
        <v>971</v>
      </c>
      <c r="B486" t="s">
        <v>957</v>
      </c>
      <c r="C486" s="3">
        <v>46072</v>
      </c>
      <c r="D486" s="8" t="s">
        <v>357</v>
      </c>
      <c r="E486" s="7" t="s">
        <v>84</v>
      </c>
      <c r="F486" s="7" t="s">
        <v>61</v>
      </c>
      <c r="G486" s="7" t="s">
        <v>250</v>
      </c>
      <c r="H486" s="4">
        <v>2844.72</v>
      </c>
      <c r="I486" s="7" t="s">
        <v>32</v>
      </c>
      <c r="J486" s="7" t="s">
        <v>17</v>
      </c>
      <c r="L486" t="str">
        <f>PROPER(TRIM(SUBSTITUTE(_xlfn.XLOOKUP(B486,Cardholders_Reference!A:A,Cardholders_Reference!B:B),","," ")))</f>
        <v>Rachel Naidoo</v>
      </c>
      <c r="M486" s="5">
        <f>_xlfn.XLOOKUP(B486,Cardholders_Reference!A:A,Cardholders_Reference!G:G)</f>
        <v>15000</v>
      </c>
      <c r="N486" s="7" t="str">
        <f>_xlfn.XLOOKUP(B486,Cardholders_Reference!A:A,Cardholders_Reference!D:D)</f>
        <v>ABSA</v>
      </c>
      <c r="O486" s="7" t="str">
        <f>_xlfn.XLOOKUP(B486,Cardholders_Reference!A:A,Cardholders_Reference!E:E)</f>
        <v>Visa</v>
      </c>
      <c r="P486" s="6">
        <f t="shared" si="54"/>
        <v>0.18964799999999998</v>
      </c>
      <c r="Q486">
        <f t="shared" si="49"/>
        <v>0</v>
      </c>
      <c r="R486">
        <f t="shared" si="50"/>
        <v>0</v>
      </c>
      <c r="S486">
        <f>IF(COUNTIFS($B$1:$B$738,B485,$C$1:$C$738,#REF!)&gt;2,1,0)</f>
        <v>0</v>
      </c>
      <c r="T486">
        <f t="shared" si="51"/>
        <v>0</v>
      </c>
      <c r="U486">
        <f t="shared" si="52"/>
        <v>0</v>
      </c>
      <c r="V486">
        <f t="shared" si="53"/>
        <v>0</v>
      </c>
      <c r="W486">
        <f t="shared" si="55"/>
        <v>0</v>
      </c>
      <c r="X486" t="str" cm="1">
        <f t="array" ref="X486">_xlfn.IFS(W486&lt;=1,"Low",W486=2,"Medium",W486&gt;=3,"High")</f>
        <v>Low</v>
      </c>
    </row>
    <row r="487" spans="1:24" x14ac:dyDescent="0.3">
      <c r="A487" t="s">
        <v>972</v>
      </c>
      <c r="B487" t="s">
        <v>957</v>
      </c>
      <c r="C487" s="3">
        <v>46152</v>
      </c>
      <c r="D487" s="8" t="s">
        <v>973</v>
      </c>
      <c r="E487" s="7" t="s">
        <v>97</v>
      </c>
      <c r="F487" s="7" t="s">
        <v>53</v>
      </c>
      <c r="G487" s="7" t="s">
        <v>250</v>
      </c>
      <c r="H487" s="4">
        <v>770.25</v>
      </c>
      <c r="I487" s="7" t="s">
        <v>95</v>
      </c>
      <c r="J487" s="7" t="s">
        <v>17</v>
      </c>
      <c r="L487" t="str">
        <f>PROPER(TRIM(SUBSTITUTE(_xlfn.XLOOKUP(B487,Cardholders_Reference!A:A,Cardholders_Reference!B:B),","," ")))</f>
        <v>Rachel Naidoo</v>
      </c>
      <c r="M487" s="5">
        <f>_xlfn.XLOOKUP(B487,Cardholders_Reference!A:A,Cardholders_Reference!G:G)</f>
        <v>15000</v>
      </c>
      <c r="N487" s="7" t="str">
        <f>_xlfn.XLOOKUP(B487,Cardholders_Reference!A:A,Cardholders_Reference!D:D)</f>
        <v>ABSA</v>
      </c>
      <c r="O487" s="7" t="str">
        <f>_xlfn.XLOOKUP(B487,Cardholders_Reference!A:A,Cardholders_Reference!E:E)</f>
        <v>Visa</v>
      </c>
      <c r="P487" s="6">
        <f t="shared" si="54"/>
        <v>5.135E-2</v>
      </c>
      <c r="Q487">
        <f t="shared" si="49"/>
        <v>0</v>
      </c>
      <c r="R487">
        <f t="shared" si="50"/>
        <v>0</v>
      </c>
      <c r="S487">
        <f>IF(COUNTIFS($B$1:$B$738,B486,$C$1:$C$738,#REF!)&gt;2,1,0)</f>
        <v>0</v>
      </c>
      <c r="T487">
        <f t="shared" si="51"/>
        <v>0</v>
      </c>
      <c r="U487">
        <f t="shared" si="52"/>
        <v>0</v>
      </c>
      <c r="V487">
        <f t="shared" si="53"/>
        <v>1</v>
      </c>
      <c r="W487">
        <f t="shared" si="55"/>
        <v>1</v>
      </c>
      <c r="X487" t="str" cm="1">
        <f t="array" ref="X487">_xlfn.IFS(W487&lt;=1,"Low",W487=2,"Medium",W487&gt;=3,"High")</f>
        <v>Low</v>
      </c>
    </row>
    <row r="488" spans="1:24" x14ac:dyDescent="0.3">
      <c r="A488" t="s">
        <v>974</v>
      </c>
      <c r="B488" t="s">
        <v>957</v>
      </c>
      <c r="C488" s="3">
        <v>45910</v>
      </c>
      <c r="D488" s="8" t="s">
        <v>975</v>
      </c>
      <c r="E488" s="7" t="s">
        <v>132</v>
      </c>
      <c r="F488" s="7" t="s">
        <v>25</v>
      </c>
      <c r="G488" s="7" t="s">
        <v>250</v>
      </c>
      <c r="H488" s="4">
        <v>837.16</v>
      </c>
      <c r="I488" s="7" t="s">
        <v>95</v>
      </c>
      <c r="J488" s="7" t="s">
        <v>41</v>
      </c>
      <c r="L488" t="str">
        <f>PROPER(TRIM(SUBSTITUTE(_xlfn.XLOOKUP(B488,Cardholders_Reference!A:A,Cardholders_Reference!B:B),","," ")))</f>
        <v>Rachel Naidoo</v>
      </c>
      <c r="M488" s="5">
        <f>_xlfn.XLOOKUP(B488,Cardholders_Reference!A:A,Cardholders_Reference!G:G)</f>
        <v>15000</v>
      </c>
      <c r="N488" s="7" t="str">
        <f>_xlfn.XLOOKUP(B488,Cardholders_Reference!A:A,Cardholders_Reference!D:D)</f>
        <v>ABSA</v>
      </c>
      <c r="O488" s="7" t="str">
        <f>_xlfn.XLOOKUP(B488,Cardholders_Reference!A:A,Cardholders_Reference!E:E)</f>
        <v>Visa</v>
      </c>
      <c r="P488" s="6">
        <f t="shared" si="54"/>
        <v>5.5810666666666661E-2</v>
      </c>
      <c r="Q488">
        <f t="shared" si="49"/>
        <v>0</v>
      </c>
      <c r="R488">
        <f t="shared" si="50"/>
        <v>0</v>
      </c>
      <c r="S488">
        <f>IF(COUNTIFS($B$1:$B$738,B487,$C$1:$C$738,#REF!)&gt;2,1,0)</f>
        <v>0</v>
      </c>
      <c r="T488">
        <f t="shared" si="51"/>
        <v>0</v>
      </c>
      <c r="U488">
        <f t="shared" si="52"/>
        <v>0</v>
      </c>
      <c r="V488">
        <f t="shared" si="53"/>
        <v>1</v>
      </c>
      <c r="W488">
        <f t="shared" si="55"/>
        <v>1</v>
      </c>
      <c r="X488" t="str" cm="1">
        <f t="array" ref="X488">_xlfn.IFS(W488&lt;=1,"Low",W488=2,"Medium",W488&gt;=3,"High")</f>
        <v>Low</v>
      </c>
    </row>
    <row r="489" spans="1:24" x14ac:dyDescent="0.3">
      <c r="A489" t="s">
        <v>976</v>
      </c>
      <c r="B489" t="s">
        <v>977</v>
      </c>
      <c r="C489" s="3">
        <v>46026</v>
      </c>
      <c r="D489" s="8" t="s">
        <v>978</v>
      </c>
      <c r="E489" s="7" t="s">
        <v>180</v>
      </c>
      <c r="F489" s="7" t="s">
        <v>21</v>
      </c>
      <c r="G489" s="7" t="s">
        <v>250</v>
      </c>
      <c r="H489" s="4">
        <v>791.59</v>
      </c>
      <c r="I489" s="7" t="s">
        <v>32</v>
      </c>
      <c r="J489" s="7" t="s">
        <v>17</v>
      </c>
      <c r="L489" t="str">
        <f>PROPER(TRIM(SUBSTITUTE(_xlfn.XLOOKUP(B489,Cardholders_Reference!A:A,Cardholders_Reference!B:B),","," ")))</f>
        <v>Nomvula Pretorius</v>
      </c>
      <c r="M489" s="5">
        <f>_xlfn.XLOOKUP(B489,Cardholders_Reference!A:A,Cardholders_Reference!G:G)</f>
        <v>15000</v>
      </c>
      <c r="N489" s="7" t="str">
        <f>_xlfn.XLOOKUP(B489,Cardholders_Reference!A:A,Cardholders_Reference!D:D)</f>
        <v>Capitec</v>
      </c>
      <c r="O489" s="7" t="str">
        <f>_xlfn.XLOOKUP(B489,Cardholders_Reference!A:A,Cardholders_Reference!E:E)</f>
        <v>Visa</v>
      </c>
      <c r="P489" s="6">
        <f t="shared" si="54"/>
        <v>5.2772666666666669E-2</v>
      </c>
      <c r="Q489">
        <f t="shared" si="49"/>
        <v>0</v>
      </c>
      <c r="R489">
        <f t="shared" si="50"/>
        <v>0</v>
      </c>
      <c r="S489">
        <f>IF(COUNTIFS($B$1:$B$738,B488,$C$1:$C$738,#REF!)&gt;2,1,0)</f>
        <v>0</v>
      </c>
      <c r="T489">
        <f t="shared" si="51"/>
        <v>0</v>
      </c>
      <c r="U489">
        <f t="shared" si="52"/>
        <v>0</v>
      </c>
      <c r="V489">
        <f t="shared" si="53"/>
        <v>0</v>
      </c>
      <c r="W489">
        <f t="shared" si="55"/>
        <v>0</v>
      </c>
      <c r="X489" t="str" cm="1">
        <f t="array" ref="X489">_xlfn.IFS(W489&lt;=1,"Low",W489=2,"Medium",W489&gt;=3,"High")</f>
        <v>Low</v>
      </c>
    </row>
    <row r="490" spans="1:24" x14ac:dyDescent="0.3">
      <c r="A490" t="s">
        <v>979</v>
      </c>
      <c r="B490" t="s">
        <v>977</v>
      </c>
      <c r="C490" s="3">
        <v>45756</v>
      </c>
      <c r="D490" s="8" t="s">
        <v>980</v>
      </c>
      <c r="E490" s="7" t="s">
        <v>486</v>
      </c>
      <c r="F490" s="7" t="s">
        <v>21</v>
      </c>
      <c r="G490" s="7" t="s">
        <v>250</v>
      </c>
      <c r="H490" s="4">
        <v>2534.7399999999998</v>
      </c>
      <c r="I490" s="7" t="s">
        <v>16</v>
      </c>
      <c r="J490" s="7" t="s">
        <v>17</v>
      </c>
      <c r="L490" t="str">
        <f>PROPER(TRIM(SUBSTITUTE(_xlfn.XLOOKUP(B490,Cardholders_Reference!A:A,Cardholders_Reference!B:B),","," ")))</f>
        <v>Nomvula Pretorius</v>
      </c>
      <c r="M490" s="5">
        <f>_xlfn.XLOOKUP(B490,Cardholders_Reference!A:A,Cardholders_Reference!G:G)</f>
        <v>15000</v>
      </c>
      <c r="N490" s="7" t="str">
        <f>_xlfn.XLOOKUP(B490,Cardholders_Reference!A:A,Cardholders_Reference!D:D)</f>
        <v>Capitec</v>
      </c>
      <c r="O490" s="7" t="str">
        <f>_xlfn.XLOOKUP(B490,Cardholders_Reference!A:A,Cardholders_Reference!E:E)</f>
        <v>Visa</v>
      </c>
      <c r="P490" s="6">
        <f t="shared" si="54"/>
        <v>0.16898266666666664</v>
      </c>
      <c r="Q490">
        <f t="shared" si="49"/>
        <v>0</v>
      </c>
      <c r="R490">
        <f t="shared" si="50"/>
        <v>0</v>
      </c>
      <c r="S490">
        <f>IF(COUNTIFS($B$1:$B$738,B489,$C$1:$C$738,#REF!)&gt;2,1,0)</f>
        <v>0</v>
      </c>
      <c r="T490">
        <f t="shared" si="51"/>
        <v>0</v>
      </c>
      <c r="U490">
        <f t="shared" si="52"/>
        <v>1</v>
      </c>
      <c r="V490">
        <f t="shared" si="53"/>
        <v>0</v>
      </c>
      <c r="W490">
        <f t="shared" si="55"/>
        <v>1</v>
      </c>
      <c r="X490" t="str" cm="1">
        <f t="array" ref="X490">_xlfn.IFS(W490&lt;=1,"Low",W490=2,"Medium",W490&gt;=3,"High")</f>
        <v>Low</v>
      </c>
    </row>
    <row r="491" spans="1:24" x14ac:dyDescent="0.3">
      <c r="A491" t="s">
        <v>981</v>
      </c>
      <c r="B491" t="s">
        <v>977</v>
      </c>
      <c r="C491" s="3">
        <v>45676</v>
      </c>
      <c r="D491" s="8" t="s">
        <v>982</v>
      </c>
      <c r="E491" s="7" t="s">
        <v>52</v>
      </c>
      <c r="F491" s="7" t="s">
        <v>53</v>
      </c>
      <c r="G491" s="7" t="s">
        <v>250</v>
      </c>
      <c r="H491" s="4">
        <v>1656.12</v>
      </c>
      <c r="I491" s="7" t="s">
        <v>26</v>
      </c>
      <c r="J491" s="7" t="s">
        <v>17</v>
      </c>
      <c r="L491" t="str">
        <f>PROPER(TRIM(SUBSTITUTE(_xlfn.XLOOKUP(B491,Cardholders_Reference!A:A,Cardholders_Reference!B:B),","," ")))</f>
        <v>Nomvula Pretorius</v>
      </c>
      <c r="M491" s="5">
        <f>_xlfn.XLOOKUP(B491,Cardholders_Reference!A:A,Cardholders_Reference!G:G)</f>
        <v>15000</v>
      </c>
      <c r="N491" s="7" t="str">
        <f>_xlfn.XLOOKUP(B491,Cardholders_Reference!A:A,Cardholders_Reference!D:D)</f>
        <v>Capitec</v>
      </c>
      <c r="O491" s="7" t="str">
        <f>_xlfn.XLOOKUP(B491,Cardholders_Reference!A:A,Cardholders_Reference!E:E)</f>
        <v>Visa</v>
      </c>
      <c r="P491" s="6">
        <f t="shared" si="54"/>
        <v>0.11040799999999999</v>
      </c>
      <c r="Q491">
        <f t="shared" si="49"/>
        <v>0</v>
      </c>
      <c r="R491">
        <f t="shared" si="50"/>
        <v>0</v>
      </c>
      <c r="S491">
        <f>IF(COUNTIFS($B$1:$B$738,B490,$C$1:$C$738,#REF!)&gt;2,1,0)</f>
        <v>0</v>
      </c>
      <c r="T491">
        <f t="shared" si="51"/>
        <v>0</v>
      </c>
      <c r="U491">
        <f t="shared" si="52"/>
        <v>1</v>
      </c>
      <c r="V491">
        <f t="shared" si="53"/>
        <v>1</v>
      </c>
      <c r="W491">
        <f t="shared" si="55"/>
        <v>2</v>
      </c>
      <c r="X491" t="str" cm="1">
        <f t="array" ref="X491">_xlfn.IFS(W491&lt;=1,"Low",W491=2,"Medium",W491&gt;=3,"High")</f>
        <v>Medium</v>
      </c>
    </row>
    <row r="492" spans="1:24" x14ac:dyDescent="0.3">
      <c r="A492" t="s">
        <v>983</v>
      </c>
      <c r="B492" t="s">
        <v>977</v>
      </c>
      <c r="C492" s="3">
        <v>45847</v>
      </c>
      <c r="D492" s="8" t="s">
        <v>19</v>
      </c>
      <c r="E492" s="7" t="s">
        <v>94</v>
      </c>
      <c r="F492" s="7" t="s">
        <v>53</v>
      </c>
      <c r="G492" s="7" t="s">
        <v>250</v>
      </c>
      <c r="H492" s="4">
        <v>1062.6500000000001</v>
      </c>
      <c r="I492" s="7" t="s">
        <v>26</v>
      </c>
      <c r="J492" s="7" t="s">
        <v>17</v>
      </c>
      <c r="L492" t="str">
        <f>PROPER(TRIM(SUBSTITUTE(_xlfn.XLOOKUP(B492,Cardholders_Reference!A:A,Cardholders_Reference!B:B),","," ")))</f>
        <v>Nomvula Pretorius</v>
      </c>
      <c r="M492" s="5">
        <f>_xlfn.XLOOKUP(B492,Cardholders_Reference!A:A,Cardholders_Reference!G:G)</f>
        <v>15000</v>
      </c>
      <c r="N492" s="7" t="str">
        <f>_xlfn.XLOOKUP(B492,Cardholders_Reference!A:A,Cardholders_Reference!D:D)</f>
        <v>Capitec</v>
      </c>
      <c r="O492" s="7" t="str">
        <f>_xlfn.XLOOKUP(B492,Cardholders_Reference!A:A,Cardholders_Reference!E:E)</f>
        <v>Visa</v>
      </c>
      <c r="P492" s="6">
        <f t="shared" si="54"/>
        <v>7.0843333333333341E-2</v>
      </c>
      <c r="Q492">
        <f t="shared" si="49"/>
        <v>0</v>
      </c>
      <c r="R492">
        <f t="shared" si="50"/>
        <v>0</v>
      </c>
      <c r="S492">
        <f>IF(COUNTIFS($B$1:$B$738,B491,$C$1:$C$738,#REF!)&gt;2,1,0)</f>
        <v>0</v>
      </c>
      <c r="T492">
        <f t="shared" si="51"/>
        <v>0</v>
      </c>
      <c r="U492">
        <f t="shared" si="52"/>
        <v>0</v>
      </c>
      <c r="V492">
        <f t="shared" si="53"/>
        <v>1</v>
      </c>
      <c r="W492">
        <f t="shared" si="55"/>
        <v>1</v>
      </c>
      <c r="X492" t="str" cm="1">
        <f t="array" ref="X492">_xlfn.IFS(W492&lt;=1,"Low",W492=2,"Medium",W492&gt;=3,"High")</f>
        <v>Low</v>
      </c>
    </row>
    <row r="493" spans="1:24" x14ac:dyDescent="0.3">
      <c r="A493" t="s">
        <v>984</v>
      </c>
      <c r="B493" t="s">
        <v>977</v>
      </c>
      <c r="C493" s="3">
        <v>46003</v>
      </c>
      <c r="D493" s="8" t="s">
        <v>985</v>
      </c>
      <c r="E493" s="7" t="s">
        <v>132</v>
      </c>
      <c r="F493" s="7" t="s">
        <v>25</v>
      </c>
      <c r="G493" s="7" t="s">
        <v>145</v>
      </c>
      <c r="H493" s="4">
        <v>1100.05</v>
      </c>
      <c r="I493" s="7" t="s">
        <v>32</v>
      </c>
      <c r="J493" s="7" t="s">
        <v>17</v>
      </c>
      <c r="L493" t="str">
        <f>PROPER(TRIM(SUBSTITUTE(_xlfn.XLOOKUP(B493,Cardholders_Reference!A:A,Cardholders_Reference!B:B),","," ")))</f>
        <v>Nomvula Pretorius</v>
      </c>
      <c r="M493" s="5">
        <f>_xlfn.XLOOKUP(B493,Cardholders_Reference!A:A,Cardholders_Reference!G:G)</f>
        <v>15000</v>
      </c>
      <c r="N493" s="7" t="str">
        <f>_xlfn.XLOOKUP(B493,Cardholders_Reference!A:A,Cardholders_Reference!D:D)</f>
        <v>Capitec</v>
      </c>
      <c r="O493" s="7" t="str">
        <f>_xlfn.XLOOKUP(B493,Cardholders_Reference!A:A,Cardholders_Reference!E:E)</f>
        <v>Visa</v>
      </c>
      <c r="P493" s="6">
        <f t="shared" si="54"/>
        <v>7.3336666666666661E-2</v>
      </c>
      <c r="Q493">
        <f t="shared" si="49"/>
        <v>0</v>
      </c>
      <c r="R493">
        <f t="shared" si="50"/>
        <v>0</v>
      </c>
      <c r="S493">
        <f>IF(COUNTIFS($B$1:$B$738,B492,$C$1:$C$738,#REF!)&gt;2,1,0)</f>
        <v>0</v>
      </c>
      <c r="T493">
        <f t="shared" si="51"/>
        <v>0</v>
      </c>
      <c r="U493">
        <f t="shared" si="52"/>
        <v>0</v>
      </c>
      <c r="V493">
        <f t="shared" si="53"/>
        <v>0</v>
      </c>
      <c r="W493">
        <f t="shared" si="55"/>
        <v>0</v>
      </c>
      <c r="X493" t="str" cm="1">
        <f t="array" ref="X493">_xlfn.IFS(W493&lt;=1,"Low",W493=2,"Medium",W493&gt;=3,"High")</f>
        <v>Low</v>
      </c>
    </row>
    <row r="494" spans="1:24" x14ac:dyDescent="0.3">
      <c r="A494" t="s">
        <v>986</v>
      </c>
      <c r="B494" t="s">
        <v>977</v>
      </c>
      <c r="C494" s="3">
        <v>45701</v>
      </c>
      <c r="D494" s="8" t="s">
        <v>987</v>
      </c>
      <c r="E494" s="7" t="s">
        <v>170</v>
      </c>
      <c r="F494" s="7" t="s">
        <v>91</v>
      </c>
      <c r="G494" s="7" t="s">
        <v>250</v>
      </c>
      <c r="H494" s="4">
        <v>1908.13</v>
      </c>
      <c r="I494" s="7" t="s">
        <v>26</v>
      </c>
      <c r="J494" s="7" t="s">
        <v>41</v>
      </c>
      <c r="L494" t="str">
        <f>PROPER(TRIM(SUBSTITUTE(_xlfn.XLOOKUP(B494,Cardholders_Reference!A:A,Cardholders_Reference!B:B),","," ")))</f>
        <v>Nomvula Pretorius</v>
      </c>
      <c r="M494" s="5">
        <f>_xlfn.XLOOKUP(B494,Cardholders_Reference!A:A,Cardholders_Reference!G:G)</f>
        <v>15000</v>
      </c>
      <c r="N494" s="7" t="str">
        <f>_xlfn.XLOOKUP(B494,Cardholders_Reference!A:A,Cardholders_Reference!D:D)</f>
        <v>Capitec</v>
      </c>
      <c r="O494" s="7" t="str">
        <f>_xlfn.XLOOKUP(B494,Cardholders_Reference!A:A,Cardholders_Reference!E:E)</f>
        <v>Visa</v>
      </c>
      <c r="P494" s="6">
        <f t="shared" si="54"/>
        <v>0.12720866666666666</v>
      </c>
      <c r="Q494">
        <f t="shared" si="49"/>
        <v>1</v>
      </c>
      <c r="R494">
        <f t="shared" si="50"/>
        <v>0</v>
      </c>
      <c r="S494">
        <f>IF(COUNTIFS($B$1:$B$738,B493,$C$1:$C$738,#REF!)&gt;2,1,0)</f>
        <v>0</v>
      </c>
      <c r="T494">
        <f t="shared" si="51"/>
        <v>0</v>
      </c>
      <c r="U494">
        <f t="shared" si="52"/>
        <v>0</v>
      </c>
      <c r="V494">
        <f t="shared" si="53"/>
        <v>1</v>
      </c>
      <c r="W494">
        <f t="shared" si="55"/>
        <v>2</v>
      </c>
      <c r="X494" t="str" cm="1">
        <f t="array" ref="X494">_xlfn.IFS(W494&lt;=1,"Low",W494=2,"Medium",W494&gt;=3,"High")</f>
        <v>Medium</v>
      </c>
    </row>
    <row r="495" spans="1:24" x14ac:dyDescent="0.3">
      <c r="A495" t="s">
        <v>988</v>
      </c>
      <c r="B495" t="s">
        <v>977</v>
      </c>
      <c r="C495" s="3">
        <v>45863</v>
      </c>
      <c r="D495" s="8" t="s">
        <v>989</v>
      </c>
      <c r="E495" s="7" t="s">
        <v>94</v>
      </c>
      <c r="F495" s="7" t="s">
        <v>53</v>
      </c>
      <c r="G495" s="7" t="s">
        <v>250</v>
      </c>
      <c r="H495" s="4">
        <v>548.9</v>
      </c>
      <c r="I495" s="7" t="s">
        <v>32</v>
      </c>
      <c r="J495" s="7" t="s">
        <v>41</v>
      </c>
      <c r="L495" t="str">
        <f>PROPER(TRIM(SUBSTITUTE(_xlfn.XLOOKUP(B495,Cardholders_Reference!A:A,Cardholders_Reference!B:B),","," ")))</f>
        <v>Nomvula Pretorius</v>
      </c>
      <c r="M495" s="5">
        <f>_xlfn.XLOOKUP(B495,Cardholders_Reference!A:A,Cardholders_Reference!G:G)</f>
        <v>15000</v>
      </c>
      <c r="N495" s="7" t="str">
        <f>_xlfn.XLOOKUP(B495,Cardholders_Reference!A:A,Cardholders_Reference!D:D)</f>
        <v>Capitec</v>
      </c>
      <c r="O495" s="7" t="str">
        <f>_xlfn.XLOOKUP(B495,Cardholders_Reference!A:A,Cardholders_Reference!E:E)</f>
        <v>Visa</v>
      </c>
      <c r="P495" s="6">
        <f t="shared" si="54"/>
        <v>3.6593333333333332E-2</v>
      </c>
      <c r="Q495">
        <f t="shared" si="49"/>
        <v>0</v>
      </c>
      <c r="R495">
        <f t="shared" si="50"/>
        <v>0</v>
      </c>
      <c r="S495">
        <f>IF(COUNTIFS($B$1:$B$738,B494,$C$1:$C$738,#REF!)&gt;2,1,0)</f>
        <v>0</v>
      </c>
      <c r="T495">
        <f t="shared" si="51"/>
        <v>0</v>
      </c>
      <c r="U495">
        <f t="shared" si="52"/>
        <v>0</v>
      </c>
      <c r="V495">
        <f t="shared" si="53"/>
        <v>0</v>
      </c>
      <c r="W495">
        <f t="shared" si="55"/>
        <v>0</v>
      </c>
      <c r="X495" t="str" cm="1">
        <f t="array" ref="X495">_xlfn.IFS(W495&lt;=1,"Low",W495=2,"Medium",W495&gt;=3,"High")</f>
        <v>Low</v>
      </c>
    </row>
    <row r="496" spans="1:24" x14ac:dyDescent="0.3">
      <c r="A496" t="s">
        <v>990</v>
      </c>
      <c r="B496" t="s">
        <v>977</v>
      </c>
      <c r="C496" s="3">
        <v>46332</v>
      </c>
      <c r="D496" s="8" t="s">
        <v>991</v>
      </c>
      <c r="E496" s="7" t="s">
        <v>35</v>
      </c>
      <c r="F496" s="7" t="s">
        <v>36</v>
      </c>
      <c r="G496" s="7" t="s">
        <v>250</v>
      </c>
      <c r="H496" s="4">
        <v>594.24</v>
      </c>
      <c r="I496" s="7" t="s">
        <v>95</v>
      </c>
      <c r="J496" s="7" t="s">
        <v>17</v>
      </c>
      <c r="L496" t="str">
        <f>PROPER(TRIM(SUBSTITUTE(_xlfn.XLOOKUP(B496,Cardholders_Reference!A:A,Cardholders_Reference!B:B),","," ")))</f>
        <v>Nomvula Pretorius</v>
      </c>
      <c r="M496" s="5">
        <f>_xlfn.XLOOKUP(B496,Cardholders_Reference!A:A,Cardholders_Reference!G:G)</f>
        <v>15000</v>
      </c>
      <c r="N496" s="7" t="str">
        <f>_xlfn.XLOOKUP(B496,Cardholders_Reference!A:A,Cardholders_Reference!D:D)</f>
        <v>Capitec</v>
      </c>
      <c r="O496" s="7" t="str">
        <f>_xlfn.XLOOKUP(B496,Cardholders_Reference!A:A,Cardholders_Reference!E:E)</f>
        <v>Visa</v>
      </c>
      <c r="P496" s="6">
        <f t="shared" si="54"/>
        <v>3.9615999999999998E-2</v>
      </c>
      <c r="Q496">
        <f t="shared" si="49"/>
        <v>0</v>
      </c>
      <c r="R496">
        <f t="shared" si="50"/>
        <v>0</v>
      </c>
      <c r="S496">
        <f>IF(COUNTIFS($B$1:$B$738,B495,$C$1:$C$738,#REF!)&gt;2,1,0)</f>
        <v>0</v>
      </c>
      <c r="T496">
        <f t="shared" si="51"/>
        <v>0</v>
      </c>
      <c r="U496">
        <f t="shared" si="52"/>
        <v>0</v>
      </c>
      <c r="V496">
        <f t="shared" si="53"/>
        <v>1</v>
      </c>
      <c r="W496">
        <f t="shared" si="55"/>
        <v>1</v>
      </c>
      <c r="X496" t="str" cm="1">
        <f t="array" ref="X496">_xlfn.IFS(W496&lt;=1,"Low",W496=2,"Medium",W496&gt;=3,"High")</f>
        <v>Low</v>
      </c>
    </row>
    <row r="497" spans="1:24" x14ac:dyDescent="0.3">
      <c r="A497" t="s">
        <v>992</v>
      </c>
      <c r="B497" t="s">
        <v>977</v>
      </c>
      <c r="C497" s="3">
        <v>46061</v>
      </c>
      <c r="D497" s="8" t="s">
        <v>993</v>
      </c>
      <c r="E497" s="7" t="s">
        <v>77</v>
      </c>
      <c r="F497" s="7" t="s">
        <v>15</v>
      </c>
      <c r="G497" s="7" t="s">
        <v>250</v>
      </c>
      <c r="H497" s="4">
        <v>1221.0899999999999</v>
      </c>
      <c r="I497" s="7" t="s">
        <v>26</v>
      </c>
      <c r="J497" s="7" t="s">
        <v>41</v>
      </c>
      <c r="L497" t="str">
        <f>PROPER(TRIM(SUBSTITUTE(_xlfn.XLOOKUP(B497,Cardholders_Reference!A:A,Cardholders_Reference!B:B),","," ")))</f>
        <v>Nomvula Pretorius</v>
      </c>
      <c r="M497" s="5">
        <f>_xlfn.XLOOKUP(B497,Cardholders_Reference!A:A,Cardholders_Reference!G:G)</f>
        <v>15000</v>
      </c>
      <c r="N497" s="7" t="str">
        <f>_xlfn.XLOOKUP(B497,Cardholders_Reference!A:A,Cardholders_Reference!D:D)</f>
        <v>Capitec</v>
      </c>
      <c r="O497" s="7" t="str">
        <f>_xlfn.XLOOKUP(B497,Cardholders_Reference!A:A,Cardholders_Reference!E:E)</f>
        <v>Visa</v>
      </c>
      <c r="P497" s="6">
        <f t="shared" si="54"/>
        <v>8.1405999999999992E-2</v>
      </c>
      <c r="Q497">
        <f t="shared" si="49"/>
        <v>0</v>
      </c>
      <c r="R497">
        <f t="shared" si="50"/>
        <v>0</v>
      </c>
      <c r="S497">
        <f>IF(COUNTIFS($B$1:$B$738,B496,$C$1:$C$738,#REF!)&gt;2,1,0)</f>
        <v>0</v>
      </c>
      <c r="T497">
        <f t="shared" si="51"/>
        <v>0</v>
      </c>
      <c r="U497">
        <f t="shared" si="52"/>
        <v>0</v>
      </c>
      <c r="V497">
        <f t="shared" si="53"/>
        <v>1</v>
      </c>
      <c r="W497">
        <f t="shared" si="55"/>
        <v>1</v>
      </c>
      <c r="X497" t="str" cm="1">
        <f t="array" ref="X497">_xlfn.IFS(W497&lt;=1,"Low",W497=2,"Medium",W497&gt;=3,"High")</f>
        <v>Low</v>
      </c>
    </row>
    <row r="498" spans="1:24" x14ac:dyDescent="0.3">
      <c r="A498" t="s">
        <v>994</v>
      </c>
      <c r="B498" t="s">
        <v>977</v>
      </c>
      <c r="C498" s="3">
        <v>45829</v>
      </c>
      <c r="D498" s="8" t="s">
        <v>363</v>
      </c>
      <c r="E498" s="7" t="s">
        <v>321</v>
      </c>
      <c r="F498" s="7" t="s">
        <v>61</v>
      </c>
      <c r="G498" s="7" t="s">
        <v>250</v>
      </c>
      <c r="H498" s="4">
        <v>4891.34</v>
      </c>
      <c r="I498" s="7" t="s">
        <v>95</v>
      </c>
      <c r="J498" s="7" t="s">
        <v>17</v>
      </c>
      <c r="L498" t="str">
        <f>PROPER(TRIM(SUBSTITUTE(_xlfn.XLOOKUP(B498,Cardholders_Reference!A:A,Cardholders_Reference!B:B),","," ")))</f>
        <v>Nomvula Pretorius</v>
      </c>
      <c r="M498" s="5">
        <f>_xlfn.XLOOKUP(B498,Cardholders_Reference!A:A,Cardholders_Reference!G:G)</f>
        <v>15000</v>
      </c>
      <c r="N498" s="7" t="str">
        <f>_xlfn.XLOOKUP(B498,Cardholders_Reference!A:A,Cardholders_Reference!D:D)</f>
        <v>Capitec</v>
      </c>
      <c r="O498" s="7" t="str">
        <f>_xlfn.XLOOKUP(B498,Cardholders_Reference!A:A,Cardholders_Reference!E:E)</f>
        <v>Visa</v>
      </c>
      <c r="P498" s="6">
        <f t="shared" si="54"/>
        <v>0.32608933333333334</v>
      </c>
      <c r="Q498">
        <f t="shared" si="49"/>
        <v>0</v>
      </c>
      <c r="R498">
        <f t="shared" si="50"/>
        <v>0</v>
      </c>
      <c r="S498">
        <f>IF(COUNTIFS($B$1:$B$738,B497,$C$1:$C$738,#REF!)&gt;2,1,0)</f>
        <v>0</v>
      </c>
      <c r="T498">
        <f t="shared" si="51"/>
        <v>0</v>
      </c>
      <c r="U498">
        <f t="shared" si="52"/>
        <v>0</v>
      </c>
      <c r="V498">
        <f t="shared" si="53"/>
        <v>1</v>
      </c>
      <c r="W498">
        <f t="shared" si="55"/>
        <v>1</v>
      </c>
      <c r="X498" t="str" cm="1">
        <f t="array" ref="X498">_xlfn.IFS(W498&lt;=1,"Low",W498=2,"Medium",W498&gt;=3,"High")</f>
        <v>Low</v>
      </c>
    </row>
    <row r="499" spans="1:24" x14ac:dyDescent="0.3">
      <c r="A499" t="s">
        <v>995</v>
      </c>
      <c r="B499" t="s">
        <v>977</v>
      </c>
      <c r="C499" s="3">
        <v>45711</v>
      </c>
      <c r="D499" s="8" t="s">
        <v>996</v>
      </c>
      <c r="E499" s="7" t="s">
        <v>173</v>
      </c>
      <c r="F499" s="7" t="s">
        <v>21</v>
      </c>
      <c r="G499" s="7" t="s">
        <v>250</v>
      </c>
      <c r="H499" s="4">
        <v>390.9</v>
      </c>
      <c r="I499" s="7" t="s">
        <v>95</v>
      </c>
      <c r="J499" s="7" t="s">
        <v>41</v>
      </c>
      <c r="L499" t="str">
        <f>PROPER(TRIM(SUBSTITUTE(_xlfn.XLOOKUP(B499,Cardholders_Reference!A:A,Cardholders_Reference!B:B),","," ")))</f>
        <v>Nomvula Pretorius</v>
      </c>
      <c r="M499" s="5">
        <f>_xlfn.XLOOKUP(B499,Cardholders_Reference!A:A,Cardholders_Reference!G:G)</f>
        <v>15000</v>
      </c>
      <c r="N499" s="7" t="str">
        <f>_xlfn.XLOOKUP(B499,Cardholders_Reference!A:A,Cardholders_Reference!D:D)</f>
        <v>Capitec</v>
      </c>
      <c r="O499" s="7" t="str">
        <f>_xlfn.XLOOKUP(B499,Cardholders_Reference!A:A,Cardholders_Reference!E:E)</f>
        <v>Visa</v>
      </c>
      <c r="P499" s="6">
        <f t="shared" si="54"/>
        <v>2.606E-2</v>
      </c>
      <c r="Q499">
        <f t="shared" si="49"/>
        <v>0</v>
      </c>
      <c r="R499">
        <f t="shared" si="50"/>
        <v>0</v>
      </c>
      <c r="S499">
        <f>IF(COUNTIFS($B$1:$B$738,B498,$C$1:$C$738,#REF!)&gt;2,1,0)</f>
        <v>0</v>
      </c>
      <c r="T499">
        <f t="shared" si="51"/>
        <v>0</v>
      </c>
      <c r="U499">
        <f t="shared" si="52"/>
        <v>0</v>
      </c>
      <c r="V499">
        <f t="shared" si="53"/>
        <v>1</v>
      </c>
      <c r="W499">
        <f t="shared" si="55"/>
        <v>1</v>
      </c>
      <c r="X499" t="str" cm="1">
        <f t="array" ref="X499">_xlfn.IFS(W499&lt;=1,"Low",W499=2,"Medium",W499&gt;=3,"High")</f>
        <v>Low</v>
      </c>
    </row>
    <row r="500" spans="1:24" x14ac:dyDescent="0.3">
      <c r="A500" t="s">
        <v>997</v>
      </c>
      <c r="B500" t="s">
        <v>977</v>
      </c>
      <c r="C500" s="3">
        <v>46366</v>
      </c>
      <c r="D500" s="8" t="s">
        <v>1439</v>
      </c>
      <c r="E500" s="7" t="s">
        <v>308</v>
      </c>
      <c r="F500" s="7" t="s">
        <v>91</v>
      </c>
      <c r="G500" s="7" t="s">
        <v>250</v>
      </c>
      <c r="H500" s="4">
        <v>3488.87</v>
      </c>
      <c r="I500" s="7" t="s">
        <v>32</v>
      </c>
      <c r="J500" s="7" t="s">
        <v>17</v>
      </c>
      <c r="L500" t="str">
        <f>PROPER(TRIM(SUBSTITUTE(_xlfn.XLOOKUP(B500,Cardholders_Reference!A:A,Cardholders_Reference!B:B),","," ")))</f>
        <v>Nomvula Pretorius</v>
      </c>
      <c r="M500" s="5">
        <f>_xlfn.XLOOKUP(B500,Cardholders_Reference!A:A,Cardholders_Reference!G:G)</f>
        <v>15000</v>
      </c>
      <c r="N500" s="7" t="str">
        <f>_xlfn.XLOOKUP(B500,Cardholders_Reference!A:A,Cardholders_Reference!D:D)</f>
        <v>Capitec</v>
      </c>
      <c r="O500" s="7" t="str">
        <f>_xlfn.XLOOKUP(B500,Cardholders_Reference!A:A,Cardholders_Reference!E:E)</f>
        <v>Visa</v>
      </c>
      <c r="P500" s="6">
        <f t="shared" si="54"/>
        <v>0.23259133333333332</v>
      </c>
      <c r="Q500">
        <f t="shared" si="49"/>
        <v>0</v>
      </c>
      <c r="R500">
        <f t="shared" si="50"/>
        <v>1</v>
      </c>
      <c r="S500">
        <f>IF(COUNTIFS($B$1:$B$738,B499,$C$1:$C$738,#REF!)&gt;2,1,0)</f>
        <v>0</v>
      </c>
      <c r="T500">
        <f t="shared" si="51"/>
        <v>0</v>
      </c>
      <c r="U500">
        <f t="shared" si="52"/>
        <v>1</v>
      </c>
      <c r="V500">
        <f t="shared" si="53"/>
        <v>0</v>
      </c>
      <c r="W500">
        <f t="shared" si="55"/>
        <v>2</v>
      </c>
      <c r="X500" t="str" cm="1">
        <f t="array" ref="X500">_xlfn.IFS(W500&lt;=1,"Low",W500=2,"Medium",W500&gt;=3,"High")</f>
        <v>Medium</v>
      </c>
    </row>
    <row r="501" spans="1:24" x14ac:dyDescent="0.3">
      <c r="A501" t="s">
        <v>998</v>
      </c>
      <c r="B501" t="s">
        <v>977</v>
      </c>
      <c r="C501" s="3">
        <v>45675</v>
      </c>
      <c r="D501" s="8" t="s">
        <v>603</v>
      </c>
      <c r="E501" s="7" t="s">
        <v>64</v>
      </c>
      <c r="F501" s="7" t="s">
        <v>65</v>
      </c>
      <c r="G501" s="7" t="s">
        <v>250</v>
      </c>
      <c r="H501" s="4">
        <v>3884.84</v>
      </c>
      <c r="I501" s="7" t="s">
        <v>95</v>
      </c>
      <c r="J501" s="7" t="s">
        <v>17</v>
      </c>
      <c r="L501" t="str">
        <f>PROPER(TRIM(SUBSTITUTE(_xlfn.XLOOKUP(B501,Cardholders_Reference!A:A,Cardholders_Reference!B:B),","," ")))</f>
        <v>Nomvula Pretorius</v>
      </c>
      <c r="M501" s="5">
        <f>_xlfn.XLOOKUP(B501,Cardholders_Reference!A:A,Cardholders_Reference!G:G)</f>
        <v>15000</v>
      </c>
      <c r="N501" s="7" t="str">
        <f>_xlfn.XLOOKUP(B501,Cardholders_Reference!A:A,Cardholders_Reference!D:D)</f>
        <v>Capitec</v>
      </c>
      <c r="O501" s="7" t="str">
        <f>_xlfn.XLOOKUP(B501,Cardholders_Reference!A:A,Cardholders_Reference!E:E)</f>
        <v>Visa</v>
      </c>
      <c r="P501" s="6">
        <f t="shared" si="54"/>
        <v>0.25898933333333335</v>
      </c>
      <c r="Q501">
        <f t="shared" si="49"/>
        <v>0</v>
      </c>
      <c r="R501">
        <f t="shared" si="50"/>
        <v>0</v>
      </c>
      <c r="S501">
        <f>IF(COUNTIFS($B$1:$B$738,B500,$C$1:$C$738,#REF!)&gt;2,1,0)</f>
        <v>0</v>
      </c>
      <c r="T501">
        <f t="shared" si="51"/>
        <v>0</v>
      </c>
      <c r="U501">
        <f t="shared" si="52"/>
        <v>0</v>
      </c>
      <c r="V501">
        <f t="shared" si="53"/>
        <v>1</v>
      </c>
      <c r="W501">
        <f t="shared" si="55"/>
        <v>1</v>
      </c>
      <c r="X501" t="str" cm="1">
        <f t="array" ref="X501">_xlfn.IFS(W501&lt;=1,"Low",W501=2,"Medium",W501&gt;=3,"High")</f>
        <v>Low</v>
      </c>
    </row>
    <row r="502" spans="1:24" x14ac:dyDescent="0.3">
      <c r="A502" t="s">
        <v>999</v>
      </c>
      <c r="B502" t="s">
        <v>977</v>
      </c>
      <c r="C502" s="3">
        <v>46145</v>
      </c>
      <c r="D502" s="8" t="s">
        <v>1000</v>
      </c>
      <c r="E502" s="7" t="s">
        <v>340</v>
      </c>
      <c r="F502" s="7" t="s">
        <v>65</v>
      </c>
      <c r="G502" s="7" t="s">
        <v>250</v>
      </c>
      <c r="H502" s="4">
        <v>4220.1899999999996</v>
      </c>
      <c r="I502" s="7" t="s">
        <v>16</v>
      </c>
      <c r="J502" s="7" t="s">
        <v>17</v>
      </c>
      <c r="L502" t="str">
        <f>PROPER(TRIM(SUBSTITUTE(_xlfn.XLOOKUP(B502,Cardholders_Reference!A:A,Cardholders_Reference!B:B),","," ")))</f>
        <v>Nomvula Pretorius</v>
      </c>
      <c r="M502" s="5">
        <f>_xlfn.XLOOKUP(B502,Cardholders_Reference!A:A,Cardholders_Reference!G:G)</f>
        <v>15000</v>
      </c>
      <c r="N502" s="7" t="str">
        <f>_xlfn.XLOOKUP(B502,Cardholders_Reference!A:A,Cardholders_Reference!D:D)</f>
        <v>Capitec</v>
      </c>
      <c r="O502" s="7" t="str">
        <f>_xlfn.XLOOKUP(B502,Cardholders_Reference!A:A,Cardholders_Reference!E:E)</f>
        <v>Visa</v>
      </c>
      <c r="P502" s="6">
        <f t="shared" si="54"/>
        <v>0.28134599999999998</v>
      </c>
      <c r="Q502">
        <f t="shared" si="49"/>
        <v>0</v>
      </c>
      <c r="R502">
        <f t="shared" si="50"/>
        <v>0</v>
      </c>
      <c r="S502">
        <f>IF(COUNTIFS($B$1:$B$738,B501,$C$1:$C$738,#REF!)&gt;2,1,0)</f>
        <v>0</v>
      </c>
      <c r="T502">
        <f t="shared" si="51"/>
        <v>0</v>
      </c>
      <c r="U502">
        <f t="shared" si="52"/>
        <v>1</v>
      </c>
      <c r="V502">
        <f t="shared" si="53"/>
        <v>0</v>
      </c>
      <c r="W502">
        <f t="shared" si="55"/>
        <v>1</v>
      </c>
      <c r="X502" t="str" cm="1">
        <f t="array" ref="X502">_xlfn.IFS(W502&lt;=1,"Low",W502=2,"Medium",W502&gt;=3,"High")</f>
        <v>Low</v>
      </c>
    </row>
    <row r="503" spans="1:24" x14ac:dyDescent="0.3">
      <c r="A503" t="s">
        <v>1001</v>
      </c>
      <c r="B503" t="s">
        <v>1002</v>
      </c>
      <c r="C503" s="3">
        <v>45784</v>
      </c>
      <c r="D503" s="8" t="s">
        <v>1003</v>
      </c>
      <c r="E503" s="7" t="s">
        <v>94</v>
      </c>
      <c r="F503" s="7" t="s">
        <v>53</v>
      </c>
      <c r="G503" s="7" t="s">
        <v>145</v>
      </c>
      <c r="H503" s="4">
        <v>448.37</v>
      </c>
      <c r="I503" s="7" t="s">
        <v>32</v>
      </c>
      <c r="J503" s="7" t="s">
        <v>17</v>
      </c>
      <c r="L503" t="str">
        <f>PROPER(TRIM(SUBSTITUTE(_xlfn.XLOOKUP(B503,Cardholders_Reference!A:A,Cardholders_Reference!B:B),","," ")))</f>
        <v>Sanele Adams</v>
      </c>
      <c r="M503" s="5">
        <f>_xlfn.XLOOKUP(B503,Cardholders_Reference!A:A,Cardholders_Reference!G:G)</f>
        <v>80000</v>
      </c>
      <c r="N503" s="7" t="str">
        <f>_xlfn.XLOOKUP(B503,Cardholders_Reference!A:A,Cardholders_Reference!D:D)</f>
        <v>Capitec</v>
      </c>
      <c r="O503" s="7" t="str">
        <f>_xlfn.XLOOKUP(B503,Cardholders_Reference!A:A,Cardholders_Reference!E:E)</f>
        <v>Visa</v>
      </c>
      <c r="P503" s="6">
        <f t="shared" si="54"/>
        <v>5.6046250000000002E-3</v>
      </c>
      <c r="Q503">
        <f t="shared" si="49"/>
        <v>0</v>
      </c>
      <c r="R503">
        <f t="shared" si="50"/>
        <v>0</v>
      </c>
      <c r="S503">
        <f>IF(COUNTIFS($B$1:$B$738,B502,$C$1:$C$738,#REF!)&gt;2,1,0)</f>
        <v>0</v>
      </c>
      <c r="T503">
        <f t="shared" si="51"/>
        <v>0</v>
      </c>
      <c r="U503">
        <f t="shared" si="52"/>
        <v>1</v>
      </c>
      <c r="V503">
        <f t="shared" si="53"/>
        <v>0</v>
      </c>
      <c r="W503">
        <f t="shared" si="55"/>
        <v>1</v>
      </c>
      <c r="X503" t="str" cm="1">
        <f t="array" ref="X503">_xlfn.IFS(W503&lt;=1,"Low",W503=2,"Medium",W503&gt;=3,"High")</f>
        <v>Low</v>
      </c>
    </row>
    <row r="504" spans="1:24" x14ac:dyDescent="0.3">
      <c r="A504" t="s">
        <v>1004</v>
      </c>
      <c r="B504" t="s">
        <v>1002</v>
      </c>
      <c r="C504" s="3">
        <v>45779</v>
      </c>
      <c r="D504" s="8" t="s">
        <v>947</v>
      </c>
      <c r="E504" s="7" t="s">
        <v>64</v>
      </c>
      <c r="F504" s="7" t="s">
        <v>65</v>
      </c>
      <c r="G504" s="7" t="s">
        <v>22</v>
      </c>
      <c r="H504" s="4">
        <v>2111.7600000000002</v>
      </c>
      <c r="I504" s="7" t="s">
        <v>26</v>
      </c>
      <c r="J504" s="7" t="s">
        <v>41</v>
      </c>
      <c r="L504" t="str">
        <f>PROPER(TRIM(SUBSTITUTE(_xlfn.XLOOKUP(B504,Cardholders_Reference!A:A,Cardholders_Reference!B:B),","," ")))</f>
        <v>Sanele Adams</v>
      </c>
      <c r="M504" s="5">
        <f>_xlfn.XLOOKUP(B504,Cardholders_Reference!A:A,Cardholders_Reference!G:G)</f>
        <v>80000</v>
      </c>
      <c r="N504" s="7" t="str">
        <f>_xlfn.XLOOKUP(B504,Cardholders_Reference!A:A,Cardholders_Reference!D:D)</f>
        <v>Capitec</v>
      </c>
      <c r="O504" s="7" t="str">
        <f>_xlfn.XLOOKUP(B504,Cardholders_Reference!A:A,Cardholders_Reference!E:E)</f>
        <v>Visa</v>
      </c>
      <c r="P504" s="6">
        <f t="shared" si="54"/>
        <v>2.6397000000000004E-2</v>
      </c>
      <c r="Q504">
        <f t="shared" si="49"/>
        <v>1</v>
      </c>
      <c r="R504">
        <f t="shared" si="50"/>
        <v>0</v>
      </c>
      <c r="S504">
        <f>IF(COUNTIFS($B$1:$B$738,B503,$C$1:$C$738,#REF!)&gt;2,1,0)</f>
        <v>0</v>
      </c>
      <c r="T504">
        <f t="shared" si="51"/>
        <v>0</v>
      </c>
      <c r="U504">
        <f t="shared" si="52"/>
        <v>0</v>
      </c>
      <c r="V504">
        <f t="shared" si="53"/>
        <v>1</v>
      </c>
      <c r="W504">
        <f t="shared" si="55"/>
        <v>2</v>
      </c>
      <c r="X504" t="str" cm="1">
        <f t="array" ref="X504">_xlfn.IFS(W504&lt;=1,"Low",W504=2,"Medium",W504&gt;=3,"High")</f>
        <v>Medium</v>
      </c>
    </row>
    <row r="505" spans="1:24" x14ac:dyDescent="0.3">
      <c r="A505" t="s">
        <v>1005</v>
      </c>
      <c r="B505" t="s">
        <v>1002</v>
      </c>
      <c r="C505" s="3">
        <v>46085</v>
      </c>
      <c r="D505" s="8" t="s">
        <v>1006</v>
      </c>
      <c r="E505" s="7" t="s">
        <v>206</v>
      </c>
      <c r="F505" s="7" t="s">
        <v>61</v>
      </c>
      <c r="G505" s="7" t="s">
        <v>49</v>
      </c>
      <c r="H505" s="4">
        <v>7237.26</v>
      </c>
      <c r="I505" s="7" t="s">
        <v>95</v>
      </c>
      <c r="J505" s="7" t="s">
        <v>17</v>
      </c>
      <c r="L505" t="str">
        <f>PROPER(TRIM(SUBSTITUTE(_xlfn.XLOOKUP(B505,Cardholders_Reference!A:A,Cardholders_Reference!B:B),","," ")))</f>
        <v>Sanele Adams</v>
      </c>
      <c r="M505" s="5">
        <f>_xlfn.XLOOKUP(B505,Cardholders_Reference!A:A,Cardholders_Reference!G:G)</f>
        <v>80000</v>
      </c>
      <c r="N505" s="7" t="str">
        <f>_xlfn.XLOOKUP(B505,Cardholders_Reference!A:A,Cardholders_Reference!D:D)</f>
        <v>Capitec</v>
      </c>
      <c r="O505" s="7" t="str">
        <f>_xlfn.XLOOKUP(B505,Cardholders_Reference!A:A,Cardholders_Reference!E:E)</f>
        <v>Visa</v>
      </c>
      <c r="P505" s="6">
        <f t="shared" si="54"/>
        <v>9.0465749999999998E-2</v>
      </c>
      <c r="Q505">
        <f t="shared" si="49"/>
        <v>1</v>
      </c>
      <c r="R505">
        <f t="shared" si="50"/>
        <v>0</v>
      </c>
      <c r="S505">
        <f>IF(COUNTIFS($B$1:$B$738,B504,$C$1:$C$738,#REF!)&gt;2,1,0)</f>
        <v>0</v>
      </c>
      <c r="T505">
        <f t="shared" si="51"/>
        <v>0</v>
      </c>
      <c r="U505">
        <f t="shared" si="52"/>
        <v>1</v>
      </c>
      <c r="V505">
        <f t="shared" si="53"/>
        <v>1</v>
      </c>
      <c r="W505">
        <f t="shared" si="55"/>
        <v>3</v>
      </c>
      <c r="X505" t="str" cm="1">
        <f t="array" ref="X505">_xlfn.IFS(W505&lt;=1,"Low",W505=2,"Medium",W505&gt;=3,"High")</f>
        <v>High</v>
      </c>
    </row>
    <row r="506" spans="1:24" x14ac:dyDescent="0.3">
      <c r="A506" t="s">
        <v>1007</v>
      </c>
      <c r="B506" t="s">
        <v>1002</v>
      </c>
      <c r="C506" s="3">
        <v>45968</v>
      </c>
      <c r="D506" s="8" t="s">
        <v>1008</v>
      </c>
      <c r="E506" s="7" t="s">
        <v>173</v>
      </c>
      <c r="F506" s="7" t="s">
        <v>21</v>
      </c>
      <c r="G506" s="7" t="s">
        <v>22</v>
      </c>
      <c r="H506" s="4">
        <v>1213</v>
      </c>
      <c r="I506" s="7" t="s">
        <v>26</v>
      </c>
      <c r="J506" s="7" t="s">
        <v>17</v>
      </c>
      <c r="L506" t="str">
        <f>PROPER(TRIM(SUBSTITUTE(_xlfn.XLOOKUP(B506,Cardholders_Reference!A:A,Cardholders_Reference!B:B),","," ")))</f>
        <v>Sanele Adams</v>
      </c>
      <c r="M506" s="5">
        <f>_xlfn.XLOOKUP(B506,Cardholders_Reference!A:A,Cardholders_Reference!G:G)</f>
        <v>80000</v>
      </c>
      <c r="N506" s="7" t="str">
        <f>_xlfn.XLOOKUP(B506,Cardholders_Reference!A:A,Cardholders_Reference!D:D)</f>
        <v>Capitec</v>
      </c>
      <c r="O506" s="7" t="str">
        <f>_xlfn.XLOOKUP(B506,Cardholders_Reference!A:A,Cardholders_Reference!E:E)</f>
        <v>Visa</v>
      </c>
      <c r="P506" s="6">
        <f t="shared" si="54"/>
        <v>1.5162500000000001E-2</v>
      </c>
      <c r="Q506">
        <f t="shared" si="49"/>
        <v>0</v>
      </c>
      <c r="R506">
        <f t="shared" si="50"/>
        <v>0</v>
      </c>
      <c r="S506">
        <f>IF(COUNTIFS($B$1:$B$738,B505,$C$1:$C$738,#REF!)&gt;2,1,0)</f>
        <v>0</v>
      </c>
      <c r="T506">
        <f t="shared" si="51"/>
        <v>0</v>
      </c>
      <c r="U506">
        <f t="shared" si="52"/>
        <v>0</v>
      </c>
      <c r="V506">
        <f t="shared" si="53"/>
        <v>1</v>
      </c>
      <c r="W506">
        <f t="shared" si="55"/>
        <v>1</v>
      </c>
      <c r="X506" t="str" cm="1">
        <f t="array" ref="X506">_xlfn.IFS(W506&lt;=1,"Low",W506=2,"Medium",W506&gt;=3,"High")</f>
        <v>Low</v>
      </c>
    </row>
    <row r="507" spans="1:24" x14ac:dyDescent="0.3">
      <c r="A507" t="s">
        <v>1009</v>
      </c>
      <c r="B507" t="s">
        <v>1002</v>
      </c>
      <c r="C507" s="3">
        <v>45846</v>
      </c>
      <c r="D507" s="8" t="s">
        <v>59</v>
      </c>
      <c r="E507" s="7" t="s">
        <v>230</v>
      </c>
      <c r="F507" s="7" t="s">
        <v>81</v>
      </c>
      <c r="G507" s="7" t="s">
        <v>49</v>
      </c>
      <c r="H507" s="4">
        <v>13082.86</v>
      </c>
      <c r="I507" s="7" t="s">
        <v>16</v>
      </c>
      <c r="J507" s="7" t="s">
        <v>17</v>
      </c>
      <c r="L507" t="str">
        <f>PROPER(TRIM(SUBSTITUTE(_xlfn.XLOOKUP(B507,Cardholders_Reference!A:A,Cardholders_Reference!B:B),","," ")))</f>
        <v>Sanele Adams</v>
      </c>
      <c r="M507" s="5">
        <f>_xlfn.XLOOKUP(B507,Cardholders_Reference!A:A,Cardholders_Reference!G:G)</f>
        <v>80000</v>
      </c>
      <c r="N507" s="7" t="str">
        <f>_xlfn.XLOOKUP(B507,Cardholders_Reference!A:A,Cardholders_Reference!D:D)</f>
        <v>Capitec</v>
      </c>
      <c r="O507" s="7" t="str">
        <f>_xlfn.XLOOKUP(B507,Cardholders_Reference!A:A,Cardholders_Reference!E:E)</f>
        <v>Visa</v>
      </c>
      <c r="P507" s="6">
        <f t="shared" si="54"/>
        <v>0.16353575000000001</v>
      </c>
      <c r="Q507">
        <f t="shared" si="49"/>
        <v>1</v>
      </c>
      <c r="R507">
        <f t="shared" si="50"/>
        <v>0</v>
      </c>
      <c r="S507">
        <f>IF(COUNTIFS($B$1:$B$738,B506,$C$1:$C$738,#REF!)&gt;2,1,0)</f>
        <v>0</v>
      </c>
      <c r="T507">
        <f t="shared" si="51"/>
        <v>0</v>
      </c>
      <c r="U507">
        <f t="shared" si="52"/>
        <v>1</v>
      </c>
      <c r="V507">
        <f t="shared" si="53"/>
        <v>0</v>
      </c>
      <c r="W507">
        <f t="shared" si="55"/>
        <v>2</v>
      </c>
      <c r="X507" t="str" cm="1">
        <f t="array" ref="X507">_xlfn.IFS(W507&lt;=1,"Low",W507=2,"Medium",W507&gt;=3,"High")</f>
        <v>Medium</v>
      </c>
    </row>
    <row r="508" spans="1:24" x14ac:dyDescent="0.3">
      <c r="A508" t="s">
        <v>1010</v>
      </c>
      <c r="B508" t="s">
        <v>1002</v>
      </c>
      <c r="C508" s="3">
        <v>46140</v>
      </c>
      <c r="D508" s="8" t="s">
        <v>1011</v>
      </c>
      <c r="E508" s="7" t="s">
        <v>215</v>
      </c>
      <c r="F508" s="7" t="s">
        <v>15</v>
      </c>
      <c r="G508" s="7" t="s">
        <v>145</v>
      </c>
      <c r="H508" s="4">
        <v>3420.02</v>
      </c>
      <c r="I508" s="7" t="s">
        <v>26</v>
      </c>
      <c r="J508" s="7" t="s">
        <v>41</v>
      </c>
      <c r="L508" t="str">
        <f>PROPER(TRIM(SUBSTITUTE(_xlfn.XLOOKUP(B508,Cardholders_Reference!A:A,Cardholders_Reference!B:B),","," ")))</f>
        <v>Sanele Adams</v>
      </c>
      <c r="M508" s="5">
        <f>_xlfn.XLOOKUP(B508,Cardholders_Reference!A:A,Cardholders_Reference!G:G)</f>
        <v>80000</v>
      </c>
      <c r="N508" s="7" t="str">
        <f>_xlfn.XLOOKUP(B508,Cardholders_Reference!A:A,Cardholders_Reference!D:D)</f>
        <v>Capitec</v>
      </c>
      <c r="O508" s="7" t="str">
        <f>_xlfn.XLOOKUP(B508,Cardholders_Reference!A:A,Cardholders_Reference!E:E)</f>
        <v>Visa</v>
      </c>
      <c r="P508" s="6">
        <f t="shared" si="54"/>
        <v>4.2750249999999997E-2</v>
      </c>
      <c r="Q508">
        <f t="shared" si="49"/>
        <v>0</v>
      </c>
      <c r="R508">
        <f t="shared" si="50"/>
        <v>0</v>
      </c>
      <c r="S508">
        <f>IF(COUNTIFS($B$1:$B$738,B507,$C$1:$C$738,#REF!)&gt;2,1,0)</f>
        <v>0</v>
      </c>
      <c r="T508">
        <f t="shared" si="51"/>
        <v>0</v>
      </c>
      <c r="U508">
        <f t="shared" si="52"/>
        <v>0</v>
      </c>
      <c r="V508">
        <f t="shared" si="53"/>
        <v>1</v>
      </c>
      <c r="W508">
        <f t="shared" si="55"/>
        <v>1</v>
      </c>
      <c r="X508" t="str" cm="1">
        <f t="array" ref="X508">_xlfn.IFS(W508&lt;=1,"Low",W508=2,"Medium",W508&gt;=3,"High")</f>
        <v>Low</v>
      </c>
    </row>
    <row r="509" spans="1:24" x14ac:dyDescent="0.3">
      <c r="A509" t="s">
        <v>1012</v>
      </c>
      <c r="B509" t="s">
        <v>1002</v>
      </c>
      <c r="C509" s="3">
        <v>45912</v>
      </c>
      <c r="D509" s="8" t="s">
        <v>1013</v>
      </c>
      <c r="E509" s="7" t="s">
        <v>57</v>
      </c>
      <c r="F509" s="7" t="s">
        <v>36</v>
      </c>
      <c r="G509" s="7" t="s">
        <v>145</v>
      </c>
      <c r="H509" s="4">
        <v>124.59</v>
      </c>
      <c r="I509" s="7" t="s">
        <v>16</v>
      </c>
      <c r="J509" s="7" t="s">
        <v>41</v>
      </c>
      <c r="L509" t="str">
        <f>PROPER(TRIM(SUBSTITUTE(_xlfn.XLOOKUP(B509,Cardholders_Reference!A:A,Cardholders_Reference!B:B),","," ")))</f>
        <v>Sanele Adams</v>
      </c>
      <c r="M509" s="5">
        <f>_xlfn.XLOOKUP(B509,Cardholders_Reference!A:A,Cardholders_Reference!G:G)</f>
        <v>80000</v>
      </c>
      <c r="N509" s="7" t="str">
        <f>_xlfn.XLOOKUP(B509,Cardholders_Reference!A:A,Cardholders_Reference!D:D)</f>
        <v>Capitec</v>
      </c>
      <c r="O509" s="7" t="str">
        <f>_xlfn.XLOOKUP(B509,Cardholders_Reference!A:A,Cardholders_Reference!E:E)</f>
        <v>Visa</v>
      </c>
      <c r="P509" s="6">
        <f t="shared" si="54"/>
        <v>1.5573749999999999E-3</v>
      </c>
      <c r="Q509">
        <f t="shared" si="49"/>
        <v>1</v>
      </c>
      <c r="R509">
        <f t="shared" si="50"/>
        <v>0</v>
      </c>
      <c r="S509">
        <f>IF(COUNTIFS($B$1:$B$738,B508,$C$1:$C$738,#REF!)&gt;2,1,0)</f>
        <v>0</v>
      </c>
      <c r="T509">
        <f t="shared" si="51"/>
        <v>0</v>
      </c>
      <c r="U509">
        <f t="shared" si="52"/>
        <v>0</v>
      </c>
      <c r="V509">
        <f t="shared" si="53"/>
        <v>0</v>
      </c>
      <c r="W509">
        <f t="shared" si="55"/>
        <v>1</v>
      </c>
      <c r="X509" t="str" cm="1">
        <f t="array" ref="X509">_xlfn.IFS(W509&lt;=1,"Low",W509=2,"Medium",W509&gt;=3,"High")</f>
        <v>Low</v>
      </c>
    </row>
    <row r="510" spans="1:24" x14ac:dyDescent="0.3">
      <c r="A510" t="s">
        <v>1014</v>
      </c>
      <c r="B510" t="s">
        <v>1002</v>
      </c>
      <c r="C510" s="3">
        <v>45906</v>
      </c>
      <c r="D510" s="8" t="s">
        <v>1015</v>
      </c>
      <c r="E510" s="7" t="s">
        <v>90</v>
      </c>
      <c r="F510" s="7" t="s">
        <v>91</v>
      </c>
      <c r="G510" s="7" t="s">
        <v>49</v>
      </c>
      <c r="H510" s="4">
        <v>1774.93</v>
      </c>
      <c r="I510" s="7" t="s">
        <v>95</v>
      </c>
      <c r="J510" s="7" t="s">
        <v>17</v>
      </c>
      <c r="L510" t="str">
        <f>PROPER(TRIM(SUBSTITUTE(_xlfn.XLOOKUP(B510,Cardholders_Reference!A:A,Cardholders_Reference!B:B),","," ")))</f>
        <v>Sanele Adams</v>
      </c>
      <c r="M510" s="5">
        <f>_xlfn.XLOOKUP(B510,Cardholders_Reference!A:A,Cardholders_Reference!G:G)</f>
        <v>80000</v>
      </c>
      <c r="N510" s="7" t="str">
        <f>_xlfn.XLOOKUP(B510,Cardholders_Reference!A:A,Cardholders_Reference!D:D)</f>
        <v>Capitec</v>
      </c>
      <c r="O510" s="7" t="str">
        <f>_xlfn.XLOOKUP(B510,Cardholders_Reference!A:A,Cardholders_Reference!E:E)</f>
        <v>Visa</v>
      </c>
      <c r="P510" s="6">
        <f t="shared" si="54"/>
        <v>2.2186625000000001E-2</v>
      </c>
      <c r="Q510">
        <f t="shared" si="49"/>
        <v>1</v>
      </c>
      <c r="R510">
        <f t="shared" si="50"/>
        <v>0</v>
      </c>
      <c r="S510">
        <f>IF(COUNTIFS($B$1:$B$738,B509,$C$1:$C$738,#REF!)&gt;2,1,0)</f>
        <v>0</v>
      </c>
      <c r="T510">
        <f t="shared" si="51"/>
        <v>0</v>
      </c>
      <c r="U510">
        <f t="shared" si="52"/>
        <v>0</v>
      </c>
      <c r="V510">
        <f t="shared" si="53"/>
        <v>1</v>
      </c>
      <c r="W510">
        <f t="shared" si="55"/>
        <v>2</v>
      </c>
      <c r="X510" t="str" cm="1">
        <f t="array" ref="X510">_xlfn.IFS(W510&lt;=1,"Low",W510=2,"Medium",W510&gt;=3,"High")</f>
        <v>Medium</v>
      </c>
    </row>
    <row r="511" spans="1:24" x14ac:dyDescent="0.3">
      <c r="A511" t="s">
        <v>1016</v>
      </c>
      <c r="B511" t="s">
        <v>1002</v>
      </c>
      <c r="C511" s="3">
        <v>45788</v>
      </c>
      <c r="D511" s="8" t="s">
        <v>1017</v>
      </c>
      <c r="E511" s="7" t="s">
        <v>77</v>
      </c>
      <c r="F511" s="7" t="s">
        <v>15</v>
      </c>
      <c r="G511" s="7" t="s">
        <v>177</v>
      </c>
      <c r="H511" s="4">
        <v>1346.1</v>
      </c>
      <c r="I511" s="7" t="s">
        <v>26</v>
      </c>
      <c r="J511" s="7" t="s">
        <v>17</v>
      </c>
      <c r="L511" t="str">
        <f>PROPER(TRIM(SUBSTITUTE(_xlfn.XLOOKUP(B511,Cardholders_Reference!A:A,Cardholders_Reference!B:B),","," ")))</f>
        <v>Sanele Adams</v>
      </c>
      <c r="M511" s="5">
        <f>_xlfn.XLOOKUP(B511,Cardholders_Reference!A:A,Cardholders_Reference!G:G)</f>
        <v>80000</v>
      </c>
      <c r="N511" s="7" t="str">
        <f>_xlfn.XLOOKUP(B511,Cardholders_Reference!A:A,Cardholders_Reference!D:D)</f>
        <v>Capitec</v>
      </c>
      <c r="O511" s="7" t="str">
        <f>_xlfn.XLOOKUP(B511,Cardholders_Reference!A:A,Cardholders_Reference!E:E)</f>
        <v>Visa</v>
      </c>
      <c r="P511" s="6">
        <f t="shared" si="54"/>
        <v>1.6826249999999997E-2</v>
      </c>
      <c r="Q511">
        <f t="shared" si="49"/>
        <v>0</v>
      </c>
      <c r="R511">
        <f t="shared" si="50"/>
        <v>0</v>
      </c>
      <c r="S511">
        <f>IF(COUNTIFS($B$1:$B$738,B510,$C$1:$C$738,#REF!)&gt;2,1,0)</f>
        <v>0</v>
      </c>
      <c r="T511">
        <f t="shared" si="51"/>
        <v>0</v>
      </c>
      <c r="U511">
        <f t="shared" si="52"/>
        <v>0</v>
      </c>
      <c r="V511">
        <f t="shared" si="53"/>
        <v>1</v>
      </c>
      <c r="W511">
        <f t="shared" si="55"/>
        <v>1</v>
      </c>
      <c r="X511" t="str" cm="1">
        <f t="array" ref="X511">_xlfn.IFS(W511&lt;=1,"Low",W511=2,"Medium",W511&gt;=3,"High")</f>
        <v>Low</v>
      </c>
    </row>
    <row r="512" spans="1:24" x14ac:dyDescent="0.3">
      <c r="A512" t="s">
        <v>1018</v>
      </c>
      <c r="B512" t="s">
        <v>1002</v>
      </c>
      <c r="C512" s="3">
        <v>45722</v>
      </c>
      <c r="D512" s="8" t="s">
        <v>1019</v>
      </c>
      <c r="E512" s="7" t="s">
        <v>114</v>
      </c>
      <c r="F512" s="7" t="s">
        <v>81</v>
      </c>
      <c r="G512" s="7" t="s">
        <v>49</v>
      </c>
      <c r="H512" s="4">
        <v>2923.5</v>
      </c>
      <c r="I512" s="7" t="s">
        <v>26</v>
      </c>
      <c r="J512" s="7" t="s">
        <v>17</v>
      </c>
      <c r="L512" t="str">
        <f>PROPER(TRIM(SUBSTITUTE(_xlfn.XLOOKUP(B512,Cardholders_Reference!A:A,Cardholders_Reference!B:B),","," ")))</f>
        <v>Sanele Adams</v>
      </c>
      <c r="M512" s="5">
        <f>_xlfn.XLOOKUP(B512,Cardholders_Reference!A:A,Cardholders_Reference!G:G)</f>
        <v>80000</v>
      </c>
      <c r="N512" s="7" t="str">
        <f>_xlfn.XLOOKUP(B512,Cardholders_Reference!A:A,Cardholders_Reference!D:D)</f>
        <v>Capitec</v>
      </c>
      <c r="O512" s="7" t="str">
        <f>_xlfn.XLOOKUP(B512,Cardholders_Reference!A:A,Cardholders_Reference!E:E)</f>
        <v>Visa</v>
      </c>
      <c r="P512" s="6">
        <f t="shared" si="54"/>
        <v>3.654375E-2</v>
      </c>
      <c r="Q512">
        <f t="shared" si="49"/>
        <v>1</v>
      </c>
      <c r="R512">
        <f t="shared" si="50"/>
        <v>0</v>
      </c>
      <c r="S512">
        <f>IF(COUNTIFS($B$1:$B$738,B511,$C$1:$C$738,#REF!)&gt;2,1,0)</f>
        <v>0</v>
      </c>
      <c r="T512">
        <f t="shared" si="51"/>
        <v>0</v>
      </c>
      <c r="U512">
        <f t="shared" si="52"/>
        <v>0</v>
      </c>
      <c r="V512">
        <f t="shared" si="53"/>
        <v>1</v>
      </c>
      <c r="W512">
        <f t="shared" si="55"/>
        <v>2</v>
      </c>
      <c r="X512" t="str" cm="1">
        <f t="array" ref="X512">_xlfn.IFS(W512&lt;=1,"Low",W512=2,"Medium",W512&gt;=3,"High")</f>
        <v>Medium</v>
      </c>
    </row>
    <row r="513" spans="1:24" x14ac:dyDescent="0.3">
      <c r="A513" t="s">
        <v>1020</v>
      </c>
      <c r="B513" t="s">
        <v>1002</v>
      </c>
      <c r="C513" s="3">
        <v>46572</v>
      </c>
      <c r="D513" s="8" t="s">
        <v>1439</v>
      </c>
      <c r="E513" s="7" t="s">
        <v>14</v>
      </c>
      <c r="F513" s="7" t="s">
        <v>15</v>
      </c>
      <c r="G513" s="7" t="s">
        <v>49</v>
      </c>
      <c r="H513" s="4">
        <v>3408.85</v>
      </c>
      <c r="I513" s="7" t="s">
        <v>95</v>
      </c>
      <c r="J513" s="7" t="s">
        <v>41</v>
      </c>
      <c r="L513" t="str">
        <f>PROPER(TRIM(SUBSTITUTE(_xlfn.XLOOKUP(B513,Cardholders_Reference!A:A,Cardholders_Reference!B:B),","," ")))</f>
        <v>Sanele Adams</v>
      </c>
      <c r="M513" s="5">
        <f>_xlfn.XLOOKUP(B513,Cardholders_Reference!A:A,Cardholders_Reference!G:G)</f>
        <v>80000</v>
      </c>
      <c r="N513" s="7" t="str">
        <f>_xlfn.XLOOKUP(B513,Cardholders_Reference!A:A,Cardholders_Reference!D:D)</f>
        <v>Capitec</v>
      </c>
      <c r="O513" s="7" t="str">
        <f>_xlfn.XLOOKUP(B513,Cardholders_Reference!A:A,Cardholders_Reference!E:E)</f>
        <v>Visa</v>
      </c>
      <c r="P513" s="6">
        <f t="shared" si="54"/>
        <v>4.2610624999999999E-2</v>
      </c>
      <c r="Q513">
        <f t="shared" si="49"/>
        <v>0</v>
      </c>
      <c r="R513">
        <f t="shared" si="50"/>
        <v>1</v>
      </c>
      <c r="S513">
        <f>IF(COUNTIFS($B$1:$B$738,B512,$C$1:$C$738,#REF!)&gt;2,1,0)</f>
        <v>0</v>
      </c>
      <c r="T513">
        <f t="shared" si="51"/>
        <v>0</v>
      </c>
      <c r="U513">
        <f t="shared" si="52"/>
        <v>0</v>
      </c>
      <c r="V513">
        <f t="shared" si="53"/>
        <v>1</v>
      </c>
      <c r="W513">
        <f t="shared" si="55"/>
        <v>2</v>
      </c>
      <c r="X513" t="str" cm="1">
        <f t="array" ref="X513">_xlfn.IFS(W513&lt;=1,"Low",W513=2,"Medium",W513&gt;=3,"High")</f>
        <v>Medium</v>
      </c>
    </row>
    <row r="514" spans="1:24" x14ac:dyDescent="0.3">
      <c r="A514" t="s">
        <v>1021</v>
      </c>
      <c r="B514" t="s">
        <v>1022</v>
      </c>
      <c r="C514" s="3">
        <v>46193</v>
      </c>
      <c r="D514" s="8" t="s">
        <v>493</v>
      </c>
      <c r="E514" s="7" t="s">
        <v>57</v>
      </c>
      <c r="F514" s="7" t="s">
        <v>36</v>
      </c>
      <c r="G514" s="7" t="s">
        <v>49</v>
      </c>
      <c r="H514" s="4">
        <v>386.64</v>
      </c>
      <c r="I514" s="7" t="s">
        <v>95</v>
      </c>
      <c r="J514" s="7" t="s">
        <v>17</v>
      </c>
      <c r="L514" t="str">
        <f>PROPER(TRIM(SUBSTITUTE(_xlfn.XLOOKUP(B514,Cardholders_Reference!A:A,Cardholders_Reference!B:B),","," ")))</f>
        <v>Fatima Mahlangu</v>
      </c>
      <c r="M514" s="5">
        <f>_xlfn.XLOOKUP(B514,Cardholders_Reference!A:A,Cardholders_Reference!G:G)</f>
        <v>40000</v>
      </c>
      <c r="N514" s="7" t="str">
        <f>_xlfn.XLOOKUP(B514,Cardholders_Reference!A:A,Cardholders_Reference!D:D)</f>
        <v>FNB</v>
      </c>
      <c r="O514" s="7" t="str">
        <f>_xlfn.XLOOKUP(B514,Cardholders_Reference!A:A,Cardholders_Reference!E:E)</f>
        <v>Visa</v>
      </c>
      <c r="P514" s="6">
        <f t="shared" si="54"/>
        <v>9.6659999999999992E-3</v>
      </c>
      <c r="Q514">
        <f t="shared" ref="Q514:Q577" si="56">IF(COUNTIFS($B$1:$B$738,B513,$G$1:$G$738,G513)/COUNTIF($B$1:$B$738,B513)&lt;0.5,1,0)</f>
        <v>0</v>
      </c>
      <c r="R514">
        <f t="shared" ref="R514:R577" si="57">IF(D514="Unknown",1,IF(OR(TIMEVALUE(D514)&lt;TIME(5,0,0),TIMEVALUE(D514)&gt;=TIME(23,0,0)),1,0))</f>
        <v>0</v>
      </c>
      <c r="S514">
        <f>IF(COUNTIFS($B$1:$B$738,B513,$C$1:$C$738,#REF!)&gt;2,1,0)</f>
        <v>0</v>
      </c>
      <c r="T514">
        <f t="shared" ref="T514:T577" si="58">IF(P513&gt;0.4,1,0)</f>
        <v>0</v>
      </c>
      <c r="U514">
        <f t="shared" ref="U514:U577" si="59">IF(OR(F513="Gambling",F513="ATM Withdrawal"),1,0)</f>
        <v>0</v>
      </c>
      <c r="V514">
        <f t="shared" ref="V514:V577" si="60">IF(OR(I514="Card Not Present (Phone)",I514="Online"),1,0)</f>
        <v>1</v>
      </c>
      <c r="W514">
        <f t="shared" si="55"/>
        <v>1</v>
      </c>
      <c r="X514" t="str" cm="1">
        <f t="array" ref="X514">_xlfn.IFS(W514&lt;=1,"Low",W514=2,"Medium",W514&gt;=3,"High")</f>
        <v>Low</v>
      </c>
    </row>
    <row r="515" spans="1:24" x14ac:dyDescent="0.3">
      <c r="A515" t="s">
        <v>1023</v>
      </c>
      <c r="B515" t="s">
        <v>1022</v>
      </c>
      <c r="C515" s="3">
        <v>46119</v>
      </c>
      <c r="D515" s="8" t="s">
        <v>125</v>
      </c>
      <c r="E515" s="7" t="s">
        <v>215</v>
      </c>
      <c r="F515" s="7" t="s">
        <v>15</v>
      </c>
      <c r="G515" s="7" t="s">
        <v>264</v>
      </c>
      <c r="H515" s="4">
        <v>2117.1799999999998</v>
      </c>
      <c r="I515" s="7" t="s">
        <v>26</v>
      </c>
      <c r="J515" s="7" t="s">
        <v>17</v>
      </c>
      <c r="L515" t="str">
        <f>PROPER(TRIM(SUBSTITUTE(_xlfn.XLOOKUP(B515,Cardholders_Reference!A:A,Cardholders_Reference!B:B),","," ")))</f>
        <v>Fatima Mahlangu</v>
      </c>
      <c r="M515" s="5">
        <f>_xlfn.XLOOKUP(B515,Cardholders_Reference!A:A,Cardholders_Reference!G:G)</f>
        <v>40000</v>
      </c>
      <c r="N515" s="7" t="str">
        <f>_xlfn.XLOOKUP(B515,Cardholders_Reference!A:A,Cardholders_Reference!D:D)</f>
        <v>FNB</v>
      </c>
      <c r="O515" s="7" t="str">
        <f>_xlfn.XLOOKUP(B515,Cardholders_Reference!A:A,Cardholders_Reference!E:E)</f>
        <v>Visa</v>
      </c>
      <c r="P515" s="6">
        <f t="shared" ref="P515:P578" si="61">H515/M515</f>
        <v>5.2929499999999997E-2</v>
      </c>
      <c r="Q515">
        <f t="shared" si="56"/>
        <v>1</v>
      </c>
      <c r="R515">
        <f t="shared" si="57"/>
        <v>0</v>
      </c>
      <c r="S515">
        <f>IF(COUNTIFS($B$1:$B$738,B514,$C$1:$C$738,#REF!)&gt;2,1,0)</f>
        <v>0</v>
      </c>
      <c r="T515">
        <f t="shared" si="58"/>
        <v>0</v>
      </c>
      <c r="U515">
        <f t="shared" si="59"/>
        <v>0</v>
      </c>
      <c r="V515">
        <f t="shared" si="60"/>
        <v>1</v>
      </c>
      <c r="W515">
        <f t="shared" ref="W515:W578" si="62">SUM(Q515:V515)</f>
        <v>2</v>
      </c>
      <c r="X515" t="str" cm="1">
        <f t="array" ref="X515">_xlfn.IFS(W515&lt;=1,"Low",W515=2,"Medium",W515&gt;=3,"High")</f>
        <v>Medium</v>
      </c>
    </row>
    <row r="516" spans="1:24" x14ac:dyDescent="0.3">
      <c r="A516" t="s">
        <v>1024</v>
      </c>
      <c r="B516" t="s">
        <v>1022</v>
      </c>
      <c r="C516" s="3">
        <v>46140</v>
      </c>
      <c r="D516" s="8" t="s">
        <v>1025</v>
      </c>
      <c r="E516" s="7" t="s">
        <v>24</v>
      </c>
      <c r="F516" s="7" t="s">
        <v>25</v>
      </c>
      <c r="G516" s="7" t="s">
        <v>264</v>
      </c>
      <c r="H516" s="4">
        <v>975.16</v>
      </c>
      <c r="I516" s="7" t="s">
        <v>95</v>
      </c>
      <c r="J516" s="7" t="s">
        <v>17</v>
      </c>
      <c r="L516" t="str">
        <f>PROPER(TRIM(SUBSTITUTE(_xlfn.XLOOKUP(B516,Cardholders_Reference!A:A,Cardholders_Reference!B:B),","," ")))</f>
        <v>Fatima Mahlangu</v>
      </c>
      <c r="M516" s="5">
        <f>_xlfn.XLOOKUP(B516,Cardholders_Reference!A:A,Cardholders_Reference!G:G)</f>
        <v>40000</v>
      </c>
      <c r="N516" s="7" t="str">
        <f>_xlfn.XLOOKUP(B516,Cardholders_Reference!A:A,Cardholders_Reference!D:D)</f>
        <v>FNB</v>
      </c>
      <c r="O516" s="7" t="str">
        <f>_xlfn.XLOOKUP(B516,Cardholders_Reference!A:A,Cardholders_Reference!E:E)</f>
        <v>Visa</v>
      </c>
      <c r="P516" s="6">
        <f t="shared" si="61"/>
        <v>2.4378999999999998E-2</v>
      </c>
      <c r="Q516">
        <f t="shared" si="56"/>
        <v>0</v>
      </c>
      <c r="R516">
        <f t="shared" si="57"/>
        <v>0</v>
      </c>
      <c r="S516">
        <f>IF(COUNTIFS($B$1:$B$738,B515,$C$1:$C$738,#REF!)&gt;2,1,0)</f>
        <v>0</v>
      </c>
      <c r="T516">
        <f t="shared" si="58"/>
        <v>0</v>
      </c>
      <c r="U516">
        <f t="shared" si="59"/>
        <v>0</v>
      </c>
      <c r="V516">
        <f t="shared" si="60"/>
        <v>1</v>
      </c>
      <c r="W516">
        <f t="shared" si="62"/>
        <v>1</v>
      </c>
      <c r="X516" t="str" cm="1">
        <f t="array" ref="X516">_xlfn.IFS(W516&lt;=1,"Low",W516=2,"Medium",W516&gt;=3,"High")</f>
        <v>Low</v>
      </c>
    </row>
    <row r="517" spans="1:24" x14ac:dyDescent="0.3">
      <c r="A517" t="s">
        <v>1026</v>
      </c>
      <c r="B517" t="s">
        <v>1022</v>
      </c>
      <c r="C517" s="3">
        <v>45741</v>
      </c>
      <c r="D517" s="8" t="s">
        <v>774</v>
      </c>
      <c r="E517" s="7" t="s">
        <v>94</v>
      </c>
      <c r="F517" s="7" t="s">
        <v>53</v>
      </c>
      <c r="G517" s="7" t="s">
        <v>264</v>
      </c>
      <c r="H517" s="4">
        <v>375.12</v>
      </c>
      <c r="I517" s="7" t="s">
        <v>32</v>
      </c>
      <c r="J517" s="7" t="s">
        <v>41</v>
      </c>
      <c r="L517" t="str">
        <f>PROPER(TRIM(SUBSTITUTE(_xlfn.XLOOKUP(B517,Cardholders_Reference!A:A,Cardholders_Reference!B:B),","," ")))</f>
        <v>Fatima Mahlangu</v>
      </c>
      <c r="M517" s="5">
        <f>_xlfn.XLOOKUP(B517,Cardholders_Reference!A:A,Cardholders_Reference!G:G)</f>
        <v>40000</v>
      </c>
      <c r="N517" s="7" t="str">
        <f>_xlfn.XLOOKUP(B517,Cardholders_Reference!A:A,Cardholders_Reference!D:D)</f>
        <v>FNB</v>
      </c>
      <c r="O517" s="7" t="str">
        <f>_xlfn.XLOOKUP(B517,Cardholders_Reference!A:A,Cardholders_Reference!E:E)</f>
        <v>Visa</v>
      </c>
      <c r="P517" s="6">
        <f t="shared" si="61"/>
        <v>9.3780000000000009E-3</v>
      </c>
      <c r="Q517">
        <f t="shared" si="56"/>
        <v>0</v>
      </c>
      <c r="R517">
        <f t="shared" si="57"/>
        <v>0</v>
      </c>
      <c r="S517">
        <f>IF(COUNTIFS($B$1:$B$738,B516,$C$1:$C$738,#REF!)&gt;2,1,0)</f>
        <v>0</v>
      </c>
      <c r="T517">
        <f t="shared" si="58"/>
        <v>0</v>
      </c>
      <c r="U517">
        <f t="shared" si="59"/>
        <v>0</v>
      </c>
      <c r="V517">
        <f t="shared" si="60"/>
        <v>0</v>
      </c>
      <c r="W517">
        <f t="shared" si="62"/>
        <v>0</v>
      </c>
      <c r="X517" t="str" cm="1">
        <f t="array" ref="X517">_xlfn.IFS(W517&lt;=1,"Low",W517=2,"Medium",W517&gt;=3,"High")</f>
        <v>Low</v>
      </c>
    </row>
    <row r="518" spans="1:24" x14ac:dyDescent="0.3">
      <c r="A518" t="s">
        <v>1027</v>
      </c>
      <c r="B518" t="s">
        <v>1022</v>
      </c>
      <c r="C518" s="3">
        <v>45734</v>
      </c>
      <c r="D518" s="8" t="s">
        <v>914</v>
      </c>
      <c r="E518" s="7" t="s">
        <v>137</v>
      </c>
      <c r="F518" s="7" t="s">
        <v>40</v>
      </c>
      <c r="G518" s="7" t="s">
        <v>264</v>
      </c>
      <c r="H518" s="4">
        <v>367.35</v>
      </c>
      <c r="I518" s="7" t="s">
        <v>32</v>
      </c>
      <c r="J518" s="7" t="s">
        <v>41</v>
      </c>
      <c r="L518" t="str">
        <f>PROPER(TRIM(SUBSTITUTE(_xlfn.XLOOKUP(B518,Cardholders_Reference!A:A,Cardholders_Reference!B:B),","," ")))</f>
        <v>Fatima Mahlangu</v>
      </c>
      <c r="M518" s="5">
        <f>_xlfn.XLOOKUP(B518,Cardholders_Reference!A:A,Cardholders_Reference!G:G)</f>
        <v>40000</v>
      </c>
      <c r="N518" s="7" t="str">
        <f>_xlfn.XLOOKUP(B518,Cardholders_Reference!A:A,Cardholders_Reference!D:D)</f>
        <v>FNB</v>
      </c>
      <c r="O518" s="7" t="str">
        <f>_xlfn.XLOOKUP(B518,Cardholders_Reference!A:A,Cardholders_Reference!E:E)</f>
        <v>Visa</v>
      </c>
      <c r="P518" s="6">
        <f t="shared" si="61"/>
        <v>9.1837500000000009E-3</v>
      </c>
      <c r="Q518">
        <f t="shared" si="56"/>
        <v>0</v>
      </c>
      <c r="R518">
        <f t="shared" si="57"/>
        <v>0</v>
      </c>
      <c r="S518">
        <f>IF(COUNTIFS($B$1:$B$738,B517,$C$1:$C$738,#REF!)&gt;2,1,0)</f>
        <v>0</v>
      </c>
      <c r="T518">
        <f t="shared" si="58"/>
        <v>0</v>
      </c>
      <c r="U518">
        <f t="shared" si="59"/>
        <v>0</v>
      </c>
      <c r="V518">
        <f t="shared" si="60"/>
        <v>0</v>
      </c>
      <c r="W518">
        <f t="shared" si="62"/>
        <v>0</v>
      </c>
      <c r="X518" t="str" cm="1">
        <f t="array" ref="X518">_xlfn.IFS(W518&lt;=1,"Low",W518=2,"Medium",W518&gt;=3,"High")</f>
        <v>Low</v>
      </c>
    </row>
    <row r="519" spans="1:24" x14ac:dyDescent="0.3">
      <c r="A519" t="s">
        <v>1028</v>
      </c>
      <c r="B519" t="s">
        <v>1022</v>
      </c>
      <c r="C519" s="3">
        <v>46055</v>
      </c>
      <c r="D519" s="8" t="s">
        <v>1029</v>
      </c>
      <c r="E519" s="7" t="s">
        <v>548</v>
      </c>
      <c r="F519" s="7" t="s">
        <v>40</v>
      </c>
      <c r="G519" s="7" t="s">
        <v>264</v>
      </c>
      <c r="H519" s="4">
        <v>341.69</v>
      </c>
      <c r="I519" s="7" t="s">
        <v>26</v>
      </c>
      <c r="J519" s="7" t="s">
        <v>17</v>
      </c>
      <c r="L519" t="str">
        <f>PROPER(TRIM(SUBSTITUTE(_xlfn.XLOOKUP(B519,Cardholders_Reference!A:A,Cardholders_Reference!B:B),","," ")))</f>
        <v>Fatima Mahlangu</v>
      </c>
      <c r="M519" s="5">
        <f>_xlfn.XLOOKUP(B519,Cardholders_Reference!A:A,Cardholders_Reference!G:G)</f>
        <v>40000</v>
      </c>
      <c r="N519" s="7" t="str">
        <f>_xlfn.XLOOKUP(B519,Cardholders_Reference!A:A,Cardholders_Reference!D:D)</f>
        <v>FNB</v>
      </c>
      <c r="O519" s="7" t="str">
        <f>_xlfn.XLOOKUP(B519,Cardholders_Reference!A:A,Cardholders_Reference!E:E)</f>
        <v>Visa</v>
      </c>
      <c r="P519" s="6">
        <f t="shared" si="61"/>
        <v>8.5422499999999995E-3</v>
      </c>
      <c r="Q519">
        <f t="shared" si="56"/>
        <v>0</v>
      </c>
      <c r="R519">
        <f t="shared" si="57"/>
        <v>0</v>
      </c>
      <c r="S519">
        <f>IF(COUNTIFS($B$1:$B$738,B518,$C$1:$C$738,#REF!)&gt;2,1,0)</f>
        <v>0</v>
      </c>
      <c r="T519">
        <f t="shared" si="58"/>
        <v>0</v>
      </c>
      <c r="U519">
        <f t="shared" si="59"/>
        <v>0</v>
      </c>
      <c r="V519">
        <f t="shared" si="60"/>
        <v>1</v>
      </c>
      <c r="W519">
        <f t="shared" si="62"/>
        <v>1</v>
      </c>
      <c r="X519" t="str" cm="1">
        <f t="array" ref="X519">_xlfn.IFS(W519&lt;=1,"Low",W519=2,"Medium",W519&gt;=3,"High")</f>
        <v>Low</v>
      </c>
    </row>
    <row r="520" spans="1:24" x14ac:dyDescent="0.3">
      <c r="A520" t="s">
        <v>1030</v>
      </c>
      <c r="B520" t="s">
        <v>1022</v>
      </c>
      <c r="C520" s="3">
        <v>46569</v>
      </c>
      <c r="D520" s="8" t="s">
        <v>1031</v>
      </c>
      <c r="E520" s="7" t="s">
        <v>80</v>
      </c>
      <c r="F520" s="7" t="s">
        <v>81</v>
      </c>
      <c r="G520" s="7" t="s">
        <v>264</v>
      </c>
      <c r="H520" s="4">
        <v>8472.89</v>
      </c>
      <c r="I520" s="7" t="s">
        <v>95</v>
      </c>
      <c r="J520" s="7" t="s">
        <v>17</v>
      </c>
      <c r="L520" t="str">
        <f>PROPER(TRIM(SUBSTITUTE(_xlfn.XLOOKUP(B520,Cardholders_Reference!A:A,Cardholders_Reference!B:B),","," ")))</f>
        <v>Fatima Mahlangu</v>
      </c>
      <c r="M520" s="5">
        <f>_xlfn.XLOOKUP(B520,Cardholders_Reference!A:A,Cardholders_Reference!G:G)</f>
        <v>40000</v>
      </c>
      <c r="N520" s="7" t="str">
        <f>_xlfn.XLOOKUP(B520,Cardholders_Reference!A:A,Cardholders_Reference!D:D)</f>
        <v>FNB</v>
      </c>
      <c r="O520" s="7" t="str">
        <f>_xlfn.XLOOKUP(B520,Cardholders_Reference!A:A,Cardholders_Reference!E:E)</f>
        <v>Visa</v>
      </c>
      <c r="P520" s="6">
        <f t="shared" si="61"/>
        <v>0.21182224999999999</v>
      </c>
      <c r="Q520">
        <f t="shared" si="56"/>
        <v>0</v>
      </c>
      <c r="R520">
        <f t="shared" si="57"/>
        <v>0</v>
      </c>
      <c r="S520">
        <f>IF(COUNTIFS($B$1:$B$738,B519,$C$1:$C$738,#REF!)&gt;2,1,0)</f>
        <v>0</v>
      </c>
      <c r="T520">
        <f t="shared" si="58"/>
        <v>0</v>
      </c>
      <c r="U520">
        <f t="shared" si="59"/>
        <v>0</v>
      </c>
      <c r="V520">
        <f t="shared" si="60"/>
        <v>1</v>
      </c>
      <c r="W520">
        <f t="shared" si="62"/>
        <v>1</v>
      </c>
      <c r="X520" t="str" cm="1">
        <f t="array" ref="X520">_xlfn.IFS(W520&lt;=1,"Low",W520=2,"Medium",W520&gt;=3,"High")</f>
        <v>Low</v>
      </c>
    </row>
    <row r="521" spans="1:24" x14ac:dyDescent="0.3">
      <c r="A521" t="s">
        <v>1032</v>
      </c>
      <c r="B521" t="s">
        <v>1022</v>
      </c>
      <c r="C521" s="3">
        <v>46198</v>
      </c>
      <c r="D521" s="8" t="s">
        <v>473</v>
      </c>
      <c r="E521" s="7" t="s">
        <v>215</v>
      </c>
      <c r="F521" s="7" t="s">
        <v>15</v>
      </c>
      <c r="G521" s="7" t="s">
        <v>264</v>
      </c>
      <c r="H521" s="4">
        <v>422.3</v>
      </c>
      <c r="I521" s="7" t="s">
        <v>32</v>
      </c>
      <c r="J521" s="7" t="s">
        <v>17</v>
      </c>
      <c r="L521" t="str">
        <f>PROPER(TRIM(SUBSTITUTE(_xlfn.XLOOKUP(B521,Cardholders_Reference!A:A,Cardholders_Reference!B:B),","," ")))</f>
        <v>Fatima Mahlangu</v>
      </c>
      <c r="M521" s="5">
        <f>_xlfn.XLOOKUP(B521,Cardholders_Reference!A:A,Cardholders_Reference!G:G)</f>
        <v>40000</v>
      </c>
      <c r="N521" s="7" t="str">
        <f>_xlfn.XLOOKUP(B521,Cardholders_Reference!A:A,Cardholders_Reference!D:D)</f>
        <v>FNB</v>
      </c>
      <c r="O521" s="7" t="str">
        <f>_xlfn.XLOOKUP(B521,Cardholders_Reference!A:A,Cardholders_Reference!E:E)</f>
        <v>Visa</v>
      </c>
      <c r="P521" s="6">
        <f t="shared" si="61"/>
        <v>1.0557500000000001E-2</v>
      </c>
      <c r="Q521">
        <f t="shared" si="56"/>
        <v>0</v>
      </c>
      <c r="R521">
        <f t="shared" si="57"/>
        <v>0</v>
      </c>
      <c r="S521">
        <f>IF(COUNTIFS($B$1:$B$738,B520,$C$1:$C$738,#REF!)&gt;2,1,0)</f>
        <v>0</v>
      </c>
      <c r="T521">
        <f t="shared" si="58"/>
        <v>0</v>
      </c>
      <c r="U521">
        <f t="shared" si="59"/>
        <v>0</v>
      </c>
      <c r="V521">
        <f t="shared" si="60"/>
        <v>0</v>
      </c>
      <c r="W521">
        <f t="shared" si="62"/>
        <v>0</v>
      </c>
      <c r="X521" t="str" cm="1">
        <f t="array" ref="X521">_xlfn.IFS(W521&lt;=1,"Low",W521=2,"Medium",W521&gt;=3,"High")</f>
        <v>Low</v>
      </c>
    </row>
    <row r="522" spans="1:24" x14ac:dyDescent="0.3">
      <c r="A522" t="s">
        <v>1033</v>
      </c>
      <c r="B522" t="s">
        <v>1022</v>
      </c>
      <c r="C522" s="3">
        <v>45917</v>
      </c>
      <c r="D522" s="8" t="s">
        <v>134</v>
      </c>
      <c r="E522" s="7" t="s">
        <v>77</v>
      </c>
      <c r="F522" s="7" t="s">
        <v>15</v>
      </c>
      <c r="G522" s="7" t="s">
        <v>264</v>
      </c>
      <c r="H522" s="4">
        <v>2739.42</v>
      </c>
      <c r="I522" s="7" t="s">
        <v>32</v>
      </c>
      <c r="J522" s="7" t="s">
        <v>17</v>
      </c>
      <c r="L522" t="str">
        <f>PROPER(TRIM(SUBSTITUTE(_xlfn.XLOOKUP(B522,Cardholders_Reference!A:A,Cardholders_Reference!B:B),","," ")))</f>
        <v>Fatima Mahlangu</v>
      </c>
      <c r="M522" s="5">
        <f>_xlfn.XLOOKUP(B522,Cardholders_Reference!A:A,Cardholders_Reference!G:G)</f>
        <v>40000</v>
      </c>
      <c r="N522" s="7" t="str">
        <f>_xlfn.XLOOKUP(B522,Cardholders_Reference!A:A,Cardholders_Reference!D:D)</f>
        <v>FNB</v>
      </c>
      <c r="O522" s="7" t="str">
        <f>_xlfn.XLOOKUP(B522,Cardholders_Reference!A:A,Cardholders_Reference!E:E)</f>
        <v>Visa</v>
      </c>
      <c r="P522" s="6">
        <f t="shared" si="61"/>
        <v>6.8485500000000005E-2</v>
      </c>
      <c r="Q522">
        <f t="shared" si="56"/>
        <v>0</v>
      </c>
      <c r="R522">
        <f t="shared" si="57"/>
        <v>0</v>
      </c>
      <c r="S522">
        <f>IF(COUNTIFS($B$1:$B$738,B521,$C$1:$C$738,#REF!)&gt;2,1,0)</f>
        <v>0</v>
      </c>
      <c r="T522">
        <f t="shared" si="58"/>
        <v>0</v>
      </c>
      <c r="U522">
        <f t="shared" si="59"/>
        <v>0</v>
      </c>
      <c r="V522">
        <f t="shared" si="60"/>
        <v>0</v>
      </c>
      <c r="W522">
        <f t="shared" si="62"/>
        <v>0</v>
      </c>
      <c r="X522" t="str" cm="1">
        <f t="array" ref="X522">_xlfn.IFS(W522&lt;=1,"Low",W522=2,"Medium",W522&gt;=3,"High")</f>
        <v>Low</v>
      </c>
    </row>
    <row r="523" spans="1:24" x14ac:dyDescent="0.3">
      <c r="A523" t="s">
        <v>1034</v>
      </c>
      <c r="B523" t="s">
        <v>1022</v>
      </c>
      <c r="C523" s="3">
        <v>45954</v>
      </c>
      <c r="D523" s="8" t="s">
        <v>1439</v>
      </c>
      <c r="E523" s="7" t="s">
        <v>140</v>
      </c>
      <c r="F523" s="7" t="s">
        <v>53</v>
      </c>
      <c r="G523" s="7" t="s">
        <v>22</v>
      </c>
      <c r="H523" s="4">
        <v>296.95999999999998</v>
      </c>
      <c r="I523" s="7" t="s">
        <v>16</v>
      </c>
      <c r="J523" s="7" t="s">
        <v>17</v>
      </c>
      <c r="L523" t="str">
        <f>PROPER(TRIM(SUBSTITUTE(_xlfn.XLOOKUP(B523,Cardholders_Reference!A:A,Cardholders_Reference!B:B),","," ")))</f>
        <v>Fatima Mahlangu</v>
      </c>
      <c r="M523" s="5">
        <f>_xlfn.XLOOKUP(B523,Cardholders_Reference!A:A,Cardholders_Reference!G:G)</f>
        <v>40000</v>
      </c>
      <c r="N523" s="7" t="str">
        <f>_xlfn.XLOOKUP(B523,Cardholders_Reference!A:A,Cardholders_Reference!D:D)</f>
        <v>FNB</v>
      </c>
      <c r="O523" s="7" t="str">
        <f>_xlfn.XLOOKUP(B523,Cardholders_Reference!A:A,Cardholders_Reference!E:E)</f>
        <v>Visa</v>
      </c>
      <c r="P523" s="6">
        <f t="shared" si="61"/>
        <v>7.4239999999999992E-3</v>
      </c>
      <c r="Q523">
        <f t="shared" si="56"/>
        <v>0</v>
      </c>
      <c r="R523">
        <f t="shared" si="57"/>
        <v>1</v>
      </c>
      <c r="S523">
        <f>IF(COUNTIFS($B$1:$B$738,B522,$C$1:$C$738,#REF!)&gt;2,1,0)</f>
        <v>0</v>
      </c>
      <c r="T523">
        <f t="shared" si="58"/>
        <v>0</v>
      </c>
      <c r="U523">
        <f t="shared" si="59"/>
        <v>0</v>
      </c>
      <c r="V523">
        <f t="shared" si="60"/>
        <v>0</v>
      </c>
      <c r="W523">
        <f t="shared" si="62"/>
        <v>1</v>
      </c>
      <c r="X523" t="str" cm="1">
        <f t="array" ref="X523">_xlfn.IFS(W523&lt;=1,"Low",W523=2,"Medium",W523&gt;=3,"High")</f>
        <v>Low</v>
      </c>
    </row>
    <row r="524" spans="1:24" x14ac:dyDescent="0.3">
      <c r="A524" t="s">
        <v>1035</v>
      </c>
      <c r="B524" t="s">
        <v>1022</v>
      </c>
      <c r="C524" s="3">
        <v>46143</v>
      </c>
      <c r="D524" s="8" t="s">
        <v>942</v>
      </c>
      <c r="E524" s="7" t="s">
        <v>126</v>
      </c>
      <c r="F524" s="7" t="s">
        <v>53</v>
      </c>
      <c r="G524" s="7" t="s">
        <v>264</v>
      </c>
      <c r="H524" s="4">
        <v>371.17</v>
      </c>
      <c r="I524" s="7" t="s">
        <v>32</v>
      </c>
      <c r="J524" s="7" t="s">
        <v>17</v>
      </c>
      <c r="L524" t="str">
        <f>PROPER(TRIM(SUBSTITUTE(_xlfn.XLOOKUP(B524,Cardholders_Reference!A:A,Cardholders_Reference!B:B),","," ")))</f>
        <v>Fatima Mahlangu</v>
      </c>
      <c r="M524" s="5">
        <f>_xlfn.XLOOKUP(B524,Cardholders_Reference!A:A,Cardholders_Reference!G:G)</f>
        <v>40000</v>
      </c>
      <c r="N524" s="7" t="str">
        <f>_xlfn.XLOOKUP(B524,Cardholders_Reference!A:A,Cardholders_Reference!D:D)</f>
        <v>FNB</v>
      </c>
      <c r="O524" s="7" t="str">
        <f>_xlfn.XLOOKUP(B524,Cardholders_Reference!A:A,Cardholders_Reference!E:E)</f>
        <v>Visa</v>
      </c>
      <c r="P524" s="6">
        <f t="shared" si="61"/>
        <v>9.279250000000001E-3</v>
      </c>
      <c r="Q524">
        <f t="shared" si="56"/>
        <v>1</v>
      </c>
      <c r="R524">
        <f t="shared" si="57"/>
        <v>0</v>
      </c>
      <c r="S524">
        <f>IF(COUNTIFS($B$1:$B$738,B523,$C$1:$C$738,#REF!)&gt;2,1,0)</f>
        <v>0</v>
      </c>
      <c r="T524">
        <f t="shared" si="58"/>
        <v>0</v>
      </c>
      <c r="U524">
        <f t="shared" si="59"/>
        <v>0</v>
      </c>
      <c r="V524">
        <f t="shared" si="60"/>
        <v>0</v>
      </c>
      <c r="W524">
        <f t="shared" si="62"/>
        <v>1</v>
      </c>
      <c r="X524" t="str" cm="1">
        <f t="array" ref="X524">_xlfn.IFS(W524&lt;=1,"Low",W524=2,"Medium",W524&gt;=3,"High")</f>
        <v>Low</v>
      </c>
    </row>
    <row r="525" spans="1:24" x14ac:dyDescent="0.3">
      <c r="A525" t="s">
        <v>1036</v>
      </c>
      <c r="B525" t="s">
        <v>1037</v>
      </c>
      <c r="C525" s="3">
        <v>46098</v>
      </c>
      <c r="D525" s="8" t="s">
        <v>1038</v>
      </c>
      <c r="E525" s="7" t="s">
        <v>377</v>
      </c>
      <c r="F525" s="7" t="s">
        <v>74</v>
      </c>
      <c r="G525" s="7" t="s">
        <v>118</v>
      </c>
      <c r="H525" s="4">
        <v>372.59</v>
      </c>
      <c r="I525" s="7" t="s">
        <v>32</v>
      </c>
      <c r="J525" s="7" t="s">
        <v>41</v>
      </c>
      <c r="L525" t="str">
        <f>PROPER(TRIM(SUBSTITUTE(_xlfn.XLOOKUP(B525,Cardholders_Reference!A:A,Cardholders_Reference!B:B),","," ")))</f>
        <v>Nomvula Adams</v>
      </c>
      <c r="M525" s="5">
        <f>_xlfn.XLOOKUP(B525,Cardholders_Reference!A:A,Cardholders_Reference!G:G)</f>
        <v>30000</v>
      </c>
      <c r="N525" s="7" t="str">
        <f>_xlfn.XLOOKUP(B525,Cardholders_Reference!A:A,Cardholders_Reference!D:D)</f>
        <v>Nedbank</v>
      </c>
      <c r="O525" s="7" t="str">
        <f>_xlfn.XLOOKUP(B525,Cardholders_Reference!A:A,Cardholders_Reference!E:E)</f>
        <v>Mastercard</v>
      </c>
      <c r="P525" s="6">
        <f t="shared" si="61"/>
        <v>1.2419666666666666E-2</v>
      </c>
      <c r="Q525">
        <f t="shared" si="56"/>
        <v>0</v>
      </c>
      <c r="R525">
        <f t="shared" si="57"/>
        <v>0</v>
      </c>
      <c r="S525">
        <f>IF(COUNTIFS($B$1:$B$738,B524,$C$1:$C$738,#REF!)&gt;2,1,0)</f>
        <v>0</v>
      </c>
      <c r="T525">
        <f t="shared" si="58"/>
        <v>0</v>
      </c>
      <c r="U525">
        <f t="shared" si="59"/>
        <v>0</v>
      </c>
      <c r="V525">
        <f t="shared" si="60"/>
        <v>0</v>
      </c>
      <c r="W525">
        <f t="shared" si="62"/>
        <v>0</v>
      </c>
      <c r="X525" t="str" cm="1">
        <f t="array" ref="X525">_xlfn.IFS(W525&lt;=1,"Low",W525=2,"Medium",W525&gt;=3,"High")</f>
        <v>Low</v>
      </c>
    </row>
    <row r="526" spans="1:24" x14ac:dyDescent="0.3">
      <c r="A526" t="s">
        <v>1039</v>
      </c>
      <c r="B526" t="s">
        <v>1037</v>
      </c>
      <c r="C526" s="3">
        <v>46024</v>
      </c>
      <c r="D526" s="8" t="s">
        <v>1439</v>
      </c>
      <c r="E526" s="7" t="s">
        <v>245</v>
      </c>
      <c r="F526" s="7" t="s">
        <v>48</v>
      </c>
      <c r="G526" s="7" t="s">
        <v>49</v>
      </c>
      <c r="H526" s="4">
        <v>1637.74</v>
      </c>
      <c r="I526" s="7" t="s">
        <v>26</v>
      </c>
      <c r="J526" s="7" t="s">
        <v>41</v>
      </c>
      <c r="L526" t="str">
        <f>PROPER(TRIM(SUBSTITUTE(_xlfn.XLOOKUP(B526,Cardholders_Reference!A:A,Cardholders_Reference!B:B),","," ")))</f>
        <v>Nomvula Adams</v>
      </c>
      <c r="M526" s="5">
        <f>_xlfn.XLOOKUP(B526,Cardholders_Reference!A:A,Cardholders_Reference!G:G)</f>
        <v>30000</v>
      </c>
      <c r="N526" s="7" t="str">
        <f>_xlfn.XLOOKUP(B526,Cardholders_Reference!A:A,Cardholders_Reference!D:D)</f>
        <v>Nedbank</v>
      </c>
      <c r="O526" s="7" t="str">
        <f>_xlfn.XLOOKUP(B526,Cardholders_Reference!A:A,Cardholders_Reference!E:E)</f>
        <v>Mastercard</v>
      </c>
      <c r="P526" s="6">
        <f t="shared" si="61"/>
        <v>5.4591333333333332E-2</v>
      </c>
      <c r="Q526">
        <f t="shared" si="56"/>
        <v>1</v>
      </c>
      <c r="R526">
        <f t="shared" si="57"/>
        <v>1</v>
      </c>
      <c r="S526">
        <f>IF(COUNTIFS($B$1:$B$738,B525,$C$1:$C$738,#REF!)&gt;2,1,0)</f>
        <v>0</v>
      </c>
      <c r="T526">
        <f t="shared" si="58"/>
        <v>0</v>
      </c>
      <c r="U526">
        <f t="shared" si="59"/>
        <v>0</v>
      </c>
      <c r="V526">
        <f t="shared" si="60"/>
        <v>1</v>
      </c>
      <c r="W526">
        <f t="shared" si="62"/>
        <v>3</v>
      </c>
      <c r="X526" t="str" cm="1">
        <f t="array" ref="X526">_xlfn.IFS(W526&lt;=1,"Low",W526=2,"Medium",W526&gt;=3,"High")</f>
        <v>High</v>
      </c>
    </row>
    <row r="527" spans="1:24" x14ac:dyDescent="0.3">
      <c r="A527" t="s">
        <v>1040</v>
      </c>
      <c r="B527" t="s">
        <v>1037</v>
      </c>
      <c r="C527" s="3">
        <v>45804</v>
      </c>
      <c r="D527" s="8" t="s">
        <v>938</v>
      </c>
      <c r="E527" s="7" t="s">
        <v>90</v>
      </c>
      <c r="F527" s="7" t="s">
        <v>91</v>
      </c>
      <c r="G527" s="7" t="s">
        <v>145</v>
      </c>
      <c r="H527" s="4">
        <v>920.06</v>
      </c>
      <c r="I527" s="7" t="s">
        <v>26</v>
      </c>
      <c r="J527" s="7" t="s">
        <v>17</v>
      </c>
      <c r="L527" t="str">
        <f>PROPER(TRIM(SUBSTITUTE(_xlfn.XLOOKUP(B527,Cardholders_Reference!A:A,Cardholders_Reference!B:B),","," ")))</f>
        <v>Nomvula Adams</v>
      </c>
      <c r="M527" s="5">
        <f>_xlfn.XLOOKUP(B527,Cardholders_Reference!A:A,Cardholders_Reference!G:G)</f>
        <v>30000</v>
      </c>
      <c r="N527" s="7" t="str">
        <f>_xlfn.XLOOKUP(B527,Cardholders_Reference!A:A,Cardholders_Reference!D:D)</f>
        <v>Nedbank</v>
      </c>
      <c r="O527" s="7" t="str">
        <f>_xlfn.XLOOKUP(B527,Cardholders_Reference!A:A,Cardholders_Reference!E:E)</f>
        <v>Mastercard</v>
      </c>
      <c r="P527" s="6">
        <f t="shared" si="61"/>
        <v>3.0668666666666664E-2</v>
      </c>
      <c r="Q527">
        <f t="shared" si="56"/>
        <v>0</v>
      </c>
      <c r="R527">
        <f t="shared" si="57"/>
        <v>0</v>
      </c>
      <c r="S527">
        <f>IF(COUNTIFS($B$1:$B$738,B526,$C$1:$C$738,#REF!)&gt;2,1,0)</f>
        <v>0</v>
      </c>
      <c r="T527">
        <f t="shared" si="58"/>
        <v>0</v>
      </c>
      <c r="U527">
        <f t="shared" si="59"/>
        <v>0</v>
      </c>
      <c r="V527">
        <f t="shared" si="60"/>
        <v>1</v>
      </c>
      <c r="W527">
        <f t="shared" si="62"/>
        <v>1</v>
      </c>
      <c r="X527" t="str" cm="1">
        <f t="array" ref="X527">_xlfn.IFS(W527&lt;=1,"Low",W527=2,"Medium",W527&gt;=3,"High")</f>
        <v>Low</v>
      </c>
    </row>
    <row r="528" spans="1:24" x14ac:dyDescent="0.3">
      <c r="A528" t="s">
        <v>1041</v>
      </c>
      <c r="B528" t="s">
        <v>1037</v>
      </c>
      <c r="C528" s="3">
        <v>45769</v>
      </c>
      <c r="D528" s="8" t="s">
        <v>1042</v>
      </c>
      <c r="E528" s="7" t="s">
        <v>121</v>
      </c>
      <c r="F528" s="7" t="s">
        <v>36</v>
      </c>
      <c r="G528" s="7" t="s">
        <v>49</v>
      </c>
      <c r="H528" s="4">
        <v>598.91999999999996</v>
      </c>
      <c r="I528" s="7" t="s">
        <v>16</v>
      </c>
      <c r="J528" s="7" t="s">
        <v>41</v>
      </c>
      <c r="L528" t="str">
        <f>PROPER(TRIM(SUBSTITUTE(_xlfn.XLOOKUP(B528,Cardholders_Reference!A:A,Cardholders_Reference!B:B),","," ")))</f>
        <v>Nomvula Adams</v>
      </c>
      <c r="M528" s="5">
        <f>_xlfn.XLOOKUP(B528,Cardholders_Reference!A:A,Cardholders_Reference!G:G)</f>
        <v>30000</v>
      </c>
      <c r="N528" s="7" t="str">
        <f>_xlfn.XLOOKUP(B528,Cardholders_Reference!A:A,Cardholders_Reference!D:D)</f>
        <v>Nedbank</v>
      </c>
      <c r="O528" s="7" t="str">
        <f>_xlfn.XLOOKUP(B528,Cardholders_Reference!A:A,Cardholders_Reference!E:E)</f>
        <v>Mastercard</v>
      </c>
      <c r="P528" s="6">
        <f t="shared" si="61"/>
        <v>1.9963999999999999E-2</v>
      </c>
      <c r="Q528">
        <f t="shared" si="56"/>
        <v>1</v>
      </c>
      <c r="R528">
        <f t="shared" si="57"/>
        <v>0</v>
      </c>
      <c r="S528">
        <f>IF(COUNTIFS($B$1:$B$738,B527,$C$1:$C$738,#REF!)&gt;2,1,0)</f>
        <v>0</v>
      </c>
      <c r="T528">
        <f t="shared" si="58"/>
        <v>0</v>
      </c>
      <c r="U528">
        <f t="shared" si="59"/>
        <v>0</v>
      </c>
      <c r="V528">
        <f t="shared" si="60"/>
        <v>0</v>
      </c>
      <c r="W528">
        <f t="shared" si="62"/>
        <v>1</v>
      </c>
      <c r="X528" t="str" cm="1">
        <f t="array" ref="X528">_xlfn.IFS(W528&lt;=1,"Low",W528=2,"Medium",W528&gt;=3,"High")</f>
        <v>Low</v>
      </c>
    </row>
    <row r="529" spans="1:24" x14ac:dyDescent="0.3">
      <c r="A529" t="s">
        <v>1043</v>
      </c>
      <c r="B529" t="s">
        <v>1037</v>
      </c>
      <c r="C529" s="3">
        <v>46122</v>
      </c>
      <c r="D529" s="8" t="s">
        <v>1044</v>
      </c>
      <c r="E529" s="7" t="s">
        <v>156</v>
      </c>
      <c r="F529" s="7" t="s">
        <v>36</v>
      </c>
      <c r="G529" s="7" t="s">
        <v>49</v>
      </c>
      <c r="H529" s="4">
        <v>264.12</v>
      </c>
      <c r="I529" s="7" t="s">
        <v>32</v>
      </c>
      <c r="J529" s="7" t="s">
        <v>17</v>
      </c>
      <c r="L529" t="str">
        <f>PROPER(TRIM(SUBSTITUTE(_xlfn.XLOOKUP(B529,Cardholders_Reference!A:A,Cardholders_Reference!B:B),","," ")))</f>
        <v>Nomvula Adams</v>
      </c>
      <c r="M529" s="5">
        <f>_xlfn.XLOOKUP(B529,Cardholders_Reference!A:A,Cardholders_Reference!G:G)</f>
        <v>30000</v>
      </c>
      <c r="N529" s="7" t="str">
        <f>_xlfn.XLOOKUP(B529,Cardholders_Reference!A:A,Cardholders_Reference!D:D)</f>
        <v>Nedbank</v>
      </c>
      <c r="O529" s="7" t="str">
        <f>_xlfn.XLOOKUP(B529,Cardholders_Reference!A:A,Cardholders_Reference!E:E)</f>
        <v>Mastercard</v>
      </c>
      <c r="P529" s="6">
        <f t="shared" si="61"/>
        <v>8.8039999999999993E-3</v>
      </c>
      <c r="Q529">
        <f t="shared" si="56"/>
        <v>0</v>
      </c>
      <c r="R529">
        <f t="shared" si="57"/>
        <v>0</v>
      </c>
      <c r="S529">
        <f>IF(COUNTIFS($B$1:$B$738,B528,$C$1:$C$738,#REF!)&gt;2,1,0)</f>
        <v>0</v>
      </c>
      <c r="T529">
        <f t="shared" si="58"/>
        <v>0</v>
      </c>
      <c r="U529">
        <f t="shared" si="59"/>
        <v>0</v>
      </c>
      <c r="V529">
        <f t="shared" si="60"/>
        <v>0</v>
      </c>
      <c r="W529">
        <f t="shared" si="62"/>
        <v>0</v>
      </c>
      <c r="X529" t="str" cm="1">
        <f t="array" ref="X529">_xlfn.IFS(W529&lt;=1,"Low",W529=2,"Medium",W529&gt;=3,"High")</f>
        <v>Low</v>
      </c>
    </row>
    <row r="530" spans="1:24" x14ac:dyDescent="0.3">
      <c r="A530" t="s">
        <v>1045</v>
      </c>
      <c r="B530" t="s">
        <v>1037</v>
      </c>
      <c r="C530" s="3">
        <v>46036</v>
      </c>
      <c r="D530" s="8" t="s">
        <v>1046</v>
      </c>
      <c r="E530" s="7" t="s">
        <v>245</v>
      </c>
      <c r="F530" s="7" t="s">
        <v>48</v>
      </c>
      <c r="G530" s="7" t="s">
        <v>49</v>
      </c>
      <c r="H530" s="4">
        <v>1941.46</v>
      </c>
      <c r="I530" s="7" t="s">
        <v>32</v>
      </c>
      <c r="J530" s="7" t="s">
        <v>41</v>
      </c>
      <c r="L530" t="str">
        <f>PROPER(TRIM(SUBSTITUTE(_xlfn.XLOOKUP(B530,Cardholders_Reference!A:A,Cardholders_Reference!B:B),","," ")))</f>
        <v>Nomvula Adams</v>
      </c>
      <c r="M530" s="5">
        <f>_xlfn.XLOOKUP(B530,Cardholders_Reference!A:A,Cardholders_Reference!G:G)</f>
        <v>30000</v>
      </c>
      <c r="N530" s="7" t="str">
        <f>_xlfn.XLOOKUP(B530,Cardholders_Reference!A:A,Cardholders_Reference!D:D)</f>
        <v>Nedbank</v>
      </c>
      <c r="O530" s="7" t="str">
        <f>_xlfn.XLOOKUP(B530,Cardholders_Reference!A:A,Cardholders_Reference!E:E)</f>
        <v>Mastercard</v>
      </c>
      <c r="P530" s="6">
        <f t="shared" si="61"/>
        <v>6.4715333333333333E-2</v>
      </c>
      <c r="Q530">
        <f t="shared" si="56"/>
        <v>0</v>
      </c>
      <c r="R530">
        <f t="shared" si="57"/>
        <v>0</v>
      </c>
      <c r="S530">
        <f>IF(COUNTIFS($B$1:$B$738,B529,$C$1:$C$738,#REF!)&gt;2,1,0)</f>
        <v>0</v>
      </c>
      <c r="T530">
        <f t="shared" si="58"/>
        <v>0</v>
      </c>
      <c r="U530">
        <f t="shared" si="59"/>
        <v>0</v>
      </c>
      <c r="V530">
        <f t="shared" si="60"/>
        <v>0</v>
      </c>
      <c r="W530">
        <f t="shared" si="62"/>
        <v>0</v>
      </c>
      <c r="X530" t="str" cm="1">
        <f t="array" ref="X530">_xlfn.IFS(W530&lt;=1,"Low",W530=2,"Medium",W530&gt;=3,"High")</f>
        <v>Low</v>
      </c>
    </row>
    <row r="531" spans="1:24" x14ac:dyDescent="0.3">
      <c r="A531" t="s">
        <v>1047</v>
      </c>
      <c r="B531" t="s">
        <v>1037</v>
      </c>
      <c r="C531" s="3">
        <v>46266</v>
      </c>
      <c r="D531" s="8" t="s">
        <v>1048</v>
      </c>
      <c r="E531" s="7" t="s">
        <v>548</v>
      </c>
      <c r="F531" s="7" t="s">
        <v>40</v>
      </c>
      <c r="G531" s="7" t="s">
        <v>145</v>
      </c>
      <c r="H531" s="4">
        <v>305.02</v>
      </c>
      <c r="I531" s="7" t="s">
        <v>32</v>
      </c>
      <c r="J531" s="7" t="s">
        <v>17</v>
      </c>
      <c r="L531" t="str">
        <f>PROPER(TRIM(SUBSTITUTE(_xlfn.XLOOKUP(B531,Cardholders_Reference!A:A,Cardholders_Reference!B:B),","," ")))</f>
        <v>Nomvula Adams</v>
      </c>
      <c r="M531" s="5">
        <f>_xlfn.XLOOKUP(B531,Cardholders_Reference!A:A,Cardholders_Reference!G:G)</f>
        <v>30000</v>
      </c>
      <c r="N531" s="7" t="str">
        <f>_xlfn.XLOOKUP(B531,Cardholders_Reference!A:A,Cardholders_Reference!D:D)</f>
        <v>Nedbank</v>
      </c>
      <c r="O531" s="7" t="str">
        <f>_xlfn.XLOOKUP(B531,Cardholders_Reference!A:A,Cardholders_Reference!E:E)</f>
        <v>Mastercard</v>
      </c>
      <c r="P531" s="6">
        <f t="shared" si="61"/>
        <v>1.0167333333333332E-2</v>
      </c>
      <c r="Q531">
        <f t="shared" si="56"/>
        <v>0</v>
      </c>
      <c r="R531">
        <f t="shared" si="57"/>
        <v>0</v>
      </c>
      <c r="S531">
        <f>IF(COUNTIFS($B$1:$B$738,B530,$C$1:$C$738,#REF!)&gt;2,1,0)</f>
        <v>0</v>
      </c>
      <c r="T531">
        <f t="shared" si="58"/>
        <v>0</v>
      </c>
      <c r="U531">
        <f t="shared" si="59"/>
        <v>0</v>
      </c>
      <c r="V531">
        <f t="shared" si="60"/>
        <v>0</v>
      </c>
      <c r="W531">
        <f t="shared" si="62"/>
        <v>0</v>
      </c>
      <c r="X531" t="str" cm="1">
        <f t="array" ref="X531">_xlfn.IFS(W531&lt;=1,"Low",W531=2,"Medium",W531&gt;=3,"High")</f>
        <v>Low</v>
      </c>
    </row>
    <row r="532" spans="1:24" x14ac:dyDescent="0.3">
      <c r="A532" t="s">
        <v>1049</v>
      </c>
      <c r="B532" t="s">
        <v>1037</v>
      </c>
      <c r="C532" s="3">
        <v>46298</v>
      </c>
      <c r="D532" s="8" t="s">
        <v>1050</v>
      </c>
      <c r="E532" s="7" t="s">
        <v>215</v>
      </c>
      <c r="F532" s="7" t="s">
        <v>15</v>
      </c>
      <c r="G532" s="7" t="s">
        <v>49</v>
      </c>
      <c r="H532" s="4">
        <v>3763</v>
      </c>
      <c r="I532" s="7" t="s">
        <v>16</v>
      </c>
      <c r="J532" s="7" t="s">
        <v>17</v>
      </c>
      <c r="L532" t="str">
        <f>PROPER(TRIM(SUBSTITUTE(_xlfn.XLOOKUP(B532,Cardholders_Reference!A:A,Cardholders_Reference!B:B),","," ")))</f>
        <v>Nomvula Adams</v>
      </c>
      <c r="M532" s="5">
        <f>_xlfn.XLOOKUP(B532,Cardholders_Reference!A:A,Cardholders_Reference!G:G)</f>
        <v>30000</v>
      </c>
      <c r="N532" s="7" t="str">
        <f>_xlfn.XLOOKUP(B532,Cardholders_Reference!A:A,Cardholders_Reference!D:D)</f>
        <v>Nedbank</v>
      </c>
      <c r="O532" s="7" t="str">
        <f>_xlfn.XLOOKUP(B532,Cardholders_Reference!A:A,Cardholders_Reference!E:E)</f>
        <v>Mastercard</v>
      </c>
      <c r="P532" s="6">
        <f t="shared" si="61"/>
        <v>0.12543333333333334</v>
      </c>
      <c r="Q532">
        <f t="shared" si="56"/>
        <v>1</v>
      </c>
      <c r="R532">
        <f t="shared" si="57"/>
        <v>0</v>
      </c>
      <c r="S532">
        <f>IF(COUNTIFS($B$1:$B$738,B531,$C$1:$C$738,#REF!)&gt;2,1,0)</f>
        <v>0</v>
      </c>
      <c r="T532">
        <f t="shared" si="58"/>
        <v>0</v>
      </c>
      <c r="U532">
        <f t="shared" si="59"/>
        <v>0</v>
      </c>
      <c r="V532">
        <f t="shared" si="60"/>
        <v>0</v>
      </c>
      <c r="W532">
        <f t="shared" si="62"/>
        <v>1</v>
      </c>
      <c r="X532" t="str" cm="1">
        <f t="array" ref="X532">_xlfn.IFS(W532&lt;=1,"Low",W532=2,"Medium",W532&gt;=3,"High")</f>
        <v>Low</v>
      </c>
    </row>
    <row r="533" spans="1:24" x14ac:dyDescent="0.3">
      <c r="A533" t="s">
        <v>1051</v>
      </c>
      <c r="B533" t="s">
        <v>1037</v>
      </c>
      <c r="C533" s="3">
        <v>45845</v>
      </c>
      <c r="D533" s="8" t="s">
        <v>1052</v>
      </c>
      <c r="E533" s="7" t="s">
        <v>132</v>
      </c>
      <c r="F533" s="7" t="s">
        <v>25</v>
      </c>
      <c r="G533" s="7" t="s">
        <v>49</v>
      </c>
      <c r="H533" s="4">
        <v>962.95</v>
      </c>
      <c r="I533" s="7" t="s">
        <v>32</v>
      </c>
      <c r="J533" s="7" t="s">
        <v>41</v>
      </c>
      <c r="L533" t="str">
        <f>PROPER(TRIM(SUBSTITUTE(_xlfn.XLOOKUP(B533,Cardholders_Reference!A:A,Cardholders_Reference!B:B),","," ")))</f>
        <v>Nomvula Adams</v>
      </c>
      <c r="M533" s="5">
        <f>_xlfn.XLOOKUP(B533,Cardholders_Reference!A:A,Cardholders_Reference!G:G)</f>
        <v>30000</v>
      </c>
      <c r="N533" s="7" t="str">
        <f>_xlfn.XLOOKUP(B533,Cardholders_Reference!A:A,Cardholders_Reference!D:D)</f>
        <v>Nedbank</v>
      </c>
      <c r="O533" s="7" t="str">
        <f>_xlfn.XLOOKUP(B533,Cardholders_Reference!A:A,Cardholders_Reference!E:E)</f>
        <v>Mastercard</v>
      </c>
      <c r="P533" s="6">
        <f t="shared" si="61"/>
        <v>3.2098333333333333E-2</v>
      </c>
      <c r="Q533">
        <f t="shared" si="56"/>
        <v>0</v>
      </c>
      <c r="R533">
        <f t="shared" si="57"/>
        <v>0</v>
      </c>
      <c r="S533">
        <f>IF(COUNTIFS($B$1:$B$738,B532,$C$1:$C$738,#REF!)&gt;2,1,0)</f>
        <v>0</v>
      </c>
      <c r="T533">
        <f t="shared" si="58"/>
        <v>0</v>
      </c>
      <c r="U533">
        <f t="shared" si="59"/>
        <v>0</v>
      </c>
      <c r="V533">
        <f t="shared" si="60"/>
        <v>0</v>
      </c>
      <c r="W533">
        <f t="shared" si="62"/>
        <v>0</v>
      </c>
      <c r="X533" t="str" cm="1">
        <f t="array" ref="X533">_xlfn.IFS(W533&lt;=1,"Low",W533=2,"Medium",W533&gt;=3,"High")</f>
        <v>Low</v>
      </c>
    </row>
    <row r="534" spans="1:24" x14ac:dyDescent="0.3">
      <c r="A534" t="s">
        <v>1053</v>
      </c>
      <c r="B534" t="s">
        <v>1037</v>
      </c>
      <c r="C534" s="3">
        <v>46362</v>
      </c>
      <c r="D534" s="8" t="s">
        <v>565</v>
      </c>
      <c r="E534" s="7" t="s">
        <v>44</v>
      </c>
      <c r="F534" s="7" t="s">
        <v>25</v>
      </c>
      <c r="G534" s="7" t="s">
        <v>49</v>
      </c>
      <c r="H534" s="4">
        <v>1031.83</v>
      </c>
      <c r="I534" s="7" t="s">
        <v>26</v>
      </c>
      <c r="J534" s="7" t="s">
        <v>17</v>
      </c>
      <c r="L534" t="str">
        <f>PROPER(TRIM(SUBSTITUTE(_xlfn.XLOOKUP(B534,Cardholders_Reference!A:A,Cardholders_Reference!B:B),","," ")))</f>
        <v>Nomvula Adams</v>
      </c>
      <c r="M534" s="5">
        <f>_xlfn.XLOOKUP(B534,Cardholders_Reference!A:A,Cardholders_Reference!G:G)</f>
        <v>30000</v>
      </c>
      <c r="N534" s="7" t="str">
        <f>_xlfn.XLOOKUP(B534,Cardholders_Reference!A:A,Cardholders_Reference!D:D)</f>
        <v>Nedbank</v>
      </c>
      <c r="O534" s="7" t="str">
        <f>_xlfn.XLOOKUP(B534,Cardholders_Reference!A:A,Cardholders_Reference!E:E)</f>
        <v>Mastercard</v>
      </c>
      <c r="P534" s="6">
        <f t="shared" si="61"/>
        <v>3.4394333333333332E-2</v>
      </c>
      <c r="Q534">
        <f t="shared" si="56"/>
        <v>0</v>
      </c>
      <c r="R534">
        <f t="shared" si="57"/>
        <v>0</v>
      </c>
      <c r="S534">
        <f>IF(COUNTIFS($B$1:$B$738,B533,$C$1:$C$738,#REF!)&gt;2,1,0)</f>
        <v>0</v>
      </c>
      <c r="T534">
        <f t="shared" si="58"/>
        <v>0</v>
      </c>
      <c r="U534">
        <f t="shared" si="59"/>
        <v>0</v>
      </c>
      <c r="V534">
        <f t="shared" si="60"/>
        <v>1</v>
      </c>
      <c r="W534">
        <f t="shared" si="62"/>
        <v>1</v>
      </c>
      <c r="X534" t="str" cm="1">
        <f t="array" ref="X534">_xlfn.IFS(W534&lt;=1,"Low",W534=2,"Medium",W534&gt;=3,"High")</f>
        <v>Low</v>
      </c>
    </row>
    <row r="535" spans="1:24" x14ac:dyDescent="0.3">
      <c r="A535" t="s">
        <v>1054</v>
      </c>
      <c r="B535" t="s">
        <v>1055</v>
      </c>
      <c r="C535" s="3">
        <v>45910</v>
      </c>
      <c r="D535" s="8" t="s">
        <v>1056</v>
      </c>
      <c r="E535" s="7" t="s">
        <v>377</v>
      </c>
      <c r="F535" s="7" t="s">
        <v>74</v>
      </c>
      <c r="G535" s="7" t="s">
        <v>22</v>
      </c>
      <c r="H535" s="4">
        <v>547.08000000000004</v>
      </c>
      <c r="I535" s="7" t="s">
        <v>26</v>
      </c>
      <c r="J535" s="7" t="s">
        <v>17</v>
      </c>
      <c r="L535" t="str">
        <f>PROPER(TRIM(SUBSTITUTE(_xlfn.XLOOKUP(B535,Cardholders_Reference!A:A,Cardholders_Reference!B:B),","," ")))</f>
        <v>Johan Naidoo</v>
      </c>
      <c r="M535" s="5">
        <f>_xlfn.XLOOKUP(B535,Cardholders_Reference!A:A,Cardholders_Reference!G:G)</f>
        <v>20000</v>
      </c>
      <c r="N535" s="7" t="str">
        <f>_xlfn.XLOOKUP(B535,Cardholders_Reference!A:A,Cardholders_Reference!D:D)</f>
        <v>ABSA</v>
      </c>
      <c r="O535" s="7" t="str">
        <f>_xlfn.XLOOKUP(B535,Cardholders_Reference!A:A,Cardholders_Reference!E:E)</f>
        <v>Mastercard</v>
      </c>
      <c r="P535" s="6">
        <f t="shared" si="61"/>
        <v>2.7354000000000003E-2</v>
      </c>
      <c r="Q535">
        <f t="shared" si="56"/>
        <v>0</v>
      </c>
      <c r="R535">
        <f t="shared" si="57"/>
        <v>0</v>
      </c>
      <c r="S535">
        <f>IF(COUNTIFS($B$1:$B$738,B534,$C$1:$C$738,#REF!)&gt;2,1,0)</f>
        <v>0</v>
      </c>
      <c r="T535">
        <f t="shared" si="58"/>
        <v>0</v>
      </c>
      <c r="U535">
        <f t="shared" si="59"/>
        <v>0</v>
      </c>
      <c r="V535">
        <f t="shared" si="60"/>
        <v>1</v>
      </c>
      <c r="W535">
        <f t="shared" si="62"/>
        <v>1</v>
      </c>
      <c r="X535" t="str" cm="1">
        <f t="array" ref="X535">_xlfn.IFS(W535&lt;=1,"Low",W535=2,"Medium",W535&gt;=3,"High")</f>
        <v>Low</v>
      </c>
    </row>
    <row r="536" spans="1:24" x14ac:dyDescent="0.3">
      <c r="A536" t="s">
        <v>1057</v>
      </c>
      <c r="B536" t="s">
        <v>1055</v>
      </c>
      <c r="C536" s="3">
        <v>46153</v>
      </c>
      <c r="D536" s="8" t="s">
        <v>929</v>
      </c>
      <c r="E536" s="7" t="s">
        <v>57</v>
      </c>
      <c r="F536" s="7" t="s">
        <v>36</v>
      </c>
      <c r="G536" s="7" t="s">
        <v>22</v>
      </c>
      <c r="H536" s="4">
        <v>422.52</v>
      </c>
      <c r="I536" s="7" t="s">
        <v>16</v>
      </c>
      <c r="J536" s="7" t="s">
        <v>17</v>
      </c>
      <c r="K536" t="s">
        <v>141</v>
      </c>
      <c r="L536" t="str">
        <f>PROPER(TRIM(SUBSTITUTE(_xlfn.XLOOKUP(B536,Cardholders_Reference!A:A,Cardholders_Reference!B:B),","," ")))</f>
        <v>Johan Naidoo</v>
      </c>
      <c r="M536" s="5">
        <f>_xlfn.XLOOKUP(B536,Cardholders_Reference!A:A,Cardholders_Reference!G:G)</f>
        <v>20000</v>
      </c>
      <c r="N536" s="7" t="str">
        <f>_xlfn.XLOOKUP(B536,Cardholders_Reference!A:A,Cardholders_Reference!D:D)</f>
        <v>ABSA</v>
      </c>
      <c r="O536" s="7" t="str">
        <f>_xlfn.XLOOKUP(B536,Cardholders_Reference!A:A,Cardholders_Reference!E:E)</f>
        <v>Mastercard</v>
      </c>
      <c r="P536" s="6">
        <f t="shared" si="61"/>
        <v>2.1125999999999999E-2</v>
      </c>
      <c r="Q536">
        <f t="shared" si="56"/>
        <v>0</v>
      </c>
      <c r="R536">
        <f t="shared" si="57"/>
        <v>0</v>
      </c>
      <c r="S536">
        <f>IF(COUNTIFS($B$1:$B$738,B535,$C$1:$C$738,#REF!)&gt;2,1,0)</f>
        <v>0</v>
      </c>
      <c r="T536">
        <f t="shared" si="58"/>
        <v>0</v>
      </c>
      <c r="U536">
        <f t="shared" si="59"/>
        <v>0</v>
      </c>
      <c r="V536">
        <f t="shared" si="60"/>
        <v>0</v>
      </c>
      <c r="W536">
        <f t="shared" si="62"/>
        <v>0</v>
      </c>
      <c r="X536" t="str" cm="1">
        <f t="array" ref="X536">_xlfn.IFS(W536&lt;=1,"Low",W536=2,"Medium",W536&gt;=3,"High")</f>
        <v>Low</v>
      </c>
    </row>
    <row r="537" spans="1:24" x14ac:dyDescent="0.3">
      <c r="A537" t="s">
        <v>1058</v>
      </c>
      <c r="B537" t="s">
        <v>1055</v>
      </c>
      <c r="C537" s="3">
        <v>46158</v>
      </c>
      <c r="D537" s="8" t="s">
        <v>1059</v>
      </c>
      <c r="E537" s="7" t="s">
        <v>121</v>
      </c>
      <c r="F537" s="7" t="s">
        <v>36</v>
      </c>
      <c r="G537" s="7" t="s">
        <v>22</v>
      </c>
      <c r="H537" s="4">
        <v>271.98</v>
      </c>
      <c r="I537" s="7" t="s">
        <v>95</v>
      </c>
      <c r="J537" s="7" t="s">
        <v>17</v>
      </c>
      <c r="L537" t="str">
        <f>PROPER(TRIM(SUBSTITUTE(_xlfn.XLOOKUP(B537,Cardholders_Reference!A:A,Cardholders_Reference!B:B),","," ")))</f>
        <v>Johan Naidoo</v>
      </c>
      <c r="M537" s="5">
        <f>_xlfn.XLOOKUP(B537,Cardholders_Reference!A:A,Cardholders_Reference!G:G)</f>
        <v>20000</v>
      </c>
      <c r="N537" s="7" t="str">
        <f>_xlfn.XLOOKUP(B537,Cardholders_Reference!A:A,Cardholders_Reference!D:D)</f>
        <v>ABSA</v>
      </c>
      <c r="O537" s="7" t="str">
        <f>_xlfn.XLOOKUP(B537,Cardholders_Reference!A:A,Cardholders_Reference!E:E)</f>
        <v>Mastercard</v>
      </c>
      <c r="P537" s="6">
        <f t="shared" si="61"/>
        <v>1.3599000000000002E-2</v>
      </c>
      <c r="Q537">
        <f t="shared" si="56"/>
        <v>0</v>
      </c>
      <c r="R537">
        <f t="shared" si="57"/>
        <v>0</v>
      </c>
      <c r="S537">
        <f>IF(COUNTIFS($B$1:$B$738,B536,$C$1:$C$738,#REF!)&gt;2,1,0)</f>
        <v>0</v>
      </c>
      <c r="T537">
        <f t="shared" si="58"/>
        <v>0</v>
      </c>
      <c r="U537">
        <f t="shared" si="59"/>
        <v>0</v>
      </c>
      <c r="V537">
        <f t="shared" si="60"/>
        <v>1</v>
      </c>
      <c r="W537">
        <f t="shared" si="62"/>
        <v>1</v>
      </c>
      <c r="X537" t="str" cm="1">
        <f t="array" ref="X537">_xlfn.IFS(W537&lt;=1,"Low",W537=2,"Medium",W537&gt;=3,"High")</f>
        <v>Low</v>
      </c>
    </row>
    <row r="538" spans="1:24" x14ac:dyDescent="0.3">
      <c r="A538" t="s">
        <v>1060</v>
      </c>
      <c r="B538" t="s">
        <v>1055</v>
      </c>
      <c r="C538" s="3">
        <v>45910</v>
      </c>
      <c r="D538" s="8" t="s">
        <v>739</v>
      </c>
      <c r="E538" s="7" t="s">
        <v>35</v>
      </c>
      <c r="F538" s="7" t="s">
        <v>36</v>
      </c>
      <c r="G538" s="7" t="s">
        <v>22</v>
      </c>
      <c r="H538" s="4">
        <v>138.96</v>
      </c>
      <c r="I538" s="7" t="s">
        <v>26</v>
      </c>
      <c r="J538" s="7" t="s">
        <v>17</v>
      </c>
      <c r="L538" t="str">
        <f>PROPER(TRIM(SUBSTITUTE(_xlfn.XLOOKUP(B538,Cardholders_Reference!A:A,Cardholders_Reference!B:B),","," ")))</f>
        <v>Johan Naidoo</v>
      </c>
      <c r="M538" s="5">
        <f>_xlfn.XLOOKUP(B538,Cardholders_Reference!A:A,Cardholders_Reference!G:G)</f>
        <v>20000</v>
      </c>
      <c r="N538" s="7" t="str">
        <f>_xlfn.XLOOKUP(B538,Cardholders_Reference!A:A,Cardholders_Reference!D:D)</f>
        <v>ABSA</v>
      </c>
      <c r="O538" s="7" t="str">
        <f>_xlfn.XLOOKUP(B538,Cardholders_Reference!A:A,Cardholders_Reference!E:E)</f>
        <v>Mastercard</v>
      </c>
      <c r="P538" s="6">
        <f t="shared" si="61"/>
        <v>6.9480000000000002E-3</v>
      </c>
      <c r="Q538">
        <f t="shared" si="56"/>
        <v>0</v>
      </c>
      <c r="R538">
        <f t="shared" si="57"/>
        <v>0</v>
      </c>
      <c r="S538">
        <f>IF(COUNTIFS($B$1:$B$738,B537,$C$1:$C$738,#REF!)&gt;2,1,0)</f>
        <v>0</v>
      </c>
      <c r="T538">
        <f t="shared" si="58"/>
        <v>0</v>
      </c>
      <c r="U538">
        <f t="shared" si="59"/>
        <v>0</v>
      </c>
      <c r="V538">
        <f t="shared" si="60"/>
        <v>1</v>
      </c>
      <c r="W538">
        <f t="shared" si="62"/>
        <v>1</v>
      </c>
      <c r="X538" t="str" cm="1">
        <f t="array" ref="X538">_xlfn.IFS(W538&lt;=1,"Low",W538=2,"Medium",W538&gt;=3,"High")</f>
        <v>Low</v>
      </c>
    </row>
    <row r="539" spans="1:24" x14ac:dyDescent="0.3">
      <c r="A539" t="s">
        <v>1061</v>
      </c>
      <c r="B539" t="s">
        <v>1055</v>
      </c>
      <c r="C539" s="3">
        <v>46186</v>
      </c>
      <c r="D539" s="8" t="s">
        <v>1062</v>
      </c>
      <c r="E539" s="7" t="s">
        <v>173</v>
      </c>
      <c r="F539" s="7" t="s">
        <v>21</v>
      </c>
      <c r="G539" s="7" t="s">
        <v>22</v>
      </c>
      <c r="H539" s="4">
        <v>2651.18</v>
      </c>
      <c r="I539" s="7" t="s">
        <v>95</v>
      </c>
      <c r="J539" s="7" t="s">
        <v>17</v>
      </c>
      <c r="L539" t="str">
        <f>PROPER(TRIM(SUBSTITUTE(_xlfn.XLOOKUP(B539,Cardholders_Reference!A:A,Cardholders_Reference!B:B),","," ")))</f>
        <v>Johan Naidoo</v>
      </c>
      <c r="M539" s="5">
        <f>_xlfn.XLOOKUP(B539,Cardholders_Reference!A:A,Cardholders_Reference!G:G)</f>
        <v>20000</v>
      </c>
      <c r="N539" s="7" t="str">
        <f>_xlfn.XLOOKUP(B539,Cardholders_Reference!A:A,Cardholders_Reference!D:D)</f>
        <v>ABSA</v>
      </c>
      <c r="O539" s="7" t="str">
        <f>_xlfn.XLOOKUP(B539,Cardholders_Reference!A:A,Cardholders_Reference!E:E)</f>
        <v>Mastercard</v>
      </c>
      <c r="P539" s="6">
        <f t="shared" si="61"/>
        <v>0.13255899999999998</v>
      </c>
      <c r="Q539">
        <f t="shared" si="56"/>
        <v>0</v>
      </c>
      <c r="R539">
        <f t="shared" si="57"/>
        <v>0</v>
      </c>
      <c r="S539">
        <f>IF(COUNTIFS($B$1:$B$738,B538,$C$1:$C$738,#REF!)&gt;2,1,0)</f>
        <v>0</v>
      </c>
      <c r="T539">
        <f t="shared" si="58"/>
        <v>0</v>
      </c>
      <c r="U539">
        <f t="shared" si="59"/>
        <v>0</v>
      </c>
      <c r="V539">
        <f t="shared" si="60"/>
        <v>1</v>
      </c>
      <c r="W539">
        <f t="shared" si="62"/>
        <v>1</v>
      </c>
      <c r="X539" t="str" cm="1">
        <f t="array" ref="X539">_xlfn.IFS(W539&lt;=1,"Low",W539=2,"Medium",W539&gt;=3,"High")</f>
        <v>Low</v>
      </c>
    </row>
    <row r="540" spans="1:24" x14ac:dyDescent="0.3">
      <c r="A540" t="s">
        <v>1063</v>
      </c>
      <c r="B540" t="s">
        <v>1055</v>
      </c>
      <c r="C540" s="3">
        <v>45756</v>
      </c>
      <c r="D540" s="8" t="s">
        <v>1064</v>
      </c>
      <c r="E540" s="7" t="s">
        <v>52</v>
      </c>
      <c r="F540" s="7" t="s">
        <v>53</v>
      </c>
      <c r="G540" s="7" t="s">
        <v>108</v>
      </c>
      <c r="H540" s="4">
        <v>1451.72</v>
      </c>
      <c r="I540" s="7" t="s">
        <v>16</v>
      </c>
      <c r="J540" s="7" t="s">
        <v>17</v>
      </c>
      <c r="L540" t="str">
        <f>PROPER(TRIM(SUBSTITUTE(_xlfn.XLOOKUP(B540,Cardholders_Reference!A:A,Cardholders_Reference!B:B),","," ")))</f>
        <v>Johan Naidoo</v>
      </c>
      <c r="M540" s="5">
        <f>_xlfn.XLOOKUP(B540,Cardholders_Reference!A:A,Cardholders_Reference!G:G)</f>
        <v>20000</v>
      </c>
      <c r="N540" s="7" t="str">
        <f>_xlfn.XLOOKUP(B540,Cardholders_Reference!A:A,Cardholders_Reference!D:D)</f>
        <v>ABSA</v>
      </c>
      <c r="O540" s="7" t="str">
        <f>_xlfn.XLOOKUP(B540,Cardholders_Reference!A:A,Cardholders_Reference!E:E)</f>
        <v>Mastercard</v>
      </c>
      <c r="P540" s="6">
        <f t="shared" si="61"/>
        <v>7.2585999999999998E-2</v>
      </c>
      <c r="Q540">
        <f t="shared" si="56"/>
        <v>0</v>
      </c>
      <c r="R540">
        <f t="shared" si="57"/>
        <v>0</v>
      </c>
      <c r="S540">
        <f>IF(COUNTIFS($B$1:$B$738,B539,$C$1:$C$738,#REF!)&gt;2,1,0)</f>
        <v>0</v>
      </c>
      <c r="T540">
        <f t="shared" si="58"/>
        <v>0</v>
      </c>
      <c r="U540">
        <f t="shared" si="59"/>
        <v>1</v>
      </c>
      <c r="V540">
        <f t="shared" si="60"/>
        <v>0</v>
      </c>
      <c r="W540">
        <f t="shared" si="62"/>
        <v>1</v>
      </c>
      <c r="X540" t="str" cm="1">
        <f t="array" ref="X540">_xlfn.IFS(W540&lt;=1,"Low",W540=2,"Medium",W540&gt;=3,"High")</f>
        <v>Low</v>
      </c>
    </row>
    <row r="541" spans="1:24" x14ac:dyDescent="0.3">
      <c r="A541" t="s">
        <v>1065</v>
      </c>
      <c r="B541" t="s">
        <v>1055</v>
      </c>
      <c r="C541" s="3">
        <v>46032</v>
      </c>
      <c r="D541" s="8" t="s">
        <v>1066</v>
      </c>
      <c r="E541" s="7" t="s">
        <v>80</v>
      </c>
      <c r="F541" s="7" t="s">
        <v>81</v>
      </c>
      <c r="G541" s="7" t="s">
        <v>22</v>
      </c>
      <c r="H541" s="4">
        <v>14249.58</v>
      </c>
      <c r="I541" s="7" t="s">
        <v>32</v>
      </c>
      <c r="J541" s="7" t="s">
        <v>41</v>
      </c>
      <c r="L541" t="str">
        <f>PROPER(TRIM(SUBSTITUTE(_xlfn.XLOOKUP(B541,Cardholders_Reference!A:A,Cardholders_Reference!B:B),","," ")))</f>
        <v>Johan Naidoo</v>
      </c>
      <c r="M541" s="5">
        <f>_xlfn.XLOOKUP(B541,Cardholders_Reference!A:A,Cardholders_Reference!G:G)</f>
        <v>20000</v>
      </c>
      <c r="N541" s="7" t="str">
        <f>_xlfn.XLOOKUP(B541,Cardholders_Reference!A:A,Cardholders_Reference!D:D)</f>
        <v>ABSA</v>
      </c>
      <c r="O541" s="7" t="str">
        <f>_xlfn.XLOOKUP(B541,Cardholders_Reference!A:A,Cardholders_Reference!E:E)</f>
        <v>Mastercard</v>
      </c>
      <c r="P541" s="6">
        <f t="shared" si="61"/>
        <v>0.71247899999999997</v>
      </c>
      <c r="Q541">
        <f t="shared" si="56"/>
        <v>1</v>
      </c>
      <c r="R541">
        <f t="shared" si="57"/>
        <v>0</v>
      </c>
      <c r="S541">
        <f>IF(COUNTIFS($B$1:$B$738,B540,$C$1:$C$738,#REF!)&gt;2,1,0)</f>
        <v>0</v>
      </c>
      <c r="T541">
        <f t="shared" si="58"/>
        <v>0</v>
      </c>
      <c r="U541">
        <f t="shared" si="59"/>
        <v>0</v>
      </c>
      <c r="V541">
        <f t="shared" si="60"/>
        <v>0</v>
      </c>
      <c r="W541">
        <f t="shared" si="62"/>
        <v>1</v>
      </c>
      <c r="X541" t="str" cm="1">
        <f t="array" ref="X541">_xlfn.IFS(W541&lt;=1,"Low",W541=2,"Medium",W541&gt;=3,"High")</f>
        <v>Low</v>
      </c>
    </row>
    <row r="542" spans="1:24" x14ac:dyDescent="0.3">
      <c r="A542" t="s">
        <v>1067</v>
      </c>
      <c r="B542" t="s">
        <v>1055</v>
      </c>
      <c r="C542" s="3">
        <v>46045</v>
      </c>
      <c r="D542" s="8" t="s">
        <v>1068</v>
      </c>
      <c r="E542" s="7" t="s">
        <v>44</v>
      </c>
      <c r="F542" s="7" t="s">
        <v>25</v>
      </c>
      <c r="G542" s="7" t="s">
        <v>22</v>
      </c>
      <c r="H542" s="4">
        <v>488.61</v>
      </c>
      <c r="I542" s="7" t="s">
        <v>32</v>
      </c>
      <c r="J542" s="7" t="s">
        <v>17</v>
      </c>
      <c r="L542" t="str">
        <f>PROPER(TRIM(SUBSTITUTE(_xlfn.XLOOKUP(B542,Cardholders_Reference!A:A,Cardholders_Reference!B:B),","," ")))</f>
        <v>Johan Naidoo</v>
      </c>
      <c r="M542" s="5">
        <f>_xlfn.XLOOKUP(B542,Cardholders_Reference!A:A,Cardholders_Reference!G:G)</f>
        <v>20000</v>
      </c>
      <c r="N542" s="7" t="str">
        <f>_xlfn.XLOOKUP(B542,Cardholders_Reference!A:A,Cardholders_Reference!D:D)</f>
        <v>ABSA</v>
      </c>
      <c r="O542" s="7" t="str">
        <f>_xlfn.XLOOKUP(B542,Cardholders_Reference!A:A,Cardholders_Reference!E:E)</f>
        <v>Mastercard</v>
      </c>
      <c r="P542" s="6">
        <f t="shared" si="61"/>
        <v>2.4430500000000001E-2</v>
      </c>
      <c r="Q542">
        <f t="shared" si="56"/>
        <v>0</v>
      </c>
      <c r="R542">
        <f t="shared" si="57"/>
        <v>0</v>
      </c>
      <c r="S542">
        <f>IF(COUNTIFS($B$1:$B$738,B541,$C$1:$C$738,#REF!)&gt;2,1,0)</f>
        <v>0</v>
      </c>
      <c r="T542">
        <f t="shared" si="58"/>
        <v>1</v>
      </c>
      <c r="U542">
        <f t="shared" si="59"/>
        <v>0</v>
      </c>
      <c r="V542">
        <f t="shared" si="60"/>
        <v>0</v>
      </c>
      <c r="W542">
        <f t="shared" si="62"/>
        <v>1</v>
      </c>
      <c r="X542" t="str" cm="1">
        <f t="array" ref="X542">_xlfn.IFS(W542&lt;=1,"Low",W542=2,"Medium",W542&gt;=3,"High")</f>
        <v>Low</v>
      </c>
    </row>
    <row r="543" spans="1:24" x14ac:dyDescent="0.3">
      <c r="A543" t="s">
        <v>1069</v>
      </c>
      <c r="B543" t="s">
        <v>1055</v>
      </c>
      <c r="C543" s="3">
        <v>46163</v>
      </c>
      <c r="D543" s="8" t="s">
        <v>69</v>
      </c>
      <c r="E543" s="7" t="s">
        <v>331</v>
      </c>
      <c r="F543" s="7" t="s">
        <v>40</v>
      </c>
      <c r="G543" s="7" t="s">
        <v>22</v>
      </c>
      <c r="H543" s="4">
        <v>388.86</v>
      </c>
      <c r="I543" s="7" t="s">
        <v>26</v>
      </c>
      <c r="J543" s="7" t="s">
        <v>17</v>
      </c>
      <c r="L543" t="str">
        <f>PROPER(TRIM(SUBSTITUTE(_xlfn.XLOOKUP(B543,Cardholders_Reference!A:A,Cardholders_Reference!B:B),","," ")))</f>
        <v>Johan Naidoo</v>
      </c>
      <c r="M543" s="5">
        <f>_xlfn.XLOOKUP(B543,Cardholders_Reference!A:A,Cardholders_Reference!G:G)</f>
        <v>20000</v>
      </c>
      <c r="N543" s="7" t="str">
        <f>_xlfn.XLOOKUP(B543,Cardholders_Reference!A:A,Cardholders_Reference!D:D)</f>
        <v>ABSA</v>
      </c>
      <c r="O543" s="7" t="str">
        <f>_xlfn.XLOOKUP(B543,Cardholders_Reference!A:A,Cardholders_Reference!E:E)</f>
        <v>Mastercard</v>
      </c>
      <c r="P543" s="6">
        <f t="shared" si="61"/>
        <v>1.9443000000000002E-2</v>
      </c>
      <c r="Q543">
        <f t="shared" si="56"/>
        <v>0</v>
      </c>
      <c r="R543">
        <f t="shared" si="57"/>
        <v>0</v>
      </c>
      <c r="S543">
        <f>IF(COUNTIFS($B$1:$B$738,B542,$C$1:$C$738,#REF!)&gt;2,1,0)</f>
        <v>0</v>
      </c>
      <c r="T543">
        <f t="shared" si="58"/>
        <v>0</v>
      </c>
      <c r="U543">
        <f t="shared" si="59"/>
        <v>0</v>
      </c>
      <c r="V543">
        <f t="shared" si="60"/>
        <v>1</v>
      </c>
      <c r="W543">
        <f t="shared" si="62"/>
        <v>1</v>
      </c>
      <c r="X543" t="str" cm="1">
        <f t="array" ref="X543">_xlfn.IFS(W543&lt;=1,"Low",W543=2,"Medium",W543&gt;=3,"High")</f>
        <v>Low</v>
      </c>
    </row>
    <row r="544" spans="1:24" x14ac:dyDescent="0.3">
      <c r="A544" t="s">
        <v>1070</v>
      </c>
      <c r="B544" t="s">
        <v>1055</v>
      </c>
      <c r="C544" s="3">
        <v>45849</v>
      </c>
      <c r="D544" s="8" t="s">
        <v>660</v>
      </c>
      <c r="E544" s="7" t="s">
        <v>64</v>
      </c>
      <c r="F544" s="7" t="s">
        <v>65</v>
      </c>
      <c r="G544" s="7" t="s">
        <v>22</v>
      </c>
      <c r="H544" s="4">
        <v>1210.8599999999999</v>
      </c>
      <c r="I544" s="7" t="s">
        <v>16</v>
      </c>
      <c r="J544" s="7" t="s">
        <v>17</v>
      </c>
      <c r="K544" t="s">
        <v>183</v>
      </c>
      <c r="L544" t="str">
        <f>PROPER(TRIM(SUBSTITUTE(_xlfn.XLOOKUP(B544,Cardholders_Reference!A:A,Cardholders_Reference!B:B),","," ")))</f>
        <v>Johan Naidoo</v>
      </c>
      <c r="M544" s="5">
        <f>_xlfn.XLOOKUP(B544,Cardholders_Reference!A:A,Cardholders_Reference!G:G)</f>
        <v>20000</v>
      </c>
      <c r="N544" s="7" t="str">
        <f>_xlfn.XLOOKUP(B544,Cardholders_Reference!A:A,Cardholders_Reference!D:D)</f>
        <v>ABSA</v>
      </c>
      <c r="O544" s="7" t="str">
        <f>_xlfn.XLOOKUP(B544,Cardholders_Reference!A:A,Cardholders_Reference!E:E)</f>
        <v>Mastercard</v>
      </c>
      <c r="P544" s="6">
        <f t="shared" si="61"/>
        <v>6.0542999999999993E-2</v>
      </c>
      <c r="Q544">
        <f t="shared" si="56"/>
        <v>0</v>
      </c>
      <c r="R544">
        <f t="shared" si="57"/>
        <v>0</v>
      </c>
      <c r="S544">
        <f>IF(COUNTIFS($B$1:$B$738,B543,$C$1:$C$738,#REF!)&gt;2,1,0)</f>
        <v>0</v>
      </c>
      <c r="T544">
        <f t="shared" si="58"/>
        <v>0</v>
      </c>
      <c r="U544">
        <f t="shared" si="59"/>
        <v>0</v>
      </c>
      <c r="V544">
        <f t="shared" si="60"/>
        <v>0</v>
      </c>
      <c r="W544">
        <f t="shared" si="62"/>
        <v>0</v>
      </c>
      <c r="X544" t="str" cm="1">
        <f t="array" ref="X544">_xlfn.IFS(W544&lt;=1,"Low",W544=2,"Medium",W544&gt;=3,"High")</f>
        <v>Low</v>
      </c>
    </row>
    <row r="545" spans="1:24" x14ac:dyDescent="0.3">
      <c r="A545" t="s">
        <v>1071</v>
      </c>
      <c r="B545" t="s">
        <v>1055</v>
      </c>
      <c r="C545" s="3">
        <v>46034</v>
      </c>
      <c r="D545" s="8" t="s">
        <v>1072</v>
      </c>
      <c r="E545" s="7" t="s">
        <v>121</v>
      </c>
      <c r="F545" s="7" t="s">
        <v>36</v>
      </c>
      <c r="G545" s="7" t="s">
        <v>264</v>
      </c>
      <c r="H545" s="4">
        <v>163.86</v>
      </c>
      <c r="I545" s="7" t="s">
        <v>95</v>
      </c>
      <c r="J545" s="7" t="s">
        <v>17</v>
      </c>
      <c r="L545" t="str">
        <f>PROPER(TRIM(SUBSTITUTE(_xlfn.XLOOKUP(B545,Cardholders_Reference!A:A,Cardholders_Reference!B:B),","," ")))</f>
        <v>Johan Naidoo</v>
      </c>
      <c r="M545" s="5">
        <f>_xlfn.XLOOKUP(B545,Cardholders_Reference!A:A,Cardholders_Reference!G:G)</f>
        <v>20000</v>
      </c>
      <c r="N545" s="7" t="str">
        <f>_xlfn.XLOOKUP(B545,Cardholders_Reference!A:A,Cardholders_Reference!D:D)</f>
        <v>ABSA</v>
      </c>
      <c r="O545" s="7" t="str">
        <f>_xlfn.XLOOKUP(B545,Cardholders_Reference!A:A,Cardholders_Reference!E:E)</f>
        <v>Mastercard</v>
      </c>
      <c r="P545" s="6">
        <f t="shared" si="61"/>
        <v>8.1930000000000006E-3</v>
      </c>
      <c r="Q545">
        <f t="shared" si="56"/>
        <v>0</v>
      </c>
      <c r="R545">
        <f t="shared" si="57"/>
        <v>0</v>
      </c>
      <c r="S545">
        <f>IF(COUNTIFS($B$1:$B$738,B544,$C$1:$C$738,#REF!)&gt;2,1,0)</f>
        <v>0</v>
      </c>
      <c r="T545">
        <f t="shared" si="58"/>
        <v>0</v>
      </c>
      <c r="U545">
        <f t="shared" si="59"/>
        <v>1</v>
      </c>
      <c r="V545">
        <f t="shared" si="60"/>
        <v>1</v>
      </c>
      <c r="W545">
        <f t="shared" si="62"/>
        <v>2</v>
      </c>
      <c r="X545" t="str" cm="1">
        <f t="array" ref="X545">_xlfn.IFS(W545&lt;=1,"Low",W545=2,"Medium",W545&gt;=3,"High")</f>
        <v>Medium</v>
      </c>
    </row>
    <row r="546" spans="1:24" x14ac:dyDescent="0.3">
      <c r="A546" t="s">
        <v>1073</v>
      </c>
      <c r="B546" t="s">
        <v>1074</v>
      </c>
      <c r="C546" s="3">
        <v>46074</v>
      </c>
      <c r="D546" s="8" t="s">
        <v>1075</v>
      </c>
      <c r="E546" s="7" t="s">
        <v>73</v>
      </c>
      <c r="F546" s="7" t="s">
        <v>74</v>
      </c>
      <c r="G546" s="7" t="s">
        <v>177</v>
      </c>
      <c r="H546" s="4">
        <v>564.63</v>
      </c>
      <c r="I546" s="7" t="s">
        <v>16</v>
      </c>
      <c r="J546" s="7" t="s">
        <v>17</v>
      </c>
      <c r="L546" t="str">
        <f>PROPER(TRIM(SUBSTITUTE(_xlfn.XLOOKUP(B546,Cardholders_Reference!A:A,Cardholders_Reference!B:B),","," ")))</f>
        <v>Precious Pretorius</v>
      </c>
      <c r="M546" s="5">
        <f>_xlfn.XLOOKUP(B546,Cardholders_Reference!A:A,Cardholders_Reference!G:G)</f>
        <v>20000</v>
      </c>
      <c r="N546" s="7" t="str">
        <f>_xlfn.XLOOKUP(B546,Cardholders_Reference!A:A,Cardholders_Reference!D:D)</f>
        <v>Nedbank</v>
      </c>
      <c r="O546" s="7" t="str">
        <f>_xlfn.XLOOKUP(B546,Cardholders_Reference!A:A,Cardholders_Reference!E:E)</f>
        <v>Visa</v>
      </c>
      <c r="P546" s="6">
        <f t="shared" si="61"/>
        <v>2.82315E-2</v>
      </c>
      <c r="Q546">
        <f t="shared" si="56"/>
        <v>1</v>
      </c>
      <c r="R546">
        <f t="shared" si="57"/>
        <v>0</v>
      </c>
      <c r="S546">
        <f>IF(COUNTIFS($B$1:$B$738,B545,$C$1:$C$738,#REF!)&gt;2,1,0)</f>
        <v>0</v>
      </c>
      <c r="T546">
        <f t="shared" si="58"/>
        <v>0</v>
      </c>
      <c r="U546">
        <f t="shared" si="59"/>
        <v>0</v>
      </c>
      <c r="V546">
        <f t="shared" si="60"/>
        <v>0</v>
      </c>
      <c r="W546">
        <f t="shared" si="62"/>
        <v>1</v>
      </c>
      <c r="X546" t="str" cm="1">
        <f t="array" ref="X546">_xlfn.IFS(W546&lt;=1,"Low",W546=2,"Medium",W546&gt;=3,"High")</f>
        <v>Low</v>
      </c>
    </row>
    <row r="547" spans="1:24" x14ac:dyDescent="0.3">
      <c r="A547" t="s">
        <v>1076</v>
      </c>
      <c r="B547" t="s">
        <v>1074</v>
      </c>
      <c r="C547" s="3">
        <v>45720</v>
      </c>
      <c r="D547" s="8" t="s">
        <v>1077</v>
      </c>
      <c r="E547" s="7" t="s">
        <v>156</v>
      </c>
      <c r="F547" s="7" t="s">
        <v>36</v>
      </c>
      <c r="G547" s="7" t="s">
        <v>192</v>
      </c>
      <c r="H547" s="4">
        <v>280.04000000000002</v>
      </c>
      <c r="I547" s="7" t="s">
        <v>95</v>
      </c>
      <c r="J547" s="7" t="s">
        <v>41</v>
      </c>
      <c r="L547" t="str">
        <f>PROPER(TRIM(SUBSTITUTE(_xlfn.XLOOKUP(B547,Cardholders_Reference!A:A,Cardholders_Reference!B:B),","," ")))</f>
        <v>Precious Pretorius</v>
      </c>
      <c r="M547" s="5">
        <f>_xlfn.XLOOKUP(B547,Cardholders_Reference!A:A,Cardholders_Reference!G:G)</f>
        <v>20000</v>
      </c>
      <c r="N547" s="7" t="str">
        <f>_xlfn.XLOOKUP(B547,Cardholders_Reference!A:A,Cardholders_Reference!D:D)</f>
        <v>Nedbank</v>
      </c>
      <c r="O547" s="7" t="str">
        <f>_xlfn.XLOOKUP(B547,Cardholders_Reference!A:A,Cardholders_Reference!E:E)</f>
        <v>Visa</v>
      </c>
      <c r="P547" s="6">
        <f t="shared" si="61"/>
        <v>1.4002000000000001E-2</v>
      </c>
      <c r="Q547">
        <f t="shared" si="56"/>
        <v>1</v>
      </c>
      <c r="R547">
        <f t="shared" si="57"/>
        <v>0</v>
      </c>
      <c r="S547">
        <f>IF(COUNTIFS($B$1:$B$738,B546,$C$1:$C$738,#REF!)&gt;2,1,0)</f>
        <v>0</v>
      </c>
      <c r="T547">
        <f t="shared" si="58"/>
        <v>0</v>
      </c>
      <c r="U547">
        <f t="shared" si="59"/>
        <v>0</v>
      </c>
      <c r="V547">
        <f t="shared" si="60"/>
        <v>1</v>
      </c>
      <c r="W547">
        <f t="shared" si="62"/>
        <v>2</v>
      </c>
      <c r="X547" t="str" cm="1">
        <f t="array" ref="X547">_xlfn.IFS(W547&lt;=1,"Low",W547=2,"Medium",W547&gt;=3,"High")</f>
        <v>Medium</v>
      </c>
    </row>
    <row r="548" spans="1:24" x14ac:dyDescent="0.3">
      <c r="A548" t="s">
        <v>1078</v>
      </c>
      <c r="B548" t="s">
        <v>1074</v>
      </c>
      <c r="C548" s="3">
        <v>45875</v>
      </c>
      <c r="D548" s="8" t="s">
        <v>359</v>
      </c>
      <c r="E548" s="7" t="s">
        <v>206</v>
      </c>
      <c r="F548" s="7" t="s">
        <v>61</v>
      </c>
      <c r="G548" s="7" t="s">
        <v>192</v>
      </c>
      <c r="H548" s="4">
        <v>5163.9799999999996</v>
      </c>
      <c r="I548" s="7" t="s">
        <v>26</v>
      </c>
      <c r="J548" s="7" t="s">
        <v>41</v>
      </c>
      <c r="L548" t="str">
        <f>PROPER(TRIM(SUBSTITUTE(_xlfn.XLOOKUP(B548,Cardholders_Reference!A:A,Cardholders_Reference!B:B),","," ")))</f>
        <v>Precious Pretorius</v>
      </c>
      <c r="M548" s="5">
        <f>_xlfn.XLOOKUP(B548,Cardholders_Reference!A:A,Cardholders_Reference!G:G)</f>
        <v>20000</v>
      </c>
      <c r="N548" s="7" t="str">
        <f>_xlfn.XLOOKUP(B548,Cardholders_Reference!A:A,Cardholders_Reference!D:D)</f>
        <v>Nedbank</v>
      </c>
      <c r="O548" s="7" t="str">
        <f>_xlfn.XLOOKUP(B548,Cardholders_Reference!A:A,Cardholders_Reference!E:E)</f>
        <v>Visa</v>
      </c>
      <c r="P548" s="6">
        <f t="shared" si="61"/>
        <v>0.25819899999999996</v>
      </c>
      <c r="Q548">
        <f t="shared" si="56"/>
        <v>1</v>
      </c>
      <c r="R548">
        <f t="shared" si="57"/>
        <v>0</v>
      </c>
      <c r="S548">
        <f>IF(COUNTIFS($B$1:$B$738,B547,$C$1:$C$738,#REF!)&gt;2,1,0)</f>
        <v>0</v>
      </c>
      <c r="T548">
        <f t="shared" si="58"/>
        <v>0</v>
      </c>
      <c r="U548">
        <f t="shared" si="59"/>
        <v>0</v>
      </c>
      <c r="V548">
        <f t="shared" si="60"/>
        <v>1</v>
      </c>
      <c r="W548">
        <f t="shared" si="62"/>
        <v>2</v>
      </c>
      <c r="X548" t="str" cm="1">
        <f t="array" ref="X548">_xlfn.IFS(W548&lt;=1,"Low",W548=2,"Medium",W548&gt;=3,"High")</f>
        <v>Medium</v>
      </c>
    </row>
    <row r="549" spans="1:24" x14ac:dyDescent="0.3">
      <c r="A549" t="s">
        <v>1079</v>
      </c>
      <c r="B549" t="s">
        <v>1074</v>
      </c>
      <c r="C549" s="3">
        <v>46069</v>
      </c>
      <c r="D549" s="8" t="s">
        <v>965</v>
      </c>
      <c r="E549" s="7" t="s">
        <v>121</v>
      </c>
      <c r="F549" s="7" t="s">
        <v>36</v>
      </c>
      <c r="G549" s="7" t="s">
        <v>264</v>
      </c>
      <c r="H549" s="4">
        <v>439.39</v>
      </c>
      <c r="I549" s="7" t="s">
        <v>26</v>
      </c>
      <c r="J549" s="7" t="s">
        <v>17</v>
      </c>
      <c r="L549" t="str">
        <f>PROPER(TRIM(SUBSTITUTE(_xlfn.XLOOKUP(B549,Cardholders_Reference!A:A,Cardholders_Reference!B:B),","," ")))</f>
        <v>Precious Pretorius</v>
      </c>
      <c r="M549" s="5">
        <f>_xlfn.XLOOKUP(B549,Cardholders_Reference!A:A,Cardholders_Reference!G:G)</f>
        <v>20000</v>
      </c>
      <c r="N549" s="7" t="str">
        <f>_xlfn.XLOOKUP(B549,Cardholders_Reference!A:A,Cardholders_Reference!D:D)</f>
        <v>Nedbank</v>
      </c>
      <c r="O549" s="7" t="str">
        <f>_xlfn.XLOOKUP(B549,Cardholders_Reference!A:A,Cardholders_Reference!E:E)</f>
        <v>Visa</v>
      </c>
      <c r="P549" s="6">
        <f t="shared" si="61"/>
        <v>2.1969499999999999E-2</v>
      </c>
      <c r="Q549">
        <f t="shared" si="56"/>
        <v>1</v>
      </c>
      <c r="R549">
        <f t="shared" si="57"/>
        <v>0</v>
      </c>
      <c r="S549">
        <f>IF(COUNTIFS($B$1:$B$738,B548,$C$1:$C$738,#REF!)&gt;2,1,0)</f>
        <v>0</v>
      </c>
      <c r="T549">
        <f t="shared" si="58"/>
        <v>0</v>
      </c>
      <c r="U549">
        <f t="shared" si="59"/>
        <v>0</v>
      </c>
      <c r="V549">
        <f t="shared" si="60"/>
        <v>1</v>
      </c>
      <c r="W549">
        <f t="shared" si="62"/>
        <v>2</v>
      </c>
      <c r="X549" t="str" cm="1">
        <f t="array" ref="X549">_xlfn.IFS(W549&lt;=1,"Low",W549=2,"Medium",W549&gt;=3,"High")</f>
        <v>Medium</v>
      </c>
    </row>
    <row r="550" spans="1:24" x14ac:dyDescent="0.3">
      <c r="A550" t="s">
        <v>1080</v>
      </c>
      <c r="B550" t="s">
        <v>1074</v>
      </c>
      <c r="C550" s="3">
        <v>46479</v>
      </c>
      <c r="D550" s="8" t="s">
        <v>1081</v>
      </c>
      <c r="E550" s="7" t="s">
        <v>245</v>
      </c>
      <c r="F550" s="7" t="s">
        <v>48</v>
      </c>
      <c r="G550" s="7" t="s">
        <v>192</v>
      </c>
      <c r="H550" s="4">
        <v>1406.07</v>
      </c>
      <c r="I550" s="7" t="s">
        <v>26</v>
      </c>
      <c r="J550" s="7" t="s">
        <v>17</v>
      </c>
      <c r="L550" t="str">
        <f>PROPER(TRIM(SUBSTITUTE(_xlfn.XLOOKUP(B550,Cardholders_Reference!A:A,Cardholders_Reference!B:B),","," ")))</f>
        <v>Precious Pretorius</v>
      </c>
      <c r="M550" s="5">
        <f>_xlfn.XLOOKUP(B550,Cardholders_Reference!A:A,Cardholders_Reference!G:G)</f>
        <v>20000</v>
      </c>
      <c r="N550" s="7" t="str">
        <f>_xlfn.XLOOKUP(B550,Cardholders_Reference!A:A,Cardholders_Reference!D:D)</f>
        <v>Nedbank</v>
      </c>
      <c r="O550" s="7" t="str">
        <f>_xlfn.XLOOKUP(B550,Cardholders_Reference!A:A,Cardholders_Reference!E:E)</f>
        <v>Visa</v>
      </c>
      <c r="P550" s="6">
        <f t="shared" si="61"/>
        <v>7.0303499999999991E-2</v>
      </c>
      <c r="Q550">
        <f t="shared" si="56"/>
        <v>1</v>
      </c>
      <c r="R550">
        <f t="shared" si="57"/>
        <v>0</v>
      </c>
      <c r="S550">
        <f>IF(COUNTIFS($B$1:$B$738,B549,$C$1:$C$738,#REF!)&gt;2,1,0)</f>
        <v>0</v>
      </c>
      <c r="T550">
        <f t="shared" si="58"/>
        <v>0</v>
      </c>
      <c r="U550">
        <f t="shared" si="59"/>
        <v>0</v>
      </c>
      <c r="V550">
        <f t="shared" si="60"/>
        <v>1</v>
      </c>
      <c r="W550">
        <f t="shared" si="62"/>
        <v>2</v>
      </c>
      <c r="X550" t="str" cm="1">
        <f t="array" ref="X550">_xlfn.IFS(W550&lt;=1,"Low",W550=2,"Medium",W550&gt;=3,"High")</f>
        <v>Medium</v>
      </c>
    </row>
    <row r="551" spans="1:24" x14ac:dyDescent="0.3">
      <c r="A551" t="s">
        <v>1082</v>
      </c>
      <c r="B551" t="s">
        <v>1074</v>
      </c>
      <c r="C551" s="3">
        <v>46134</v>
      </c>
      <c r="D551" s="8" t="s">
        <v>1083</v>
      </c>
      <c r="E551" s="7" t="s">
        <v>20</v>
      </c>
      <c r="F551" s="7" t="s">
        <v>21</v>
      </c>
      <c r="G551" s="7" t="s">
        <v>22</v>
      </c>
      <c r="H551" s="4">
        <v>984.78</v>
      </c>
      <c r="I551" s="7" t="s">
        <v>95</v>
      </c>
      <c r="J551" s="7" t="s">
        <v>17</v>
      </c>
      <c r="L551" t="str">
        <f>PROPER(TRIM(SUBSTITUTE(_xlfn.XLOOKUP(B551,Cardholders_Reference!A:A,Cardholders_Reference!B:B),","," ")))</f>
        <v>Precious Pretorius</v>
      </c>
      <c r="M551" s="5">
        <f>_xlfn.XLOOKUP(B551,Cardholders_Reference!A:A,Cardholders_Reference!G:G)</f>
        <v>20000</v>
      </c>
      <c r="N551" s="7" t="str">
        <f>_xlfn.XLOOKUP(B551,Cardholders_Reference!A:A,Cardholders_Reference!D:D)</f>
        <v>Nedbank</v>
      </c>
      <c r="O551" s="7" t="str">
        <f>_xlfn.XLOOKUP(B551,Cardholders_Reference!A:A,Cardholders_Reference!E:E)</f>
        <v>Visa</v>
      </c>
      <c r="P551" s="6">
        <f t="shared" si="61"/>
        <v>4.9238999999999998E-2</v>
      </c>
      <c r="Q551">
        <f t="shared" si="56"/>
        <v>1</v>
      </c>
      <c r="R551">
        <f t="shared" si="57"/>
        <v>0</v>
      </c>
      <c r="S551">
        <f>IF(COUNTIFS($B$1:$B$738,B550,$C$1:$C$738,#REF!)&gt;2,1,0)</f>
        <v>0</v>
      </c>
      <c r="T551">
        <f t="shared" si="58"/>
        <v>0</v>
      </c>
      <c r="U551">
        <f t="shared" si="59"/>
        <v>0</v>
      </c>
      <c r="V551">
        <f t="shared" si="60"/>
        <v>1</v>
      </c>
      <c r="W551">
        <f t="shared" si="62"/>
        <v>2</v>
      </c>
      <c r="X551" t="str" cm="1">
        <f t="array" ref="X551">_xlfn.IFS(W551&lt;=1,"Low",W551=2,"Medium",W551&gt;=3,"High")</f>
        <v>Medium</v>
      </c>
    </row>
    <row r="552" spans="1:24" x14ac:dyDescent="0.3">
      <c r="A552" t="s">
        <v>1084</v>
      </c>
      <c r="B552" t="s">
        <v>1074</v>
      </c>
      <c r="C552" s="3">
        <v>46100</v>
      </c>
      <c r="D552" s="8" t="s">
        <v>1085</v>
      </c>
      <c r="E552" s="7" t="s">
        <v>170</v>
      </c>
      <c r="F552" s="7" t="s">
        <v>91</v>
      </c>
      <c r="G552" s="7" t="s">
        <v>177</v>
      </c>
      <c r="H552" s="4">
        <v>2763.58</v>
      </c>
      <c r="I552" s="7" t="s">
        <v>95</v>
      </c>
      <c r="J552" s="7" t="s">
        <v>17</v>
      </c>
      <c r="L552" t="str">
        <f>PROPER(TRIM(SUBSTITUTE(_xlfn.XLOOKUP(B552,Cardholders_Reference!A:A,Cardholders_Reference!B:B),","," ")))</f>
        <v>Precious Pretorius</v>
      </c>
      <c r="M552" s="5">
        <f>_xlfn.XLOOKUP(B552,Cardholders_Reference!A:A,Cardholders_Reference!G:G)</f>
        <v>20000</v>
      </c>
      <c r="N552" s="7" t="str">
        <f>_xlfn.XLOOKUP(B552,Cardholders_Reference!A:A,Cardholders_Reference!D:D)</f>
        <v>Nedbank</v>
      </c>
      <c r="O552" s="7" t="str">
        <f>_xlfn.XLOOKUP(B552,Cardholders_Reference!A:A,Cardholders_Reference!E:E)</f>
        <v>Visa</v>
      </c>
      <c r="P552" s="6">
        <f t="shared" si="61"/>
        <v>0.138179</v>
      </c>
      <c r="Q552">
        <f t="shared" si="56"/>
        <v>1</v>
      </c>
      <c r="R552">
        <f t="shared" si="57"/>
        <v>0</v>
      </c>
      <c r="S552">
        <f>IF(COUNTIFS($B$1:$B$738,B551,$C$1:$C$738,#REF!)&gt;2,1,0)</f>
        <v>0</v>
      </c>
      <c r="T552">
        <f t="shared" si="58"/>
        <v>0</v>
      </c>
      <c r="U552">
        <f t="shared" si="59"/>
        <v>1</v>
      </c>
      <c r="V552">
        <f t="shared" si="60"/>
        <v>1</v>
      </c>
      <c r="W552">
        <f t="shared" si="62"/>
        <v>3</v>
      </c>
      <c r="X552" t="str" cm="1">
        <f t="array" ref="X552">_xlfn.IFS(W552&lt;=1,"Low",W552=2,"Medium",W552&gt;=3,"High")</f>
        <v>High</v>
      </c>
    </row>
    <row r="553" spans="1:24" x14ac:dyDescent="0.3">
      <c r="A553" t="s">
        <v>1086</v>
      </c>
      <c r="B553" t="s">
        <v>1074</v>
      </c>
      <c r="C553" s="3">
        <v>45802</v>
      </c>
      <c r="D553" s="8" t="s">
        <v>565</v>
      </c>
      <c r="E553" s="7" t="s">
        <v>111</v>
      </c>
      <c r="F553" s="7" t="s">
        <v>48</v>
      </c>
      <c r="G553" s="7" t="s">
        <v>192</v>
      </c>
      <c r="H553" s="4">
        <v>2049.59</v>
      </c>
      <c r="I553" s="7" t="s">
        <v>95</v>
      </c>
      <c r="J553" s="7" t="s">
        <v>41</v>
      </c>
      <c r="L553" t="str">
        <f>PROPER(TRIM(SUBSTITUTE(_xlfn.XLOOKUP(B553,Cardholders_Reference!A:A,Cardholders_Reference!B:B),","," ")))</f>
        <v>Precious Pretorius</v>
      </c>
      <c r="M553" s="5">
        <f>_xlfn.XLOOKUP(B553,Cardholders_Reference!A:A,Cardholders_Reference!G:G)</f>
        <v>20000</v>
      </c>
      <c r="N553" s="7" t="str">
        <f>_xlfn.XLOOKUP(B553,Cardholders_Reference!A:A,Cardholders_Reference!D:D)</f>
        <v>Nedbank</v>
      </c>
      <c r="O553" s="7" t="str">
        <f>_xlfn.XLOOKUP(B553,Cardholders_Reference!A:A,Cardholders_Reference!E:E)</f>
        <v>Visa</v>
      </c>
      <c r="P553" s="6">
        <f t="shared" si="61"/>
        <v>0.1024795</v>
      </c>
      <c r="Q553">
        <f t="shared" si="56"/>
        <v>1</v>
      </c>
      <c r="R553">
        <f t="shared" si="57"/>
        <v>0</v>
      </c>
      <c r="S553">
        <f>IF(COUNTIFS($B$1:$B$738,B552,$C$1:$C$738,#REF!)&gt;2,1,0)</f>
        <v>0</v>
      </c>
      <c r="T553">
        <f t="shared" si="58"/>
        <v>0</v>
      </c>
      <c r="U553">
        <f t="shared" si="59"/>
        <v>0</v>
      </c>
      <c r="V553">
        <f t="shared" si="60"/>
        <v>1</v>
      </c>
      <c r="W553">
        <f t="shared" si="62"/>
        <v>2</v>
      </c>
      <c r="X553" t="str" cm="1">
        <f t="array" ref="X553">_xlfn.IFS(W553&lt;=1,"Low",W553=2,"Medium",W553&gt;=3,"High")</f>
        <v>Medium</v>
      </c>
    </row>
    <row r="554" spans="1:24" x14ac:dyDescent="0.3">
      <c r="A554" t="s">
        <v>1087</v>
      </c>
      <c r="B554" t="s">
        <v>1074</v>
      </c>
      <c r="C554" s="3">
        <v>46168</v>
      </c>
      <c r="D554" s="8" t="s">
        <v>333</v>
      </c>
      <c r="E554" s="7" t="s">
        <v>73</v>
      </c>
      <c r="F554" s="7" t="s">
        <v>74</v>
      </c>
      <c r="G554" s="7" t="s">
        <v>177</v>
      </c>
      <c r="H554" s="4">
        <v>590.21</v>
      </c>
      <c r="I554" s="7" t="s">
        <v>95</v>
      </c>
      <c r="J554" s="7" t="s">
        <v>17</v>
      </c>
      <c r="L554" t="str">
        <f>PROPER(TRIM(SUBSTITUTE(_xlfn.XLOOKUP(B554,Cardholders_Reference!A:A,Cardholders_Reference!B:B),","," ")))</f>
        <v>Precious Pretorius</v>
      </c>
      <c r="M554" s="5">
        <f>_xlfn.XLOOKUP(B554,Cardholders_Reference!A:A,Cardholders_Reference!G:G)</f>
        <v>20000</v>
      </c>
      <c r="N554" s="7" t="str">
        <f>_xlfn.XLOOKUP(B554,Cardholders_Reference!A:A,Cardholders_Reference!D:D)</f>
        <v>Nedbank</v>
      </c>
      <c r="O554" s="7" t="str">
        <f>_xlfn.XLOOKUP(B554,Cardholders_Reference!A:A,Cardholders_Reference!E:E)</f>
        <v>Visa</v>
      </c>
      <c r="P554" s="6">
        <f t="shared" si="61"/>
        <v>2.9510500000000002E-2</v>
      </c>
      <c r="Q554">
        <f t="shared" si="56"/>
        <v>1</v>
      </c>
      <c r="R554">
        <f t="shared" si="57"/>
        <v>0</v>
      </c>
      <c r="S554">
        <f>IF(COUNTIFS($B$1:$B$738,B553,$C$1:$C$738,#REF!)&gt;2,1,0)</f>
        <v>0</v>
      </c>
      <c r="T554">
        <f t="shared" si="58"/>
        <v>0</v>
      </c>
      <c r="U554">
        <f t="shared" si="59"/>
        <v>0</v>
      </c>
      <c r="V554">
        <f t="shared" si="60"/>
        <v>1</v>
      </c>
      <c r="W554">
        <f t="shared" si="62"/>
        <v>2</v>
      </c>
      <c r="X554" t="str" cm="1">
        <f t="array" ref="X554">_xlfn.IFS(W554&lt;=1,"Low",W554=2,"Medium",W554&gt;=3,"High")</f>
        <v>Medium</v>
      </c>
    </row>
    <row r="555" spans="1:24" x14ac:dyDescent="0.3">
      <c r="A555" t="s">
        <v>1088</v>
      </c>
      <c r="B555" t="s">
        <v>1089</v>
      </c>
      <c r="C555" s="3">
        <v>45876</v>
      </c>
      <c r="D555" s="8" t="s">
        <v>179</v>
      </c>
      <c r="E555" s="7" t="s">
        <v>132</v>
      </c>
      <c r="F555" s="7" t="s">
        <v>25</v>
      </c>
      <c r="G555" s="7" t="s">
        <v>22</v>
      </c>
      <c r="H555" s="4">
        <v>340.08</v>
      </c>
      <c r="I555" s="7" t="s">
        <v>26</v>
      </c>
      <c r="J555" s="7" t="s">
        <v>41</v>
      </c>
      <c r="L555" t="str">
        <f>PROPER(TRIM(SUBSTITUTE(_xlfn.XLOOKUP(B555,Cardholders_Reference!A:A,Cardholders_Reference!B:B),","," ")))</f>
        <v>Aisha Nkosi</v>
      </c>
      <c r="M555" s="5">
        <f>_xlfn.XLOOKUP(B555,Cardholders_Reference!A:A,Cardholders_Reference!G:G)</f>
        <v>80000</v>
      </c>
      <c r="N555" s="7" t="str">
        <f>_xlfn.XLOOKUP(B555,Cardholders_Reference!A:A,Cardholders_Reference!D:D)</f>
        <v>Capitec</v>
      </c>
      <c r="O555" s="7" t="str">
        <f>_xlfn.XLOOKUP(B555,Cardholders_Reference!A:A,Cardholders_Reference!E:E)</f>
        <v>Mastercard</v>
      </c>
      <c r="P555" s="6">
        <f t="shared" si="61"/>
        <v>4.2509999999999996E-3</v>
      </c>
      <c r="Q555">
        <f t="shared" si="56"/>
        <v>1</v>
      </c>
      <c r="R555">
        <f t="shared" si="57"/>
        <v>0</v>
      </c>
      <c r="S555">
        <f>IF(COUNTIFS($B$1:$B$738,B554,$C$1:$C$738,#REF!)&gt;2,1,0)</f>
        <v>0</v>
      </c>
      <c r="T555">
        <f t="shared" si="58"/>
        <v>0</v>
      </c>
      <c r="U555">
        <f t="shared" si="59"/>
        <v>0</v>
      </c>
      <c r="V555">
        <f t="shared" si="60"/>
        <v>1</v>
      </c>
      <c r="W555">
        <f t="shared" si="62"/>
        <v>2</v>
      </c>
      <c r="X555" t="str" cm="1">
        <f t="array" ref="X555">_xlfn.IFS(W555&lt;=1,"Low",W555=2,"Medium",W555&gt;=3,"High")</f>
        <v>Medium</v>
      </c>
    </row>
    <row r="556" spans="1:24" x14ac:dyDescent="0.3">
      <c r="A556" t="s">
        <v>1090</v>
      </c>
      <c r="B556" t="s">
        <v>1089</v>
      </c>
      <c r="C556" s="3">
        <v>46029</v>
      </c>
      <c r="D556" s="8" t="s">
        <v>1091</v>
      </c>
      <c r="E556" s="7" t="s">
        <v>90</v>
      </c>
      <c r="F556" s="7" t="s">
        <v>91</v>
      </c>
      <c r="G556" s="7" t="s">
        <v>22</v>
      </c>
      <c r="H556" s="4">
        <v>1927.62</v>
      </c>
      <c r="I556" s="7" t="s">
        <v>32</v>
      </c>
      <c r="J556" s="7" t="s">
        <v>41</v>
      </c>
      <c r="L556" t="str">
        <f>PROPER(TRIM(SUBSTITUTE(_xlfn.XLOOKUP(B556,Cardholders_Reference!A:A,Cardholders_Reference!B:B),","," ")))</f>
        <v>Aisha Nkosi</v>
      </c>
      <c r="M556" s="5">
        <f>_xlfn.XLOOKUP(B556,Cardholders_Reference!A:A,Cardholders_Reference!G:G)</f>
        <v>80000</v>
      </c>
      <c r="N556" s="7" t="str">
        <f>_xlfn.XLOOKUP(B556,Cardholders_Reference!A:A,Cardholders_Reference!D:D)</f>
        <v>Capitec</v>
      </c>
      <c r="O556" s="7" t="str">
        <f>_xlfn.XLOOKUP(B556,Cardholders_Reference!A:A,Cardholders_Reference!E:E)</f>
        <v>Mastercard</v>
      </c>
      <c r="P556" s="6">
        <f t="shared" si="61"/>
        <v>2.4095249999999999E-2</v>
      </c>
      <c r="Q556">
        <f t="shared" si="56"/>
        <v>0</v>
      </c>
      <c r="R556">
        <f t="shared" si="57"/>
        <v>0</v>
      </c>
      <c r="S556">
        <f>IF(COUNTIFS($B$1:$B$738,B555,$C$1:$C$738,#REF!)&gt;2,1,0)</f>
        <v>0</v>
      </c>
      <c r="T556">
        <f t="shared" si="58"/>
        <v>0</v>
      </c>
      <c r="U556">
        <f t="shared" si="59"/>
        <v>0</v>
      </c>
      <c r="V556">
        <f t="shared" si="60"/>
        <v>0</v>
      </c>
      <c r="W556">
        <f t="shared" si="62"/>
        <v>0</v>
      </c>
      <c r="X556" t="str" cm="1">
        <f t="array" ref="X556">_xlfn.IFS(W556&lt;=1,"Low",W556=2,"Medium",W556&gt;=3,"High")</f>
        <v>Low</v>
      </c>
    </row>
    <row r="557" spans="1:24" x14ac:dyDescent="0.3">
      <c r="A557" t="s">
        <v>1092</v>
      </c>
      <c r="B557" t="s">
        <v>1089</v>
      </c>
      <c r="C557" s="3">
        <v>46178</v>
      </c>
      <c r="D557" s="8" t="s">
        <v>1008</v>
      </c>
      <c r="E557" s="7" t="s">
        <v>126</v>
      </c>
      <c r="F557" s="7" t="s">
        <v>53</v>
      </c>
      <c r="G557" s="7" t="s">
        <v>250</v>
      </c>
      <c r="H557" s="4">
        <v>671.59</v>
      </c>
      <c r="I557" s="7" t="s">
        <v>16</v>
      </c>
      <c r="J557" s="7" t="s">
        <v>17</v>
      </c>
      <c r="L557" t="str">
        <f>PROPER(TRIM(SUBSTITUTE(_xlfn.XLOOKUP(B557,Cardholders_Reference!A:A,Cardholders_Reference!B:B),","," ")))</f>
        <v>Aisha Nkosi</v>
      </c>
      <c r="M557" s="5">
        <f>_xlfn.XLOOKUP(B557,Cardholders_Reference!A:A,Cardholders_Reference!G:G)</f>
        <v>80000</v>
      </c>
      <c r="N557" s="7" t="str">
        <f>_xlfn.XLOOKUP(B557,Cardholders_Reference!A:A,Cardholders_Reference!D:D)</f>
        <v>Capitec</v>
      </c>
      <c r="O557" s="7" t="str">
        <f>_xlfn.XLOOKUP(B557,Cardholders_Reference!A:A,Cardholders_Reference!E:E)</f>
        <v>Mastercard</v>
      </c>
      <c r="P557" s="6">
        <f t="shared" si="61"/>
        <v>8.3948749999999996E-3</v>
      </c>
      <c r="Q557">
        <f t="shared" si="56"/>
        <v>0</v>
      </c>
      <c r="R557">
        <f t="shared" si="57"/>
        <v>0</v>
      </c>
      <c r="S557">
        <f>IF(COUNTIFS($B$1:$B$738,B556,$C$1:$C$738,#REF!)&gt;2,1,0)</f>
        <v>0</v>
      </c>
      <c r="T557">
        <f t="shared" si="58"/>
        <v>0</v>
      </c>
      <c r="U557">
        <f t="shared" si="59"/>
        <v>0</v>
      </c>
      <c r="V557">
        <f t="shared" si="60"/>
        <v>0</v>
      </c>
      <c r="W557">
        <f t="shared" si="62"/>
        <v>0</v>
      </c>
      <c r="X557" t="str" cm="1">
        <f t="array" ref="X557">_xlfn.IFS(W557&lt;=1,"Low",W557=2,"Medium",W557&gt;=3,"High")</f>
        <v>Low</v>
      </c>
    </row>
    <row r="558" spans="1:24" x14ac:dyDescent="0.3">
      <c r="A558" t="s">
        <v>1093</v>
      </c>
      <c r="B558" t="s">
        <v>1089</v>
      </c>
      <c r="C558" s="3">
        <v>46058</v>
      </c>
      <c r="D558" s="8" t="s">
        <v>1094</v>
      </c>
      <c r="E558" s="7" t="s">
        <v>156</v>
      </c>
      <c r="F558" s="7" t="s">
        <v>36</v>
      </c>
      <c r="G558" s="7" t="s">
        <v>22</v>
      </c>
      <c r="H558" s="4">
        <v>336.05</v>
      </c>
      <c r="I558" s="7" t="s">
        <v>16</v>
      </c>
      <c r="J558" s="7" t="s">
        <v>17</v>
      </c>
      <c r="L558" t="str">
        <f>PROPER(TRIM(SUBSTITUTE(_xlfn.XLOOKUP(B558,Cardholders_Reference!A:A,Cardholders_Reference!B:B),","," ")))</f>
        <v>Aisha Nkosi</v>
      </c>
      <c r="M558" s="5">
        <f>_xlfn.XLOOKUP(B558,Cardholders_Reference!A:A,Cardholders_Reference!G:G)</f>
        <v>80000</v>
      </c>
      <c r="N558" s="7" t="str">
        <f>_xlfn.XLOOKUP(B558,Cardholders_Reference!A:A,Cardholders_Reference!D:D)</f>
        <v>Capitec</v>
      </c>
      <c r="O558" s="7" t="str">
        <f>_xlfn.XLOOKUP(B558,Cardholders_Reference!A:A,Cardholders_Reference!E:E)</f>
        <v>Mastercard</v>
      </c>
      <c r="P558" s="6">
        <f t="shared" si="61"/>
        <v>4.2006250000000004E-3</v>
      </c>
      <c r="Q558">
        <f t="shared" si="56"/>
        <v>1</v>
      </c>
      <c r="R558">
        <f t="shared" si="57"/>
        <v>0</v>
      </c>
      <c r="S558">
        <f>IF(COUNTIFS($B$1:$B$738,B557,$C$1:$C$738,#REF!)&gt;2,1,0)</f>
        <v>0</v>
      </c>
      <c r="T558">
        <f t="shared" si="58"/>
        <v>0</v>
      </c>
      <c r="U558">
        <f t="shared" si="59"/>
        <v>0</v>
      </c>
      <c r="V558">
        <f t="shared" si="60"/>
        <v>0</v>
      </c>
      <c r="W558">
        <f t="shared" si="62"/>
        <v>1</v>
      </c>
      <c r="X558" t="str" cm="1">
        <f t="array" ref="X558">_xlfn.IFS(W558&lt;=1,"Low",W558=2,"Medium",W558&gt;=3,"High")</f>
        <v>Low</v>
      </c>
    </row>
    <row r="559" spans="1:24" x14ac:dyDescent="0.3">
      <c r="A559" t="s">
        <v>1095</v>
      </c>
      <c r="B559" t="s">
        <v>1089</v>
      </c>
      <c r="C559" s="3">
        <v>46212</v>
      </c>
      <c r="D559" s="8" t="s">
        <v>120</v>
      </c>
      <c r="E559" s="7" t="s">
        <v>44</v>
      </c>
      <c r="F559" s="7" t="s">
        <v>25</v>
      </c>
      <c r="G559" s="7" t="s">
        <v>22</v>
      </c>
      <c r="H559" s="4">
        <v>611.52</v>
      </c>
      <c r="I559" s="7" t="s">
        <v>26</v>
      </c>
      <c r="J559" s="7" t="s">
        <v>17</v>
      </c>
      <c r="L559" t="str">
        <f>PROPER(TRIM(SUBSTITUTE(_xlfn.XLOOKUP(B559,Cardholders_Reference!A:A,Cardholders_Reference!B:B),","," ")))</f>
        <v>Aisha Nkosi</v>
      </c>
      <c r="M559" s="5">
        <f>_xlfn.XLOOKUP(B559,Cardholders_Reference!A:A,Cardholders_Reference!G:G)</f>
        <v>80000</v>
      </c>
      <c r="N559" s="7" t="str">
        <f>_xlfn.XLOOKUP(B559,Cardholders_Reference!A:A,Cardholders_Reference!D:D)</f>
        <v>Capitec</v>
      </c>
      <c r="O559" s="7" t="str">
        <f>_xlfn.XLOOKUP(B559,Cardholders_Reference!A:A,Cardholders_Reference!E:E)</f>
        <v>Mastercard</v>
      </c>
      <c r="P559" s="6">
        <f t="shared" si="61"/>
        <v>7.6439999999999998E-3</v>
      </c>
      <c r="Q559">
        <f t="shared" si="56"/>
        <v>0</v>
      </c>
      <c r="R559">
        <f t="shared" si="57"/>
        <v>0</v>
      </c>
      <c r="S559">
        <f>IF(COUNTIFS($B$1:$B$738,B558,$C$1:$C$738,#REF!)&gt;2,1,0)</f>
        <v>0</v>
      </c>
      <c r="T559">
        <f t="shared" si="58"/>
        <v>0</v>
      </c>
      <c r="U559">
        <f t="shared" si="59"/>
        <v>0</v>
      </c>
      <c r="V559">
        <f t="shared" si="60"/>
        <v>1</v>
      </c>
      <c r="W559">
        <f t="shared" si="62"/>
        <v>1</v>
      </c>
      <c r="X559" t="str" cm="1">
        <f t="array" ref="X559">_xlfn.IFS(W559&lt;=1,"Low",W559=2,"Medium",W559&gt;=3,"High")</f>
        <v>Low</v>
      </c>
    </row>
    <row r="560" spans="1:24" x14ac:dyDescent="0.3">
      <c r="A560" t="s">
        <v>1096</v>
      </c>
      <c r="B560" t="s">
        <v>1089</v>
      </c>
      <c r="C560" s="3">
        <v>45660</v>
      </c>
      <c r="D560" s="8" t="s">
        <v>1097</v>
      </c>
      <c r="E560" s="7" t="s">
        <v>230</v>
      </c>
      <c r="F560" s="7" t="s">
        <v>81</v>
      </c>
      <c r="G560" s="7" t="s">
        <v>22</v>
      </c>
      <c r="H560" s="4">
        <v>16535.080000000002</v>
      </c>
      <c r="I560" s="7" t="s">
        <v>95</v>
      </c>
      <c r="J560" s="7" t="s">
        <v>17</v>
      </c>
      <c r="L560" t="str">
        <f>PROPER(TRIM(SUBSTITUTE(_xlfn.XLOOKUP(B560,Cardholders_Reference!A:A,Cardholders_Reference!B:B),","," ")))</f>
        <v>Aisha Nkosi</v>
      </c>
      <c r="M560" s="5">
        <f>_xlfn.XLOOKUP(B560,Cardholders_Reference!A:A,Cardholders_Reference!G:G)</f>
        <v>80000</v>
      </c>
      <c r="N560" s="7" t="str">
        <f>_xlfn.XLOOKUP(B560,Cardholders_Reference!A:A,Cardholders_Reference!D:D)</f>
        <v>Capitec</v>
      </c>
      <c r="O560" s="7" t="str">
        <f>_xlfn.XLOOKUP(B560,Cardholders_Reference!A:A,Cardholders_Reference!E:E)</f>
        <v>Mastercard</v>
      </c>
      <c r="P560" s="6">
        <f t="shared" si="61"/>
        <v>0.20668850000000002</v>
      </c>
      <c r="Q560">
        <f t="shared" si="56"/>
        <v>0</v>
      </c>
      <c r="R560">
        <f t="shared" si="57"/>
        <v>0</v>
      </c>
      <c r="S560">
        <f>IF(COUNTIFS($B$1:$B$738,B559,$C$1:$C$738,#REF!)&gt;2,1,0)</f>
        <v>0</v>
      </c>
      <c r="T560">
        <f t="shared" si="58"/>
        <v>0</v>
      </c>
      <c r="U560">
        <f t="shared" si="59"/>
        <v>0</v>
      </c>
      <c r="V560">
        <f t="shared" si="60"/>
        <v>1</v>
      </c>
      <c r="W560">
        <f t="shared" si="62"/>
        <v>1</v>
      </c>
      <c r="X560" t="str" cm="1">
        <f t="array" ref="X560">_xlfn.IFS(W560&lt;=1,"Low",W560=2,"Medium",W560&gt;=3,"High")</f>
        <v>Low</v>
      </c>
    </row>
    <row r="561" spans="1:24" x14ac:dyDescent="0.3">
      <c r="A561" t="s">
        <v>1098</v>
      </c>
      <c r="B561" t="s">
        <v>1089</v>
      </c>
      <c r="C561" s="3">
        <v>46090</v>
      </c>
      <c r="D561" s="8" t="s">
        <v>1099</v>
      </c>
      <c r="E561" s="7" t="s">
        <v>132</v>
      </c>
      <c r="F561" s="7" t="s">
        <v>25</v>
      </c>
      <c r="G561" s="7" t="s">
        <v>22</v>
      </c>
      <c r="H561" s="4">
        <v>1090.21</v>
      </c>
      <c r="I561" s="7" t="s">
        <v>32</v>
      </c>
      <c r="J561" s="7" t="s">
        <v>17</v>
      </c>
      <c r="L561" t="str">
        <f>PROPER(TRIM(SUBSTITUTE(_xlfn.XLOOKUP(B561,Cardholders_Reference!A:A,Cardholders_Reference!B:B),","," ")))</f>
        <v>Aisha Nkosi</v>
      </c>
      <c r="M561" s="5">
        <f>_xlfn.XLOOKUP(B561,Cardholders_Reference!A:A,Cardholders_Reference!G:G)</f>
        <v>80000</v>
      </c>
      <c r="N561" s="7" t="str">
        <f>_xlfn.XLOOKUP(B561,Cardholders_Reference!A:A,Cardholders_Reference!D:D)</f>
        <v>Capitec</v>
      </c>
      <c r="O561" s="7" t="str">
        <f>_xlfn.XLOOKUP(B561,Cardholders_Reference!A:A,Cardholders_Reference!E:E)</f>
        <v>Mastercard</v>
      </c>
      <c r="P561" s="6">
        <f t="shared" si="61"/>
        <v>1.3627625000000001E-2</v>
      </c>
      <c r="Q561">
        <f t="shared" si="56"/>
        <v>0</v>
      </c>
      <c r="R561">
        <f t="shared" si="57"/>
        <v>0</v>
      </c>
      <c r="S561">
        <f>IF(COUNTIFS($B$1:$B$738,B560,$C$1:$C$738,#REF!)&gt;2,1,0)</f>
        <v>0</v>
      </c>
      <c r="T561">
        <f t="shared" si="58"/>
        <v>0</v>
      </c>
      <c r="U561">
        <f t="shared" si="59"/>
        <v>0</v>
      </c>
      <c r="V561">
        <f t="shared" si="60"/>
        <v>0</v>
      </c>
      <c r="W561">
        <f t="shared" si="62"/>
        <v>0</v>
      </c>
      <c r="X561" t="str" cm="1">
        <f t="array" ref="X561">_xlfn.IFS(W561&lt;=1,"Low",W561=2,"Medium",W561&gt;=3,"High")</f>
        <v>Low</v>
      </c>
    </row>
    <row r="562" spans="1:24" x14ac:dyDescent="0.3">
      <c r="A562" t="s">
        <v>1100</v>
      </c>
      <c r="B562" t="s">
        <v>1089</v>
      </c>
      <c r="C562" s="3">
        <v>46144</v>
      </c>
      <c r="D562" s="8" t="s">
        <v>601</v>
      </c>
      <c r="E562" s="7" t="s">
        <v>156</v>
      </c>
      <c r="F562" s="7" t="s">
        <v>36</v>
      </c>
      <c r="G562" s="7" t="s">
        <v>22</v>
      </c>
      <c r="H562" s="4">
        <v>645.95000000000005</v>
      </c>
      <c r="I562" s="7" t="s">
        <v>32</v>
      </c>
      <c r="J562" s="7" t="s">
        <v>17</v>
      </c>
      <c r="L562" t="str">
        <f>PROPER(TRIM(SUBSTITUTE(_xlfn.XLOOKUP(B562,Cardholders_Reference!A:A,Cardholders_Reference!B:B),","," ")))</f>
        <v>Aisha Nkosi</v>
      </c>
      <c r="M562" s="5">
        <f>_xlfn.XLOOKUP(B562,Cardholders_Reference!A:A,Cardholders_Reference!G:G)</f>
        <v>80000</v>
      </c>
      <c r="N562" s="7" t="str">
        <f>_xlfn.XLOOKUP(B562,Cardholders_Reference!A:A,Cardholders_Reference!D:D)</f>
        <v>Capitec</v>
      </c>
      <c r="O562" s="7" t="str">
        <f>_xlfn.XLOOKUP(B562,Cardholders_Reference!A:A,Cardholders_Reference!E:E)</f>
        <v>Mastercard</v>
      </c>
      <c r="P562" s="6">
        <f t="shared" si="61"/>
        <v>8.074375E-3</v>
      </c>
      <c r="Q562">
        <f t="shared" si="56"/>
        <v>0</v>
      </c>
      <c r="R562">
        <f t="shared" si="57"/>
        <v>0</v>
      </c>
      <c r="S562">
        <f>IF(COUNTIFS($B$1:$B$738,B561,$C$1:$C$738,#REF!)&gt;2,1,0)</f>
        <v>0</v>
      </c>
      <c r="T562">
        <f t="shared" si="58"/>
        <v>0</v>
      </c>
      <c r="U562">
        <f t="shared" si="59"/>
        <v>0</v>
      </c>
      <c r="V562">
        <f t="shared" si="60"/>
        <v>0</v>
      </c>
      <c r="W562">
        <f t="shared" si="62"/>
        <v>0</v>
      </c>
      <c r="X562" t="str" cm="1">
        <f t="array" ref="X562">_xlfn.IFS(W562&lt;=1,"Low",W562=2,"Medium",W562&gt;=3,"High")</f>
        <v>Low</v>
      </c>
    </row>
    <row r="563" spans="1:24" x14ac:dyDescent="0.3">
      <c r="A563" t="s">
        <v>1101</v>
      </c>
      <c r="B563" t="s">
        <v>1089</v>
      </c>
      <c r="C563" s="3">
        <v>45844</v>
      </c>
      <c r="D563" s="8" t="s">
        <v>1439</v>
      </c>
      <c r="E563" s="7" t="s">
        <v>156</v>
      </c>
      <c r="F563" s="7" t="s">
        <v>36</v>
      </c>
      <c r="G563" s="7" t="s">
        <v>22</v>
      </c>
      <c r="H563" s="4">
        <v>482.95</v>
      </c>
      <c r="I563" s="7" t="s">
        <v>16</v>
      </c>
      <c r="J563" s="7" t="s">
        <v>17</v>
      </c>
      <c r="L563" t="str">
        <f>PROPER(TRIM(SUBSTITUTE(_xlfn.XLOOKUP(B563,Cardholders_Reference!A:A,Cardholders_Reference!B:B),","," ")))</f>
        <v>Aisha Nkosi</v>
      </c>
      <c r="M563" s="5">
        <f>_xlfn.XLOOKUP(B563,Cardholders_Reference!A:A,Cardholders_Reference!G:G)</f>
        <v>80000</v>
      </c>
      <c r="N563" s="7" t="str">
        <f>_xlfn.XLOOKUP(B563,Cardholders_Reference!A:A,Cardholders_Reference!D:D)</f>
        <v>Capitec</v>
      </c>
      <c r="O563" s="7" t="str">
        <f>_xlfn.XLOOKUP(B563,Cardholders_Reference!A:A,Cardholders_Reference!E:E)</f>
        <v>Mastercard</v>
      </c>
      <c r="P563" s="6">
        <f t="shared" si="61"/>
        <v>6.0368749999999997E-3</v>
      </c>
      <c r="Q563">
        <f t="shared" si="56"/>
        <v>0</v>
      </c>
      <c r="R563">
        <f t="shared" si="57"/>
        <v>1</v>
      </c>
      <c r="S563">
        <f>IF(COUNTIFS($B$1:$B$738,B562,$C$1:$C$738,#REF!)&gt;2,1,0)</f>
        <v>0</v>
      </c>
      <c r="T563">
        <f t="shared" si="58"/>
        <v>0</v>
      </c>
      <c r="U563">
        <f t="shared" si="59"/>
        <v>0</v>
      </c>
      <c r="V563">
        <f t="shared" si="60"/>
        <v>0</v>
      </c>
      <c r="W563">
        <f t="shared" si="62"/>
        <v>1</v>
      </c>
      <c r="X563" t="str" cm="1">
        <f t="array" ref="X563">_xlfn.IFS(W563&lt;=1,"Low",W563=2,"Medium",W563&gt;=3,"High")</f>
        <v>Low</v>
      </c>
    </row>
    <row r="564" spans="1:24" x14ac:dyDescent="0.3">
      <c r="A564" t="s">
        <v>1102</v>
      </c>
      <c r="B564" t="s">
        <v>1089</v>
      </c>
      <c r="C564" s="3">
        <v>46168</v>
      </c>
      <c r="D564" s="8" t="s">
        <v>1097</v>
      </c>
      <c r="E564" s="7" t="s">
        <v>156</v>
      </c>
      <c r="F564" s="7" t="s">
        <v>36</v>
      </c>
      <c r="G564" s="7" t="s">
        <v>49</v>
      </c>
      <c r="H564" s="4">
        <v>489.7</v>
      </c>
      <c r="I564" s="7" t="s">
        <v>95</v>
      </c>
      <c r="J564" s="7" t="s">
        <v>17</v>
      </c>
      <c r="L564" t="str">
        <f>PROPER(TRIM(SUBSTITUTE(_xlfn.XLOOKUP(B564,Cardholders_Reference!A:A,Cardholders_Reference!B:B),","," ")))</f>
        <v>Aisha Nkosi</v>
      </c>
      <c r="M564" s="5">
        <f>_xlfn.XLOOKUP(B564,Cardholders_Reference!A:A,Cardholders_Reference!G:G)</f>
        <v>80000</v>
      </c>
      <c r="N564" s="7" t="str">
        <f>_xlfn.XLOOKUP(B564,Cardholders_Reference!A:A,Cardholders_Reference!D:D)</f>
        <v>Capitec</v>
      </c>
      <c r="O564" s="7" t="str">
        <f>_xlfn.XLOOKUP(B564,Cardholders_Reference!A:A,Cardholders_Reference!E:E)</f>
        <v>Mastercard</v>
      </c>
      <c r="P564" s="6">
        <f t="shared" si="61"/>
        <v>6.12125E-3</v>
      </c>
      <c r="Q564">
        <f t="shared" si="56"/>
        <v>0</v>
      </c>
      <c r="R564">
        <f t="shared" si="57"/>
        <v>0</v>
      </c>
      <c r="S564">
        <f>IF(COUNTIFS($B$1:$B$738,B563,$C$1:$C$738,#REF!)&gt;2,1,0)</f>
        <v>0</v>
      </c>
      <c r="T564">
        <f t="shared" si="58"/>
        <v>0</v>
      </c>
      <c r="U564">
        <f t="shared" si="59"/>
        <v>0</v>
      </c>
      <c r="V564">
        <f t="shared" si="60"/>
        <v>1</v>
      </c>
      <c r="W564">
        <f t="shared" si="62"/>
        <v>1</v>
      </c>
      <c r="X564" t="str" cm="1">
        <f t="array" ref="X564">_xlfn.IFS(W564&lt;=1,"Low",W564=2,"Medium",W564&gt;=3,"High")</f>
        <v>Low</v>
      </c>
    </row>
    <row r="565" spans="1:24" x14ac:dyDescent="0.3">
      <c r="A565" t="s">
        <v>1103</v>
      </c>
      <c r="B565" t="s">
        <v>1089</v>
      </c>
      <c r="C565" s="3">
        <v>46307</v>
      </c>
      <c r="D565" s="8" t="s">
        <v>1104</v>
      </c>
      <c r="E565" s="7" t="s">
        <v>215</v>
      </c>
      <c r="F565" s="7" t="s">
        <v>15</v>
      </c>
      <c r="G565" s="7" t="s">
        <v>22</v>
      </c>
      <c r="H565" s="4">
        <v>692.92</v>
      </c>
      <c r="I565" s="7" t="s">
        <v>16</v>
      </c>
      <c r="J565" s="7" t="s">
        <v>17</v>
      </c>
      <c r="L565" t="str">
        <f>PROPER(TRIM(SUBSTITUTE(_xlfn.XLOOKUP(B565,Cardholders_Reference!A:A,Cardholders_Reference!B:B),","," ")))</f>
        <v>Aisha Nkosi</v>
      </c>
      <c r="M565" s="5">
        <f>_xlfn.XLOOKUP(B565,Cardholders_Reference!A:A,Cardholders_Reference!G:G)</f>
        <v>80000</v>
      </c>
      <c r="N565" s="7" t="str">
        <f>_xlfn.XLOOKUP(B565,Cardholders_Reference!A:A,Cardholders_Reference!D:D)</f>
        <v>Capitec</v>
      </c>
      <c r="O565" s="7" t="str">
        <f>_xlfn.XLOOKUP(B565,Cardholders_Reference!A:A,Cardholders_Reference!E:E)</f>
        <v>Mastercard</v>
      </c>
      <c r="P565" s="6">
        <f t="shared" si="61"/>
        <v>8.6614999999999991E-3</v>
      </c>
      <c r="Q565">
        <f t="shared" si="56"/>
        <v>1</v>
      </c>
      <c r="R565">
        <f t="shared" si="57"/>
        <v>0</v>
      </c>
      <c r="S565">
        <f>IF(COUNTIFS($B$1:$B$738,B564,$C$1:$C$738,#REF!)&gt;2,1,0)</f>
        <v>0</v>
      </c>
      <c r="T565">
        <f t="shared" si="58"/>
        <v>0</v>
      </c>
      <c r="U565">
        <f t="shared" si="59"/>
        <v>0</v>
      </c>
      <c r="V565">
        <f t="shared" si="60"/>
        <v>0</v>
      </c>
      <c r="W565">
        <f t="shared" si="62"/>
        <v>1</v>
      </c>
      <c r="X565" t="str" cm="1">
        <f t="array" ref="X565">_xlfn.IFS(W565&lt;=1,"Low",W565=2,"Medium",W565&gt;=3,"High")</f>
        <v>Low</v>
      </c>
    </row>
    <row r="566" spans="1:24" x14ac:dyDescent="0.3">
      <c r="A566" t="s">
        <v>1105</v>
      </c>
      <c r="B566" t="s">
        <v>1089</v>
      </c>
      <c r="C566" s="3">
        <v>46083</v>
      </c>
      <c r="D566" s="8" t="s">
        <v>1106</v>
      </c>
      <c r="E566" s="7" t="s">
        <v>52</v>
      </c>
      <c r="F566" s="7" t="s">
        <v>53</v>
      </c>
      <c r="G566" s="7" t="s">
        <v>22</v>
      </c>
      <c r="H566" s="4">
        <v>1561.7</v>
      </c>
      <c r="I566" s="7" t="s">
        <v>16</v>
      </c>
      <c r="J566" s="7" t="s">
        <v>17</v>
      </c>
      <c r="L566" t="str">
        <f>PROPER(TRIM(SUBSTITUTE(_xlfn.XLOOKUP(B566,Cardholders_Reference!A:A,Cardholders_Reference!B:B),","," ")))</f>
        <v>Aisha Nkosi</v>
      </c>
      <c r="M566" s="5">
        <f>_xlfn.XLOOKUP(B566,Cardholders_Reference!A:A,Cardholders_Reference!G:G)</f>
        <v>80000</v>
      </c>
      <c r="N566" s="7" t="str">
        <f>_xlfn.XLOOKUP(B566,Cardholders_Reference!A:A,Cardholders_Reference!D:D)</f>
        <v>Capitec</v>
      </c>
      <c r="O566" s="7" t="str">
        <f>_xlfn.XLOOKUP(B566,Cardholders_Reference!A:A,Cardholders_Reference!E:E)</f>
        <v>Mastercard</v>
      </c>
      <c r="P566" s="6">
        <f t="shared" si="61"/>
        <v>1.952125E-2</v>
      </c>
      <c r="Q566">
        <f t="shared" si="56"/>
        <v>0</v>
      </c>
      <c r="R566">
        <f t="shared" si="57"/>
        <v>0</v>
      </c>
      <c r="S566">
        <f>IF(COUNTIFS($B$1:$B$738,B565,$C$1:$C$738,#REF!)&gt;2,1,0)</f>
        <v>0</v>
      </c>
      <c r="T566">
        <f t="shared" si="58"/>
        <v>0</v>
      </c>
      <c r="U566">
        <f t="shared" si="59"/>
        <v>0</v>
      </c>
      <c r="V566">
        <f t="shared" si="60"/>
        <v>0</v>
      </c>
      <c r="W566">
        <f t="shared" si="62"/>
        <v>0</v>
      </c>
      <c r="X566" t="str" cm="1">
        <f t="array" ref="X566">_xlfn.IFS(W566&lt;=1,"Low",W566=2,"Medium",W566&gt;=3,"High")</f>
        <v>Low</v>
      </c>
    </row>
    <row r="567" spans="1:24" x14ac:dyDescent="0.3">
      <c r="A567" t="s">
        <v>1107</v>
      </c>
      <c r="B567" t="s">
        <v>1089</v>
      </c>
      <c r="C567" s="3">
        <v>45943</v>
      </c>
      <c r="D567" s="8" t="s">
        <v>1108</v>
      </c>
      <c r="E567" s="7" t="s">
        <v>129</v>
      </c>
      <c r="F567" s="7" t="s">
        <v>25</v>
      </c>
      <c r="G567" s="7" t="s">
        <v>22</v>
      </c>
      <c r="H567" s="4">
        <v>392.18</v>
      </c>
      <c r="I567" s="7" t="s">
        <v>26</v>
      </c>
      <c r="J567" s="7" t="s">
        <v>17</v>
      </c>
      <c r="L567" t="str">
        <f>PROPER(TRIM(SUBSTITUTE(_xlfn.XLOOKUP(B567,Cardholders_Reference!A:A,Cardholders_Reference!B:B),","," ")))</f>
        <v>Aisha Nkosi</v>
      </c>
      <c r="M567" s="5">
        <f>_xlfn.XLOOKUP(B567,Cardholders_Reference!A:A,Cardholders_Reference!G:G)</f>
        <v>80000</v>
      </c>
      <c r="N567" s="7" t="str">
        <f>_xlfn.XLOOKUP(B567,Cardholders_Reference!A:A,Cardholders_Reference!D:D)</f>
        <v>Capitec</v>
      </c>
      <c r="O567" s="7" t="str">
        <f>_xlfn.XLOOKUP(B567,Cardholders_Reference!A:A,Cardholders_Reference!E:E)</f>
        <v>Mastercard</v>
      </c>
      <c r="P567" s="6">
        <f t="shared" si="61"/>
        <v>4.9022500000000004E-3</v>
      </c>
      <c r="Q567">
        <f t="shared" si="56"/>
        <v>0</v>
      </c>
      <c r="R567">
        <f t="shared" si="57"/>
        <v>0</v>
      </c>
      <c r="S567">
        <f>IF(COUNTIFS($B$1:$B$738,B566,$C$1:$C$738,#REF!)&gt;2,1,0)</f>
        <v>0</v>
      </c>
      <c r="T567">
        <f t="shared" si="58"/>
        <v>0</v>
      </c>
      <c r="U567">
        <f t="shared" si="59"/>
        <v>0</v>
      </c>
      <c r="V567">
        <f t="shared" si="60"/>
        <v>1</v>
      </c>
      <c r="W567">
        <f t="shared" si="62"/>
        <v>1</v>
      </c>
      <c r="X567" t="str" cm="1">
        <f t="array" ref="X567">_xlfn.IFS(W567&lt;=1,"Low",W567=2,"Medium",W567&gt;=3,"High")</f>
        <v>Low</v>
      </c>
    </row>
    <row r="568" spans="1:24" x14ac:dyDescent="0.3">
      <c r="A568" t="s">
        <v>1109</v>
      </c>
      <c r="B568" t="s">
        <v>1110</v>
      </c>
      <c r="C568" s="3">
        <v>45793</v>
      </c>
      <c r="D568" s="8" t="s">
        <v>1111</v>
      </c>
      <c r="E568" s="7" t="s">
        <v>47</v>
      </c>
      <c r="F568" s="7" t="s">
        <v>48</v>
      </c>
      <c r="G568" s="7" t="s">
        <v>250</v>
      </c>
      <c r="H568" s="4">
        <v>1224.19</v>
      </c>
      <c r="I568" s="7" t="s">
        <v>26</v>
      </c>
      <c r="J568" s="7" t="s">
        <v>17</v>
      </c>
      <c r="L568" t="str">
        <f>PROPER(TRIM(SUBSTITUTE(_xlfn.XLOOKUP(B568,Cardholders_Reference!A:A,Cardholders_Reference!B:B),","," ")))</f>
        <v>Sanele Pretorius</v>
      </c>
      <c r="M568" s="5">
        <f>_xlfn.XLOOKUP(B568,Cardholders_Reference!A:A,Cardholders_Reference!G:G)</f>
        <v>15000</v>
      </c>
      <c r="N568" s="7" t="str">
        <f>_xlfn.XLOOKUP(B568,Cardholders_Reference!A:A,Cardholders_Reference!D:D)</f>
        <v>Nedbank</v>
      </c>
      <c r="O568" s="7" t="str">
        <f>_xlfn.XLOOKUP(B568,Cardholders_Reference!A:A,Cardholders_Reference!E:E)</f>
        <v>Mastercard</v>
      </c>
      <c r="P568" s="6">
        <f t="shared" si="61"/>
        <v>8.1612666666666667E-2</v>
      </c>
      <c r="Q568">
        <f t="shared" si="56"/>
        <v>0</v>
      </c>
      <c r="R568">
        <f t="shared" si="57"/>
        <v>0</v>
      </c>
      <c r="S568">
        <f>IF(COUNTIFS($B$1:$B$738,B567,$C$1:$C$738,#REF!)&gt;2,1,0)</f>
        <v>0</v>
      </c>
      <c r="T568">
        <f t="shared" si="58"/>
        <v>0</v>
      </c>
      <c r="U568">
        <f t="shared" si="59"/>
        <v>0</v>
      </c>
      <c r="V568">
        <f t="shared" si="60"/>
        <v>1</v>
      </c>
      <c r="W568">
        <f t="shared" si="62"/>
        <v>1</v>
      </c>
      <c r="X568" t="str" cm="1">
        <f t="array" ref="X568">_xlfn.IFS(W568&lt;=1,"Low",W568=2,"Medium",W568&gt;=3,"High")</f>
        <v>Low</v>
      </c>
    </row>
    <row r="569" spans="1:24" x14ac:dyDescent="0.3">
      <c r="A569" t="s">
        <v>1112</v>
      </c>
      <c r="B569" t="s">
        <v>1110</v>
      </c>
      <c r="C569" s="3">
        <v>45788</v>
      </c>
      <c r="D569" s="8" t="s">
        <v>158</v>
      </c>
      <c r="E569" s="7" t="s">
        <v>111</v>
      </c>
      <c r="F569" s="7" t="s">
        <v>48</v>
      </c>
      <c r="G569" s="7" t="s">
        <v>22</v>
      </c>
      <c r="H569" s="4">
        <v>177.78</v>
      </c>
      <c r="I569" s="7" t="s">
        <v>16</v>
      </c>
      <c r="J569" s="7" t="s">
        <v>17</v>
      </c>
      <c r="L569" t="str">
        <f>PROPER(TRIM(SUBSTITUTE(_xlfn.XLOOKUP(B569,Cardholders_Reference!A:A,Cardholders_Reference!B:B),","," ")))</f>
        <v>Sanele Pretorius</v>
      </c>
      <c r="M569" s="5">
        <f>_xlfn.XLOOKUP(B569,Cardholders_Reference!A:A,Cardholders_Reference!G:G)</f>
        <v>15000</v>
      </c>
      <c r="N569" s="7" t="str">
        <f>_xlfn.XLOOKUP(B569,Cardholders_Reference!A:A,Cardholders_Reference!D:D)</f>
        <v>Nedbank</v>
      </c>
      <c r="O569" s="7" t="str">
        <f>_xlfn.XLOOKUP(B569,Cardholders_Reference!A:A,Cardholders_Reference!E:E)</f>
        <v>Mastercard</v>
      </c>
      <c r="P569" s="6">
        <f t="shared" si="61"/>
        <v>1.1852E-2</v>
      </c>
      <c r="Q569">
        <f t="shared" si="56"/>
        <v>1</v>
      </c>
      <c r="R569">
        <f t="shared" si="57"/>
        <v>0</v>
      </c>
      <c r="S569">
        <f>IF(COUNTIFS($B$1:$B$738,B568,$C$1:$C$738,#REF!)&gt;2,1,0)</f>
        <v>0</v>
      </c>
      <c r="T569">
        <f t="shared" si="58"/>
        <v>0</v>
      </c>
      <c r="U569">
        <f t="shared" si="59"/>
        <v>0</v>
      </c>
      <c r="V569">
        <f t="shared" si="60"/>
        <v>0</v>
      </c>
      <c r="W569">
        <f t="shared" si="62"/>
        <v>1</v>
      </c>
      <c r="X569" t="str" cm="1">
        <f t="array" ref="X569">_xlfn.IFS(W569&lt;=1,"Low",W569=2,"Medium",W569&gt;=3,"High")</f>
        <v>Low</v>
      </c>
    </row>
    <row r="570" spans="1:24" x14ac:dyDescent="0.3">
      <c r="A570" t="s">
        <v>1113</v>
      </c>
      <c r="B570" t="s">
        <v>1110</v>
      </c>
      <c r="C570" s="3">
        <v>46104</v>
      </c>
      <c r="D570" s="8" t="s">
        <v>1114</v>
      </c>
      <c r="E570" s="7" t="s">
        <v>331</v>
      </c>
      <c r="F570" s="7" t="s">
        <v>40</v>
      </c>
      <c r="G570" s="7" t="s">
        <v>108</v>
      </c>
      <c r="H570" s="4">
        <v>272.13</v>
      </c>
      <c r="I570" s="7" t="s">
        <v>16</v>
      </c>
      <c r="J570" s="7" t="s">
        <v>17</v>
      </c>
      <c r="L570" t="str">
        <f>PROPER(TRIM(SUBSTITUTE(_xlfn.XLOOKUP(B570,Cardholders_Reference!A:A,Cardholders_Reference!B:B),","," ")))</f>
        <v>Sanele Pretorius</v>
      </c>
      <c r="M570" s="5">
        <f>_xlfn.XLOOKUP(B570,Cardholders_Reference!A:A,Cardholders_Reference!G:G)</f>
        <v>15000</v>
      </c>
      <c r="N570" s="7" t="str">
        <f>_xlfn.XLOOKUP(B570,Cardholders_Reference!A:A,Cardholders_Reference!D:D)</f>
        <v>Nedbank</v>
      </c>
      <c r="O570" s="7" t="str">
        <f>_xlfn.XLOOKUP(B570,Cardholders_Reference!A:A,Cardholders_Reference!E:E)</f>
        <v>Mastercard</v>
      </c>
      <c r="P570" s="6">
        <f t="shared" si="61"/>
        <v>1.8141999999999998E-2</v>
      </c>
      <c r="Q570">
        <f t="shared" si="56"/>
        <v>1</v>
      </c>
      <c r="R570">
        <f t="shared" si="57"/>
        <v>0</v>
      </c>
      <c r="S570">
        <f>IF(COUNTIFS($B$1:$B$738,B569,$C$1:$C$738,#REF!)&gt;2,1,0)</f>
        <v>0</v>
      </c>
      <c r="T570">
        <f t="shared" si="58"/>
        <v>0</v>
      </c>
      <c r="U570">
        <f t="shared" si="59"/>
        <v>0</v>
      </c>
      <c r="V570">
        <f t="shared" si="60"/>
        <v>0</v>
      </c>
      <c r="W570">
        <f t="shared" si="62"/>
        <v>1</v>
      </c>
      <c r="X570" t="str" cm="1">
        <f t="array" ref="X570">_xlfn.IFS(W570&lt;=1,"Low",W570=2,"Medium",W570&gt;=3,"High")</f>
        <v>Low</v>
      </c>
    </row>
    <row r="571" spans="1:24" x14ac:dyDescent="0.3">
      <c r="A571" t="s">
        <v>1115</v>
      </c>
      <c r="B571" t="s">
        <v>1110</v>
      </c>
      <c r="C571" s="3">
        <v>45908</v>
      </c>
      <c r="D571" s="8" t="s">
        <v>1116</v>
      </c>
      <c r="E571" s="7" t="s">
        <v>126</v>
      </c>
      <c r="F571" s="7" t="s">
        <v>53</v>
      </c>
      <c r="G571" s="7" t="s">
        <v>118</v>
      </c>
      <c r="H571" s="4">
        <v>1290.29</v>
      </c>
      <c r="I571" s="7" t="s">
        <v>95</v>
      </c>
      <c r="J571" s="7" t="s">
        <v>17</v>
      </c>
      <c r="L571" t="str">
        <f>PROPER(TRIM(SUBSTITUTE(_xlfn.XLOOKUP(B571,Cardholders_Reference!A:A,Cardholders_Reference!B:B),","," ")))</f>
        <v>Sanele Pretorius</v>
      </c>
      <c r="M571" s="5">
        <f>_xlfn.XLOOKUP(B571,Cardholders_Reference!A:A,Cardholders_Reference!G:G)</f>
        <v>15000</v>
      </c>
      <c r="N571" s="7" t="str">
        <f>_xlfn.XLOOKUP(B571,Cardholders_Reference!A:A,Cardholders_Reference!D:D)</f>
        <v>Nedbank</v>
      </c>
      <c r="O571" s="7" t="str">
        <f>_xlfn.XLOOKUP(B571,Cardholders_Reference!A:A,Cardholders_Reference!E:E)</f>
        <v>Mastercard</v>
      </c>
      <c r="P571" s="6">
        <f t="shared" si="61"/>
        <v>8.6019333333333337E-2</v>
      </c>
      <c r="Q571">
        <f t="shared" si="56"/>
        <v>1</v>
      </c>
      <c r="R571">
        <f t="shared" si="57"/>
        <v>0</v>
      </c>
      <c r="S571">
        <f>IF(COUNTIFS($B$1:$B$738,B570,$C$1:$C$738,#REF!)&gt;2,1,0)</f>
        <v>0</v>
      </c>
      <c r="T571">
        <f t="shared" si="58"/>
        <v>0</v>
      </c>
      <c r="U571">
        <f t="shared" si="59"/>
        <v>0</v>
      </c>
      <c r="V571">
        <f t="shared" si="60"/>
        <v>1</v>
      </c>
      <c r="W571">
        <f t="shared" si="62"/>
        <v>2</v>
      </c>
      <c r="X571" t="str" cm="1">
        <f t="array" ref="X571">_xlfn.IFS(W571&lt;=1,"Low",W571=2,"Medium",W571&gt;=3,"High")</f>
        <v>Medium</v>
      </c>
    </row>
    <row r="572" spans="1:24" x14ac:dyDescent="0.3">
      <c r="A572" t="s">
        <v>1117</v>
      </c>
      <c r="B572" t="s">
        <v>1110</v>
      </c>
      <c r="C572" s="3">
        <v>46087</v>
      </c>
      <c r="D572" s="8" t="s">
        <v>1118</v>
      </c>
      <c r="E572" s="7" t="s">
        <v>137</v>
      </c>
      <c r="F572" s="7" t="s">
        <v>40</v>
      </c>
      <c r="G572" s="7" t="s">
        <v>108</v>
      </c>
      <c r="H572" s="4">
        <v>195.86</v>
      </c>
      <c r="I572" s="7" t="s">
        <v>26</v>
      </c>
      <c r="J572" s="7" t="s">
        <v>41</v>
      </c>
      <c r="L572" t="str">
        <f>PROPER(TRIM(SUBSTITUTE(_xlfn.XLOOKUP(B572,Cardholders_Reference!A:A,Cardholders_Reference!B:B),","," ")))</f>
        <v>Sanele Pretorius</v>
      </c>
      <c r="M572" s="5">
        <f>_xlfn.XLOOKUP(B572,Cardholders_Reference!A:A,Cardholders_Reference!G:G)</f>
        <v>15000</v>
      </c>
      <c r="N572" s="7" t="str">
        <f>_xlfn.XLOOKUP(B572,Cardholders_Reference!A:A,Cardholders_Reference!D:D)</f>
        <v>Nedbank</v>
      </c>
      <c r="O572" s="7" t="str">
        <f>_xlfn.XLOOKUP(B572,Cardholders_Reference!A:A,Cardholders_Reference!E:E)</f>
        <v>Mastercard</v>
      </c>
      <c r="P572" s="6">
        <f t="shared" si="61"/>
        <v>1.3057333333333334E-2</v>
      </c>
      <c r="Q572">
        <f t="shared" si="56"/>
        <v>1</v>
      </c>
      <c r="R572">
        <f t="shared" si="57"/>
        <v>0</v>
      </c>
      <c r="S572">
        <f>IF(COUNTIFS($B$1:$B$738,B571,$C$1:$C$738,#REF!)&gt;2,1,0)</f>
        <v>0</v>
      </c>
      <c r="T572">
        <f t="shared" si="58"/>
        <v>0</v>
      </c>
      <c r="U572">
        <f t="shared" si="59"/>
        <v>0</v>
      </c>
      <c r="V572">
        <f t="shared" si="60"/>
        <v>1</v>
      </c>
      <c r="W572">
        <f t="shared" si="62"/>
        <v>2</v>
      </c>
      <c r="X572" t="str" cm="1">
        <f t="array" ref="X572">_xlfn.IFS(W572&lt;=1,"Low",W572=2,"Medium",W572&gt;=3,"High")</f>
        <v>Medium</v>
      </c>
    </row>
    <row r="573" spans="1:24" x14ac:dyDescent="0.3">
      <c r="A573" t="s">
        <v>1119</v>
      </c>
      <c r="B573" t="s">
        <v>1110</v>
      </c>
      <c r="C573" s="3">
        <v>46074</v>
      </c>
      <c r="D573" s="8" t="s">
        <v>1120</v>
      </c>
      <c r="E573" s="7" t="s">
        <v>52</v>
      </c>
      <c r="F573" s="7" t="s">
        <v>53</v>
      </c>
      <c r="G573" s="7" t="s">
        <v>118</v>
      </c>
      <c r="H573" s="4">
        <v>1096.93</v>
      </c>
      <c r="I573" s="7" t="s">
        <v>32</v>
      </c>
      <c r="J573" s="7" t="s">
        <v>41</v>
      </c>
      <c r="L573" t="str">
        <f>PROPER(TRIM(SUBSTITUTE(_xlfn.XLOOKUP(B573,Cardholders_Reference!A:A,Cardholders_Reference!B:B),","," ")))</f>
        <v>Sanele Pretorius</v>
      </c>
      <c r="M573" s="5">
        <f>_xlfn.XLOOKUP(B573,Cardholders_Reference!A:A,Cardholders_Reference!G:G)</f>
        <v>15000</v>
      </c>
      <c r="N573" s="7" t="str">
        <f>_xlfn.XLOOKUP(B573,Cardholders_Reference!A:A,Cardholders_Reference!D:D)</f>
        <v>Nedbank</v>
      </c>
      <c r="O573" s="7" t="str">
        <f>_xlfn.XLOOKUP(B573,Cardholders_Reference!A:A,Cardholders_Reference!E:E)</f>
        <v>Mastercard</v>
      </c>
      <c r="P573" s="6">
        <f t="shared" si="61"/>
        <v>7.3128666666666675E-2</v>
      </c>
      <c r="Q573">
        <f t="shared" si="56"/>
        <v>1</v>
      </c>
      <c r="R573">
        <f t="shared" si="57"/>
        <v>0</v>
      </c>
      <c r="S573">
        <f>IF(COUNTIFS($B$1:$B$738,B572,$C$1:$C$738,#REF!)&gt;2,1,0)</f>
        <v>0</v>
      </c>
      <c r="T573">
        <f t="shared" si="58"/>
        <v>0</v>
      </c>
      <c r="U573">
        <f t="shared" si="59"/>
        <v>0</v>
      </c>
      <c r="V573">
        <f t="shared" si="60"/>
        <v>0</v>
      </c>
      <c r="W573">
        <f t="shared" si="62"/>
        <v>1</v>
      </c>
      <c r="X573" t="str" cm="1">
        <f t="array" ref="X573">_xlfn.IFS(W573&lt;=1,"Low",W573=2,"Medium",W573&gt;=3,"High")</f>
        <v>Low</v>
      </c>
    </row>
    <row r="574" spans="1:24" x14ac:dyDescent="0.3">
      <c r="A574" t="s">
        <v>1121</v>
      </c>
      <c r="B574" t="s">
        <v>1110</v>
      </c>
      <c r="C574" s="3">
        <v>45810</v>
      </c>
      <c r="D574" s="8" t="s">
        <v>1122</v>
      </c>
      <c r="E574" s="7" t="s">
        <v>206</v>
      </c>
      <c r="F574" s="7" t="s">
        <v>61</v>
      </c>
      <c r="G574" s="7" t="s">
        <v>22</v>
      </c>
      <c r="H574" s="4">
        <v>3837.46</v>
      </c>
      <c r="I574" s="7" t="s">
        <v>16</v>
      </c>
      <c r="J574" s="7" t="s">
        <v>17</v>
      </c>
      <c r="L574" t="str">
        <f>PROPER(TRIM(SUBSTITUTE(_xlfn.XLOOKUP(B574,Cardholders_Reference!A:A,Cardholders_Reference!B:B),","," ")))</f>
        <v>Sanele Pretorius</v>
      </c>
      <c r="M574" s="5">
        <f>_xlfn.XLOOKUP(B574,Cardholders_Reference!A:A,Cardholders_Reference!G:G)</f>
        <v>15000</v>
      </c>
      <c r="N574" s="7" t="str">
        <f>_xlfn.XLOOKUP(B574,Cardholders_Reference!A:A,Cardholders_Reference!D:D)</f>
        <v>Nedbank</v>
      </c>
      <c r="O574" s="7" t="str">
        <f>_xlfn.XLOOKUP(B574,Cardholders_Reference!A:A,Cardholders_Reference!E:E)</f>
        <v>Mastercard</v>
      </c>
      <c r="P574" s="6">
        <f t="shared" si="61"/>
        <v>0.25583066666666665</v>
      </c>
      <c r="Q574">
        <f t="shared" si="56"/>
        <v>1</v>
      </c>
      <c r="R574">
        <f t="shared" si="57"/>
        <v>0</v>
      </c>
      <c r="S574">
        <f>IF(COUNTIFS($B$1:$B$738,B573,$C$1:$C$738,#REF!)&gt;2,1,0)</f>
        <v>0</v>
      </c>
      <c r="T574">
        <f t="shared" si="58"/>
        <v>0</v>
      </c>
      <c r="U574">
        <f t="shared" si="59"/>
        <v>0</v>
      </c>
      <c r="V574">
        <f t="shared" si="60"/>
        <v>0</v>
      </c>
      <c r="W574">
        <f t="shared" si="62"/>
        <v>1</v>
      </c>
      <c r="X574" t="str" cm="1">
        <f t="array" ref="X574">_xlfn.IFS(W574&lt;=1,"Low",W574=2,"Medium",W574&gt;=3,"High")</f>
        <v>Low</v>
      </c>
    </row>
    <row r="575" spans="1:24" x14ac:dyDescent="0.3">
      <c r="A575" t="s">
        <v>1123</v>
      </c>
      <c r="B575" t="s">
        <v>1110</v>
      </c>
      <c r="C575" s="3">
        <v>45786</v>
      </c>
      <c r="D575" s="8" t="s">
        <v>99</v>
      </c>
      <c r="E575" s="7" t="s">
        <v>39</v>
      </c>
      <c r="F575" s="7" t="s">
        <v>40</v>
      </c>
      <c r="G575" s="7" t="s">
        <v>22</v>
      </c>
      <c r="H575" s="4">
        <v>330.7</v>
      </c>
      <c r="I575" s="7" t="s">
        <v>16</v>
      </c>
      <c r="J575" s="7" t="s">
        <v>17</v>
      </c>
      <c r="L575" t="str">
        <f>PROPER(TRIM(SUBSTITUTE(_xlfn.XLOOKUP(B575,Cardholders_Reference!A:A,Cardholders_Reference!B:B),","," ")))</f>
        <v>Sanele Pretorius</v>
      </c>
      <c r="M575" s="5">
        <f>_xlfn.XLOOKUP(B575,Cardholders_Reference!A:A,Cardholders_Reference!G:G)</f>
        <v>15000</v>
      </c>
      <c r="N575" s="7" t="str">
        <f>_xlfn.XLOOKUP(B575,Cardholders_Reference!A:A,Cardholders_Reference!D:D)</f>
        <v>Nedbank</v>
      </c>
      <c r="O575" s="7" t="str">
        <f>_xlfn.XLOOKUP(B575,Cardholders_Reference!A:A,Cardholders_Reference!E:E)</f>
        <v>Mastercard</v>
      </c>
      <c r="P575" s="6">
        <f t="shared" si="61"/>
        <v>2.2046666666666666E-2</v>
      </c>
      <c r="Q575">
        <f t="shared" si="56"/>
        <v>1</v>
      </c>
      <c r="R575">
        <f t="shared" si="57"/>
        <v>0</v>
      </c>
      <c r="S575">
        <f>IF(COUNTIFS($B$1:$B$738,B574,$C$1:$C$738,#REF!)&gt;2,1,0)</f>
        <v>0</v>
      </c>
      <c r="T575">
        <f t="shared" si="58"/>
        <v>0</v>
      </c>
      <c r="U575">
        <f t="shared" si="59"/>
        <v>0</v>
      </c>
      <c r="V575">
        <f t="shared" si="60"/>
        <v>0</v>
      </c>
      <c r="W575">
        <f t="shared" si="62"/>
        <v>1</v>
      </c>
      <c r="X575" t="str" cm="1">
        <f t="array" ref="X575">_xlfn.IFS(W575&lt;=1,"Low",W575=2,"Medium",W575&gt;=3,"High")</f>
        <v>Low</v>
      </c>
    </row>
    <row r="576" spans="1:24" x14ac:dyDescent="0.3">
      <c r="A576" t="s">
        <v>1124</v>
      </c>
      <c r="B576" t="s">
        <v>1110</v>
      </c>
      <c r="C576" s="3">
        <v>45696</v>
      </c>
      <c r="D576" s="8" t="s">
        <v>1125</v>
      </c>
      <c r="E576" s="7" t="s">
        <v>24</v>
      </c>
      <c r="F576" s="7" t="s">
        <v>25</v>
      </c>
      <c r="G576" s="7" t="s">
        <v>22</v>
      </c>
      <c r="H576" s="4">
        <v>399.56</v>
      </c>
      <c r="I576" s="7" t="s">
        <v>95</v>
      </c>
      <c r="J576" s="7" t="s">
        <v>17</v>
      </c>
      <c r="L576" t="str">
        <f>PROPER(TRIM(SUBSTITUTE(_xlfn.XLOOKUP(B576,Cardholders_Reference!A:A,Cardholders_Reference!B:B),","," ")))</f>
        <v>Sanele Pretorius</v>
      </c>
      <c r="M576" s="5">
        <f>_xlfn.XLOOKUP(B576,Cardholders_Reference!A:A,Cardholders_Reference!G:G)</f>
        <v>15000</v>
      </c>
      <c r="N576" s="7" t="str">
        <f>_xlfn.XLOOKUP(B576,Cardholders_Reference!A:A,Cardholders_Reference!D:D)</f>
        <v>Nedbank</v>
      </c>
      <c r="O576" s="7" t="str">
        <f>_xlfn.XLOOKUP(B576,Cardholders_Reference!A:A,Cardholders_Reference!E:E)</f>
        <v>Mastercard</v>
      </c>
      <c r="P576" s="6">
        <f t="shared" si="61"/>
        <v>2.6637333333333332E-2</v>
      </c>
      <c r="Q576">
        <f t="shared" si="56"/>
        <v>1</v>
      </c>
      <c r="R576">
        <f t="shared" si="57"/>
        <v>0</v>
      </c>
      <c r="S576">
        <f>IF(COUNTIFS($B$1:$B$738,B575,$C$1:$C$738,#REF!)&gt;2,1,0)</f>
        <v>0</v>
      </c>
      <c r="T576">
        <f t="shared" si="58"/>
        <v>0</v>
      </c>
      <c r="U576">
        <f t="shared" si="59"/>
        <v>0</v>
      </c>
      <c r="V576">
        <f t="shared" si="60"/>
        <v>1</v>
      </c>
      <c r="W576">
        <f t="shared" si="62"/>
        <v>2</v>
      </c>
      <c r="X576" t="str" cm="1">
        <f t="array" ref="X576">_xlfn.IFS(W576&lt;=1,"Low",W576=2,"Medium",W576&gt;=3,"High")</f>
        <v>Medium</v>
      </c>
    </row>
    <row r="577" spans="1:24" x14ac:dyDescent="0.3">
      <c r="A577" t="s">
        <v>1126</v>
      </c>
      <c r="B577" t="s">
        <v>1110</v>
      </c>
      <c r="C577" s="3">
        <v>45870</v>
      </c>
      <c r="D577" s="8" t="s">
        <v>1127</v>
      </c>
      <c r="E577" s="7" t="s">
        <v>132</v>
      </c>
      <c r="F577" s="7" t="s">
        <v>25</v>
      </c>
      <c r="G577" s="7" t="s">
        <v>108</v>
      </c>
      <c r="H577" s="4">
        <v>589.6</v>
      </c>
      <c r="I577" s="7" t="s">
        <v>26</v>
      </c>
      <c r="J577" s="7" t="s">
        <v>17</v>
      </c>
      <c r="L577" t="str">
        <f>PROPER(TRIM(SUBSTITUTE(_xlfn.XLOOKUP(B577,Cardholders_Reference!A:A,Cardholders_Reference!B:B),","," ")))</f>
        <v>Sanele Pretorius</v>
      </c>
      <c r="M577" s="5">
        <f>_xlfn.XLOOKUP(B577,Cardholders_Reference!A:A,Cardholders_Reference!G:G)</f>
        <v>15000</v>
      </c>
      <c r="N577" s="7" t="str">
        <f>_xlfn.XLOOKUP(B577,Cardholders_Reference!A:A,Cardholders_Reference!D:D)</f>
        <v>Nedbank</v>
      </c>
      <c r="O577" s="7" t="str">
        <f>_xlfn.XLOOKUP(B577,Cardholders_Reference!A:A,Cardholders_Reference!E:E)</f>
        <v>Mastercard</v>
      </c>
      <c r="P577" s="6">
        <f t="shared" si="61"/>
        <v>3.930666666666667E-2</v>
      </c>
      <c r="Q577">
        <f t="shared" si="56"/>
        <v>1</v>
      </c>
      <c r="R577">
        <f t="shared" si="57"/>
        <v>0</v>
      </c>
      <c r="S577">
        <f>IF(COUNTIFS($B$1:$B$738,B576,$C$1:$C$738,#REF!)&gt;2,1,0)</f>
        <v>0</v>
      </c>
      <c r="T577">
        <f t="shared" si="58"/>
        <v>0</v>
      </c>
      <c r="U577">
        <f t="shared" si="59"/>
        <v>0</v>
      </c>
      <c r="V577">
        <f t="shared" si="60"/>
        <v>1</v>
      </c>
      <c r="W577">
        <f t="shared" si="62"/>
        <v>2</v>
      </c>
      <c r="X577" t="str" cm="1">
        <f t="array" ref="X577">_xlfn.IFS(W577&lt;=1,"Low",W577=2,"Medium",W577&gt;=3,"High")</f>
        <v>Medium</v>
      </c>
    </row>
    <row r="578" spans="1:24" x14ac:dyDescent="0.3">
      <c r="A578" t="s">
        <v>1128</v>
      </c>
      <c r="B578" t="s">
        <v>1110</v>
      </c>
      <c r="C578" s="3">
        <v>45989</v>
      </c>
      <c r="D578" s="8" t="s">
        <v>247</v>
      </c>
      <c r="E578" s="7" t="s">
        <v>156</v>
      </c>
      <c r="F578" s="7" t="s">
        <v>36</v>
      </c>
      <c r="G578" s="7" t="s">
        <v>118</v>
      </c>
      <c r="H578" s="4">
        <v>202.43</v>
      </c>
      <c r="I578" s="7" t="s">
        <v>16</v>
      </c>
      <c r="J578" s="7" t="s">
        <v>17</v>
      </c>
      <c r="L578" t="str">
        <f>PROPER(TRIM(SUBSTITUTE(_xlfn.XLOOKUP(B578,Cardholders_Reference!A:A,Cardholders_Reference!B:B),","," ")))</f>
        <v>Sanele Pretorius</v>
      </c>
      <c r="M578" s="5">
        <f>_xlfn.XLOOKUP(B578,Cardholders_Reference!A:A,Cardholders_Reference!G:G)</f>
        <v>15000</v>
      </c>
      <c r="N578" s="7" t="str">
        <f>_xlfn.XLOOKUP(B578,Cardholders_Reference!A:A,Cardholders_Reference!D:D)</f>
        <v>Nedbank</v>
      </c>
      <c r="O578" s="7" t="str">
        <f>_xlfn.XLOOKUP(B578,Cardholders_Reference!A:A,Cardholders_Reference!E:E)</f>
        <v>Mastercard</v>
      </c>
      <c r="P578" s="6">
        <f t="shared" si="61"/>
        <v>1.3495333333333333E-2</v>
      </c>
      <c r="Q578">
        <f t="shared" ref="Q578:Q641" si="63">IF(COUNTIFS($B$1:$B$738,B577,$G$1:$G$738,G577)/COUNTIF($B$1:$B$738,B577)&lt;0.5,1,0)</f>
        <v>1</v>
      </c>
      <c r="R578">
        <f t="shared" ref="R578:R641" si="64">IF(D578="Unknown",1,IF(OR(TIMEVALUE(D578)&lt;TIME(5,0,0),TIMEVALUE(D578)&gt;=TIME(23,0,0)),1,0))</f>
        <v>0</v>
      </c>
      <c r="S578">
        <f>IF(COUNTIFS($B$1:$B$738,B577,$C$1:$C$738,#REF!)&gt;2,1,0)</f>
        <v>0</v>
      </c>
      <c r="T578">
        <f t="shared" ref="T578:T641" si="65">IF(P577&gt;0.4,1,0)</f>
        <v>0</v>
      </c>
      <c r="U578">
        <f t="shared" ref="U578:U641" si="66">IF(OR(F577="Gambling",F577="ATM Withdrawal"),1,0)</f>
        <v>0</v>
      </c>
      <c r="V578">
        <f t="shared" ref="V578:V641" si="67">IF(OR(I578="Card Not Present (Phone)",I578="Online"),1,0)</f>
        <v>0</v>
      </c>
      <c r="W578">
        <f t="shared" si="62"/>
        <v>1</v>
      </c>
      <c r="X578" t="str" cm="1">
        <f t="array" ref="X578">_xlfn.IFS(W578&lt;=1,"Low",W578=2,"Medium",W578&gt;=3,"High")</f>
        <v>Low</v>
      </c>
    </row>
    <row r="579" spans="1:24" x14ac:dyDescent="0.3">
      <c r="A579" t="s">
        <v>1129</v>
      </c>
      <c r="B579" t="s">
        <v>1130</v>
      </c>
      <c r="C579" s="3">
        <v>46205</v>
      </c>
      <c r="D579" s="8" t="s">
        <v>1131</v>
      </c>
      <c r="E579" s="7" t="s">
        <v>129</v>
      </c>
      <c r="F579" s="7" t="s">
        <v>25</v>
      </c>
      <c r="G579" s="7" t="s">
        <v>250</v>
      </c>
      <c r="H579" s="4">
        <v>542.66</v>
      </c>
      <c r="I579" s="7" t="s">
        <v>32</v>
      </c>
      <c r="J579" s="7" t="s">
        <v>17</v>
      </c>
      <c r="L579" t="str">
        <f>PROPER(TRIM(SUBSTITUTE(_xlfn.XLOOKUP(B579,Cardholders_Reference!A:A,Cardholders_Reference!B:B),","," ")))</f>
        <v>Johan Zulu</v>
      </c>
      <c r="M579" s="5">
        <f>_xlfn.XLOOKUP(B579,Cardholders_Reference!A:A,Cardholders_Reference!G:G)</f>
        <v>40000</v>
      </c>
      <c r="N579" s="7" t="str">
        <f>_xlfn.XLOOKUP(B579,Cardholders_Reference!A:A,Cardholders_Reference!D:D)</f>
        <v>FNB</v>
      </c>
      <c r="O579" s="7" t="str">
        <f>_xlfn.XLOOKUP(B579,Cardholders_Reference!A:A,Cardholders_Reference!E:E)</f>
        <v>Visa</v>
      </c>
      <c r="P579" s="6">
        <f t="shared" ref="P579:P642" si="68">H579/M579</f>
        <v>1.3566499999999999E-2</v>
      </c>
      <c r="Q579">
        <f t="shared" si="63"/>
        <v>1</v>
      </c>
      <c r="R579">
        <f t="shared" si="64"/>
        <v>0</v>
      </c>
      <c r="S579">
        <f>IF(COUNTIFS($B$1:$B$738,B578,$C$1:$C$738,#REF!)&gt;2,1,0)</f>
        <v>0</v>
      </c>
      <c r="T579">
        <f t="shared" si="65"/>
        <v>0</v>
      </c>
      <c r="U579">
        <f t="shared" si="66"/>
        <v>0</v>
      </c>
      <c r="V579">
        <f t="shared" si="67"/>
        <v>0</v>
      </c>
      <c r="W579">
        <f t="shared" ref="W579:W642" si="69">SUM(Q579:V579)</f>
        <v>1</v>
      </c>
      <c r="X579" t="str" cm="1">
        <f t="array" ref="X579">_xlfn.IFS(W579&lt;=1,"Low",W579=2,"Medium",W579&gt;=3,"High")</f>
        <v>Low</v>
      </c>
    </row>
    <row r="580" spans="1:24" x14ac:dyDescent="0.3">
      <c r="A580" t="s">
        <v>1132</v>
      </c>
      <c r="B580" t="s">
        <v>1130</v>
      </c>
      <c r="C580" s="3">
        <v>46357</v>
      </c>
      <c r="D580" s="8" t="s">
        <v>552</v>
      </c>
      <c r="E580" s="7" t="s">
        <v>156</v>
      </c>
      <c r="F580" s="7" t="s">
        <v>36</v>
      </c>
      <c r="G580" s="7" t="s">
        <v>250</v>
      </c>
      <c r="H580" s="4">
        <v>588.70000000000005</v>
      </c>
      <c r="I580" s="7" t="s">
        <v>26</v>
      </c>
      <c r="J580" s="7" t="s">
        <v>17</v>
      </c>
      <c r="L580" t="str">
        <f>PROPER(TRIM(SUBSTITUTE(_xlfn.XLOOKUP(B580,Cardholders_Reference!A:A,Cardholders_Reference!B:B),","," ")))</f>
        <v>Johan Zulu</v>
      </c>
      <c r="M580" s="5">
        <f>_xlfn.XLOOKUP(B580,Cardholders_Reference!A:A,Cardholders_Reference!G:G)</f>
        <v>40000</v>
      </c>
      <c r="N580" s="7" t="str">
        <f>_xlfn.XLOOKUP(B580,Cardholders_Reference!A:A,Cardholders_Reference!D:D)</f>
        <v>FNB</v>
      </c>
      <c r="O580" s="7" t="str">
        <f>_xlfn.XLOOKUP(B580,Cardholders_Reference!A:A,Cardholders_Reference!E:E)</f>
        <v>Visa</v>
      </c>
      <c r="P580" s="6">
        <f t="shared" si="68"/>
        <v>1.4717500000000001E-2</v>
      </c>
      <c r="Q580">
        <f t="shared" si="63"/>
        <v>1</v>
      </c>
      <c r="R580">
        <f t="shared" si="64"/>
        <v>0</v>
      </c>
      <c r="S580">
        <f>IF(COUNTIFS($B$1:$B$738,B579,$C$1:$C$738,#REF!)&gt;2,1,0)</f>
        <v>0</v>
      </c>
      <c r="T580">
        <f t="shared" si="65"/>
        <v>0</v>
      </c>
      <c r="U580">
        <f t="shared" si="66"/>
        <v>0</v>
      </c>
      <c r="V580">
        <f t="shared" si="67"/>
        <v>1</v>
      </c>
      <c r="W580">
        <f t="shared" si="69"/>
        <v>2</v>
      </c>
      <c r="X580" t="str" cm="1">
        <f t="array" ref="X580">_xlfn.IFS(W580&lt;=1,"Low",W580=2,"Medium",W580&gt;=3,"High")</f>
        <v>Medium</v>
      </c>
    </row>
    <row r="581" spans="1:24" x14ac:dyDescent="0.3">
      <c r="A581" t="s">
        <v>1133</v>
      </c>
      <c r="B581" t="s">
        <v>1130</v>
      </c>
      <c r="C581" s="3">
        <v>46009</v>
      </c>
      <c r="D581" s="8" t="s">
        <v>1134</v>
      </c>
      <c r="E581" s="7" t="s">
        <v>126</v>
      </c>
      <c r="F581" s="7" t="s">
        <v>53</v>
      </c>
      <c r="G581" s="7" t="s">
        <v>192</v>
      </c>
      <c r="H581" s="4">
        <v>1654.22</v>
      </c>
      <c r="I581" s="7" t="s">
        <v>32</v>
      </c>
      <c r="J581" s="7" t="s">
        <v>17</v>
      </c>
      <c r="L581" t="str">
        <f>PROPER(TRIM(SUBSTITUTE(_xlfn.XLOOKUP(B581,Cardholders_Reference!A:A,Cardholders_Reference!B:B),","," ")))</f>
        <v>Johan Zulu</v>
      </c>
      <c r="M581" s="5">
        <f>_xlfn.XLOOKUP(B581,Cardholders_Reference!A:A,Cardholders_Reference!G:G)</f>
        <v>40000</v>
      </c>
      <c r="N581" s="7" t="str">
        <f>_xlfn.XLOOKUP(B581,Cardholders_Reference!A:A,Cardholders_Reference!D:D)</f>
        <v>FNB</v>
      </c>
      <c r="O581" s="7" t="str">
        <f>_xlfn.XLOOKUP(B581,Cardholders_Reference!A:A,Cardholders_Reference!E:E)</f>
        <v>Visa</v>
      </c>
      <c r="P581" s="6">
        <f t="shared" si="68"/>
        <v>4.1355500000000003E-2</v>
      </c>
      <c r="Q581">
        <f t="shared" si="63"/>
        <v>1</v>
      </c>
      <c r="R581">
        <f t="shared" si="64"/>
        <v>0</v>
      </c>
      <c r="S581">
        <f>IF(COUNTIFS($B$1:$B$738,B580,$C$1:$C$738,#REF!)&gt;2,1,0)</f>
        <v>0</v>
      </c>
      <c r="T581">
        <f t="shared" si="65"/>
        <v>0</v>
      </c>
      <c r="U581">
        <f t="shared" si="66"/>
        <v>0</v>
      </c>
      <c r="V581">
        <f t="shared" si="67"/>
        <v>0</v>
      </c>
      <c r="W581">
        <f t="shared" si="69"/>
        <v>1</v>
      </c>
      <c r="X581" t="str" cm="1">
        <f t="array" ref="X581">_xlfn.IFS(W581&lt;=1,"Low",W581=2,"Medium",W581&gt;=3,"High")</f>
        <v>Low</v>
      </c>
    </row>
    <row r="582" spans="1:24" x14ac:dyDescent="0.3">
      <c r="A582" t="s">
        <v>1135</v>
      </c>
      <c r="B582" t="s">
        <v>1130</v>
      </c>
      <c r="C582" s="3">
        <v>46166</v>
      </c>
      <c r="D582" s="8" t="s">
        <v>1136</v>
      </c>
      <c r="E582" s="7" t="s">
        <v>90</v>
      </c>
      <c r="F582" s="7" t="s">
        <v>91</v>
      </c>
      <c r="G582" s="7" t="s">
        <v>177</v>
      </c>
      <c r="H582" s="4">
        <v>3106.59</v>
      </c>
      <c r="I582" s="7" t="s">
        <v>95</v>
      </c>
      <c r="J582" s="7" t="s">
        <v>17</v>
      </c>
      <c r="L582" t="str">
        <f>PROPER(TRIM(SUBSTITUTE(_xlfn.XLOOKUP(B582,Cardholders_Reference!A:A,Cardholders_Reference!B:B),","," ")))</f>
        <v>Johan Zulu</v>
      </c>
      <c r="M582" s="5">
        <f>_xlfn.XLOOKUP(B582,Cardholders_Reference!A:A,Cardholders_Reference!G:G)</f>
        <v>40000</v>
      </c>
      <c r="N582" s="7" t="str">
        <f>_xlfn.XLOOKUP(B582,Cardholders_Reference!A:A,Cardholders_Reference!D:D)</f>
        <v>FNB</v>
      </c>
      <c r="O582" s="7" t="str">
        <f>_xlfn.XLOOKUP(B582,Cardholders_Reference!A:A,Cardholders_Reference!E:E)</f>
        <v>Visa</v>
      </c>
      <c r="P582" s="6">
        <f t="shared" si="68"/>
        <v>7.7664750000000005E-2</v>
      </c>
      <c r="Q582">
        <f t="shared" si="63"/>
        <v>1</v>
      </c>
      <c r="R582">
        <f t="shared" si="64"/>
        <v>0</v>
      </c>
      <c r="S582">
        <f>IF(COUNTIFS($B$1:$B$738,B581,$C$1:$C$738,#REF!)&gt;2,1,0)</f>
        <v>0</v>
      </c>
      <c r="T582">
        <f t="shared" si="65"/>
        <v>0</v>
      </c>
      <c r="U582">
        <f t="shared" si="66"/>
        <v>0</v>
      </c>
      <c r="V582">
        <f t="shared" si="67"/>
        <v>1</v>
      </c>
      <c r="W582">
        <f t="shared" si="69"/>
        <v>2</v>
      </c>
      <c r="X582" t="str" cm="1">
        <f t="array" ref="X582">_xlfn.IFS(W582&lt;=1,"Low",W582=2,"Medium",W582&gt;=3,"High")</f>
        <v>Medium</v>
      </c>
    </row>
    <row r="583" spans="1:24" x14ac:dyDescent="0.3">
      <c r="A583" t="s">
        <v>1137</v>
      </c>
      <c r="B583" t="s">
        <v>1130</v>
      </c>
      <c r="C583" s="3">
        <v>45772</v>
      </c>
      <c r="D583" s="8" t="s">
        <v>1138</v>
      </c>
      <c r="E583" s="7" t="s">
        <v>156</v>
      </c>
      <c r="F583" s="7" t="s">
        <v>36</v>
      </c>
      <c r="G583" s="7" t="s">
        <v>177</v>
      </c>
      <c r="H583" s="4">
        <v>626.89</v>
      </c>
      <c r="I583" s="7" t="s">
        <v>32</v>
      </c>
      <c r="J583" s="7" t="s">
        <v>17</v>
      </c>
      <c r="L583" t="str">
        <f>PROPER(TRIM(SUBSTITUTE(_xlfn.XLOOKUP(B583,Cardholders_Reference!A:A,Cardholders_Reference!B:B),","," ")))</f>
        <v>Johan Zulu</v>
      </c>
      <c r="M583" s="5">
        <f>_xlfn.XLOOKUP(B583,Cardholders_Reference!A:A,Cardholders_Reference!G:G)</f>
        <v>40000</v>
      </c>
      <c r="N583" s="7" t="str">
        <f>_xlfn.XLOOKUP(B583,Cardholders_Reference!A:A,Cardholders_Reference!D:D)</f>
        <v>FNB</v>
      </c>
      <c r="O583" s="7" t="str">
        <f>_xlfn.XLOOKUP(B583,Cardholders_Reference!A:A,Cardholders_Reference!E:E)</f>
        <v>Visa</v>
      </c>
      <c r="P583" s="6">
        <f t="shared" si="68"/>
        <v>1.5672249999999999E-2</v>
      </c>
      <c r="Q583">
        <f t="shared" si="63"/>
        <v>1</v>
      </c>
      <c r="R583">
        <f t="shared" si="64"/>
        <v>0</v>
      </c>
      <c r="S583">
        <f>IF(COUNTIFS($B$1:$B$738,B582,$C$1:$C$738,#REF!)&gt;2,1,0)</f>
        <v>0</v>
      </c>
      <c r="T583">
        <f t="shared" si="65"/>
        <v>0</v>
      </c>
      <c r="U583">
        <f t="shared" si="66"/>
        <v>0</v>
      </c>
      <c r="V583">
        <f t="shared" si="67"/>
        <v>0</v>
      </c>
      <c r="W583">
        <f t="shared" si="69"/>
        <v>1</v>
      </c>
      <c r="X583" t="str" cm="1">
        <f t="array" ref="X583">_xlfn.IFS(W583&lt;=1,"Low",W583=2,"Medium",W583&gt;=3,"High")</f>
        <v>Low</v>
      </c>
    </row>
    <row r="584" spans="1:24" x14ac:dyDescent="0.3">
      <c r="A584" t="s">
        <v>1139</v>
      </c>
      <c r="B584" t="s">
        <v>1130</v>
      </c>
      <c r="C584" s="3">
        <v>45674</v>
      </c>
      <c r="D584" s="8" t="s">
        <v>1140</v>
      </c>
      <c r="E584" s="7" t="s">
        <v>94</v>
      </c>
      <c r="F584" s="7" t="s">
        <v>53</v>
      </c>
      <c r="G584" s="7" t="s">
        <v>192</v>
      </c>
      <c r="H584" s="4">
        <v>1793.31</v>
      </c>
      <c r="I584" s="7" t="s">
        <v>95</v>
      </c>
      <c r="J584" s="7" t="s">
        <v>17</v>
      </c>
      <c r="L584" t="str">
        <f>PROPER(TRIM(SUBSTITUTE(_xlfn.XLOOKUP(B584,Cardholders_Reference!A:A,Cardholders_Reference!B:B),","," ")))</f>
        <v>Johan Zulu</v>
      </c>
      <c r="M584" s="5">
        <f>_xlfn.XLOOKUP(B584,Cardholders_Reference!A:A,Cardholders_Reference!G:G)</f>
        <v>40000</v>
      </c>
      <c r="N584" s="7" t="str">
        <f>_xlfn.XLOOKUP(B584,Cardholders_Reference!A:A,Cardholders_Reference!D:D)</f>
        <v>FNB</v>
      </c>
      <c r="O584" s="7" t="str">
        <f>_xlfn.XLOOKUP(B584,Cardholders_Reference!A:A,Cardholders_Reference!E:E)</f>
        <v>Visa</v>
      </c>
      <c r="P584" s="6">
        <f t="shared" si="68"/>
        <v>4.4832749999999998E-2</v>
      </c>
      <c r="Q584">
        <f t="shared" si="63"/>
        <v>1</v>
      </c>
      <c r="R584">
        <f t="shared" si="64"/>
        <v>0</v>
      </c>
      <c r="S584">
        <f>IF(COUNTIFS($B$1:$B$738,B583,$C$1:$C$738,#REF!)&gt;2,1,0)</f>
        <v>0</v>
      </c>
      <c r="T584">
        <f t="shared" si="65"/>
        <v>0</v>
      </c>
      <c r="U584">
        <f t="shared" si="66"/>
        <v>0</v>
      </c>
      <c r="V584">
        <f t="shared" si="67"/>
        <v>1</v>
      </c>
      <c r="W584">
        <f t="shared" si="69"/>
        <v>2</v>
      </c>
      <c r="X584" t="str" cm="1">
        <f t="array" ref="X584">_xlfn.IFS(W584&lt;=1,"Low",W584=2,"Medium",W584&gt;=3,"High")</f>
        <v>Medium</v>
      </c>
    </row>
    <row r="585" spans="1:24" x14ac:dyDescent="0.3">
      <c r="A585" t="s">
        <v>1141</v>
      </c>
      <c r="B585" t="s">
        <v>1130</v>
      </c>
      <c r="C585" s="3">
        <v>45981</v>
      </c>
      <c r="D585" s="8" t="s">
        <v>295</v>
      </c>
      <c r="E585" s="7" t="s">
        <v>156</v>
      </c>
      <c r="F585" s="7" t="s">
        <v>36</v>
      </c>
      <c r="G585" s="7" t="s">
        <v>49</v>
      </c>
      <c r="H585" s="4">
        <v>518.53</v>
      </c>
      <c r="I585" s="7" t="s">
        <v>95</v>
      </c>
      <c r="J585" s="7" t="s">
        <v>17</v>
      </c>
      <c r="L585" t="str">
        <f>PROPER(TRIM(SUBSTITUTE(_xlfn.XLOOKUP(B585,Cardholders_Reference!A:A,Cardholders_Reference!B:B),","," ")))</f>
        <v>Johan Zulu</v>
      </c>
      <c r="M585" s="5">
        <f>_xlfn.XLOOKUP(B585,Cardholders_Reference!A:A,Cardholders_Reference!G:G)</f>
        <v>40000</v>
      </c>
      <c r="N585" s="7" t="str">
        <f>_xlfn.XLOOKUP(B585,Cardholders_Reference!A:A,Cardholders_Reference!D:D)</f>
        <v>FNB</v>
      </c>
      <c r="O585" s="7" t="str">
        <f>_xlfn.XLOOKUP(B585,Cardholders_Reference!A:A,Cardholders_Reference!E:E)</f>
        <v>Visa</v>
      </c>
      <c r="P585" s="6">
        <f t="shared" si="68"/>
        <v>1.2963249999999999E-2</v>
      </c>
      <c r="Q585">
        <f t="shared" si="63"/>
        <v>1</v>
      </c>
      <c r="R585">
        <f t="shared" si="64"/>
        <v>0</v>
      </c>
      <c r="S585">
        <f>IF(COUNTIFS($B$1:$B$738,B584,$C$1:$C$738,#REF!)&gt;2,1,0)</f>
        <v>0</v>
      </c>
      <c r="T585">
        <f t="shared" si="65"/>
        <v>0</v>
      </c>
      <c r="U585">
        <f t="shared" si="66"/>
        <v>0</v>
      </c>
      <c r="V585">
        <f t="shared" si="67"/>
        <v>1</v>
      </c>
      <c r="W585">
        <f t="shared" si="69"/>
        <v>2</v>
      </c>
      <c r="X585" t="str" cm="1">
        <f t="array" ref="X585">_xlfn.IFS(W585&lt;=1,"Low",W585=2,"Medium",W585&gt;=3,"High")</f>
        <v>Medium</v>
      </c>
    </row>
    <row r="586" spans="1:24" x14ac:dyDescent="0.3">
      <c r="A586" t="s">
        <v>1142</v>
      </c>
      <c r="B586" t="s">
        <v>1130</v>
      </c>
      <c r="C586" s="3">
        <v>46126</v>
      </c>
      <c r="D586" s="8" t="s">
        <v>1143</v>
      </c>
      <c r="E586" s="7" t="s">
        <v>97</v>
      </c>
      <c r="F586" s="7" t="s">
        <v>53</v>
      </c>
      <c r="G586" s="7" t="s">
        <v>177</v>
      </c>
      <c r="H586" s="4">
        <v>1497.37</v>
      </c>
      <c r="I586" s="7" t="s">
        <v>32</v>
      </c>
      <c r="J586" s="7" t="s">
        <v>17</v>
      </c>
      <c r="L586" t="str">
        <f>PROPER(TRIM(SUBSTITUTE(_xlfn.XLOOKUP(B586,Cardholders_Reference!A:A,Cardholders_Reference!B:B),","," ")))</f>
        <v>Johan Zulu</v>
      </c>
      <c r="M586" s="5">
        <f>_xlfn.XLOOKUP(B586,Cardholders_Reference!A:A,Cardholders_Reference!G:G)</f>
        <v>40000</v>
      </c>
      <c r="N586" s="7" t="str">
        <f>_xlfn.XLOOKUP(B586,Cardholders_Reference!A:A,Cardholders_Reference!D:D)</f>
        <v>FNB</v>
      </c>
      <c r="O586" s="7" t="str">
        <f>_xlfn.XLOOKUP(B586,Cardholders_Reference!A:A,Cardholders_Reference!E:E)</f>
        <v>Visa</v>
      </c>
      <c r="P586" s="6">
        <f t="shared" si="68"/>
        <v>3.7434249999999995E-2</v>
      </c>
      <c r="Q586">
        <f t="shared" si="63"/>
        <v>1</v>
      </c>
      <c r="R586">
        <f t="shared" si="64"/>
        <v>0</v>
      </c>
      <c r="S586">
        <f>IF(COUNTIFS($B$1:$B$738,B585,$C$1:$C$738,#REF!)&gt;2,1,0)</f>
        <v>0</v>
      </c>
      <c r="T586">
        <f t="shared" si="65"/>
        <v>0</v>
      </c>
      <c r="U586">
        <f t="shared" si="66"/>
        <v>0</v>
      </c>
      <c r="V586">
        <f t="shared" si="67"/>
        <v>0</v>
      </c>
      <c r="W586">
        <f t="shared" si="69"/>
        <v>1</v>
      </c>
      <c r="X586" t="str" cm="1">
        <f t="array" ref="X586">_xlfn.IFS(W586&lt;=1,"Low",W586=2,"Medium",W586&gt;=3,"High")</f>
        <v>Low</v>
      </c>
    </row>
    <row r="587" spans="1:24" x14ac:dyDescent="0.3">
      <c r="A587" t="s">
        <v>1144</v>
      </c>
      <c r="B587" t="s">
        <v>1145</v>
      </c>
      <c r="C587" s="3">
        <v>46176</v>
      </c>
      <c r="D587" s="8" t="s">
        <v>1146</v>
      </c>
      <c r="E587" s="7" t="s">
        <v>377</v>
      </c>
      <c r="F587" s="7" t="s">
        <v>74</v>
      </c>
      <c r="G587" s="7" t="s">
        <v>22</v>
      </c>
      <c r="H587" s="4">
        <v>361.48</v>
      </c>
      <c r="I587" s="7" t="s">
        <v>26</v>
      </c>
      <c r="J587" s="7" t="s">
        <v>17</v>
      </c>
      <c r="L587" t="str">
        <f>PROPER(TRIM(SUBSTITUTE(_xlfn.XLOOKUP(B587,Cardholders_Reference!A:A,Cardholders_Reference!B:B),","," ")))</f>
        <v>Mariam Dlamini</v>
      </c>
      <c r="M587" s="5">
        <f>_xlfn.XLOOKUP(B587,Cardholders_Reference!A:A,Cardholders_Reference!G:G)</f>
        <v>20000</v>
      </c>
      <c r="N587" s="7" t="str">
        <f>_xlfn.XLOOKUP(B587,Cardholders_Reference!A:A,Cardholders_Reference!D:D)</f>
        <v>Capitec</v>
      </c>
      <c r="O587" s="7" t="str">
        <f>_xlfn.XLOOKUP(B587,Cardholders_Reference!A:A,Cardholders_Reference!E:E)</f>
        <v>Visa</v>
      </c>
      <c r="P587" s="6">
        <f t="shared" si="68"/>
        <v>1.8074E-2</v>
      </c>
      <c r="Q587">
        <f t="shared" si="63"/>
        <v>1</v>
      </c>
      <c r="R587">
        <f t="shared" si="64"/>
        <v>0</v>
      </c>
      <c r="S587">
        <f>IF(COUNTIFS($B$1:$B$738,B586,$C$1:$C$738,#REF!)&gt;2,1,0)</f>
        <v>0</v>
      </c>
      <c r="T587">
        <f t="shared" si="65"/>
        <v>0</v>
      </c>
      <c r="U587">
        <f t="shared" si="66"/>
        <v>0</v>
      </c>
      <c r="V587">
        <f t="shared" si="67"/>
        <v>1</v>
      </c>
      <c r="W587">
        <f t="shared" si="69"/>
        <v>2</v>
      </c>
      <c r="X587" t="str" cm="1">
        <f t="array" ref="X587">_xlfn.IFS(W587&lt;=1,"Low",W587=2,"Medium",W587&gt;=3,"High")</f>
        <v>Medium</v>
      </c>
    </row>
    <row r="588" spans="1:24" x14ac:dyDescent="0.3">
      <c r="A588" t="s">
        <v>1147</v>
      </c>
      <c r="B588" t="s">
        <v>1145</v>
      </c>
      <c r="C588" s="3">
        <v>46694</v>
      </c>
      <c r="D588" s="8" t="s">
        <v>1148</v>
      </c>
      <c r="E588" s="7" t="s">
        <v>44</v>
      </c>
      <c r="F588" s="7" t="s">
        <v>25</v>
      </c>
      <c r="G588" s="7" t="s">
        <v>22</v>
      </c>
      <c r="H588" s="4">
        <v>950.04</v>
      </c>
      <c r="I588" s="7" t="s">
        <v>16</v>
      </c>
      <c r="J588" s="7" t="s">
        <v>17</v>
      </c>
      <c r="L588" t="str">
        <f>PROPER(TRIM(SUBSTITUTE(_xlfn.XLOOKUP(B588,Cardholders_Reference!A:A,Cardholders_Reference!B:B),","," ")))</f>
        <v>Mariam Dlamini</v>
      </c>
      <c r="M588" s="5">
        <f>_xlfn.XLOOKUP(B588,Cardholders_Reference!A:A,Cardholders_Reference!G:G)</f>
        <v>20000</v>
      </c>
      <c r="N588" s="7" t="str">
        <f>_xlfn.XLOOKUP(B588,Cardholders_Reference!A:A,Cardholders_Reference!D:D)</f>
        <v>Capitec</v>
      </c>
      <c r="O588" s="7" t="str">
        <f>_xlfn.XLOOKUP(B588,Cardholders_Reference!A:A,Cardholders_Reference!E:E)</f>
        <v>Visa</v>
      </c>
      <c r="P588" s="6">
        <f t="shared" si="68"/>
        <v>4.7501999999999996E-2</v>
      </c>
      <c r="Q588">
        <f t="shared" si="63"/>
        <v>0</v>
      </c>
      <c r="R588">
        <f t="shared" si="64"/>
        <v>0</v>
      </c>
      <c r="S588">
        <f>IF(COUNTIFS($B$1:$B$738,B587,$C$1:$C$738,#REF!)&gt;2,1,0)</f>
        <v>0</v>
      </c>
      <c r="T588">
        <f t="shared" si="65"/>
        <v>0</v>
      </c>
      <c r="U588">
        <f t="shared" si="66"/>
        <v>0</v>
      </c>
      <c r="V588">
        <f t="shared" si="67"/>
        <v>0</v>
      </c>
      <c r="W588">
        <f t="shared" si="69"/>
        <v>0</v>
      </c>
      <c r="X588" t="str" cm="1">
        <f t="array" ref="X588">_xlfn.IFS(W588&lt;=1,"Low",W588=2,"Medium",W588&gt;=3,"High")</f>
        <v>Low</v>
      </c>
    </row>
    <row r="589" spans="1:24" x14ac:dyDescent="0.3">
      <c r="A589" t="s">
        <v>1149</v>
      </c>
      <c r="B589" t="s">
        <v>1145</v>
      </c>
      <c r="C589" s="3">
        <v>45695</v>
      </c>
      <c r="D589" s="8" t="s">
        <v>838</v>
      </c>
      <c r="E589" s="7" t="s">
        <v>90</v>
      </c>
      <c r="F589" s="7" t="s">
        <v>91</v>
      </c>
      <c r="G589" s="7" t="s">
        <v>22</v>
      </c>
      <c r="H589" s="4">
        <v>3358.36</v>
      </c>
      <c r="I589" s="7" t="s">
        <v>32</v>
      </c>
      <c r="J589" s="7" t="s">
        <v>17</v>
      </c>
      <c r="L589" t="str">
        <f>PROPER(TRIM(SUBSTITUTE(_xlfn.XLOOKUP(B589,Cardholders_Reference!A:A,Cardholders_Reference!B:B),","," ")))</f>
        <v>Mariam Dlamini</v>
      </c>
      <c r="M589" s="5">
        <f>_xlfn.XLOOKUP(B589,Cardholders_Reference!A:A,Cardholders_Reference!G:G)</f>
        <v>20000</v>
      </c>
      <c r="N589" s="7" t="str">
        <f>_xlfn.XLOOKUP(B589,Cardholders_Reference!A:A,Cardholders_Reference!D:D)</f>
        <v>Capitec</v>
      </c>
      <c r="O589" s="7" t="str">
        <f>_xlfn.XLOOKUP(B589,Cardholders_Reference!A:A,Cardholders_Reference!E:E)</f>
        <v>Visa</v>
      </c>
      <c r="P589" s="6">
        <f t="shared" si="68"/>
        <v>0.16791800000000001</v>
      </c>
      <c r="Q589">
        <f t="shared" si="63"/>
        <v>0</v>
      </c>
      <c r="R589">
        <f t="shared" si="64"/>
        <v>0</v>
      </c>
      <c r="S589">
        <f>IF(COUNTIFS($B$1:$B$738,B588,$C$1:$C$738,#REF!)&gt;2,1,0)</f>
        <v>0</v>
      </c>
      <c r="T589">
        <f t="shared" si="65"/>
        <v>0</v>
      </c>
      <c r="U589">
        <f t="shared" si="66"/>
        <v>0</v>
      </c>
      <c r="V589">
        <f t="shared" si="67"/>
        <v>0</v>
      </c>
      <c r="W589">
        <f t="shared" si="69"/>
        <v>0</v>
      </c>
      <c r="X589" t="str" cm="1">
        <f t="array" ref="X589">_xlfn.IFS(W589&lt;=1,"Low",W589=2,"Medium",W589&gt;=3,"High")</f>
        <v>Low</v>
      </c>
    </row>
    <row r="590" spans="1:24" x14ac:dyDescent="0.3">
      <c r="A590" t="s">
        <v>1150</v>
      </c>
      <c r="B590" t="s">
        <v>1145</v>
      </c>
      <c r="C590" s="3">
        <v>45780</v>
      </c>
      <c r="D590" s="8" t="s">
        <v>1097</v>
      </c>
      <c r="E590" s="7" t="s">
        <v>52</v>
      </c>
      <c r="F590" s="7" t="s">
        <v>53</v>
      </c>
      <c r="G590" s="7" t="s">
        <v>22</v>
      </c>
      <c r="H590" s="4">
        <v>521.37</v>
      </c>
      <c r="I590" s="7" t="s">
        <v>95</v>
      </c>
      <c r="J590" s="7" t="s">
        <v>17</v>
      </c>
      <c r="L590" t="str">
        <f>PROPER(TRIM(SUBSTITUTE(_xlfn.XLOOKUP(B590,Cardholders_Reference!A:A,Cardholders_Reference!B:B),","," ")))</f>
        <v>Mariam Dlamini</v>
      </c>
      <c r="M590" s="5">
        <f>_xlfn.XLOOKUP(B590,Cardholders_Reference!A:A,Cardholders_Reference!G:G)</f>
        <v>20000</v>
      </c>
      <c r="N590" s="7" t="str">
        <f>_xlfn.XLOOKUP(B590,Cardholders_Reference!A:A,Cardholders_Reference!D:D)</f>
        <v>Capitec</v>
      </c>
      <c r="O590" s="7" t="str">
        <f>_xlfn.XLOOKUP(B590,Cardholders_Reference!A:A,Cardholders_Reference!E:E)</f>
        <v>Visa</v>
      </c>
      <c r="P590" s="6">
        <f t="shared" si="68"/>
        <v>2.6068500000000001E-2</v>
      </c>
      <c r="Q590">
        <f t="shared" si="63"/>
        <v>0</v>
      </c>
      <c r="R590">
        <f t="shared" si="64"/>
        <v>0</v>
      </c>
      <c r="S590">
        <f>IF(COUNTIFS($B$1:$B$738,B589,$C$1:$C$738,#REF!)&gt;2,1,0)</f>
        <v>0</v>
      </c>
      <c r="T590">
        <f t="shared" si="65"/>
        <v>0</v>
      </c>
      <c r="U590">
        <f t="shared" si="66"/>
        <v>0</v>
      </c>
      <c r="V590">
        <f t="shared" si="67"/>
        <v>1</v>
      </c>
      <c r="W590">
        <f t="shared" si="69"/>
        <v>1</v>
      </c>
      <c r="X590" t="str" cm="1">
        <f t="array" ref="X590">_xlfn.IFS(W590&lt;=1,"Low",W590=2,"Medium",W590&gt;=3,"High")</f>
        <v>Low</v>
      </c>
    </row>
    <row r="591" spans="1:24" x14ac:dyDescent="0.3">
      <c r="A591" t="s">
        <v>1151</v>
      </c>
      <c r="B591" t="s">
        <v>1145</v>
      </c>
      <c r="C591" s="3">
        <v>46694</v>
      </c>
      <c r="D591" s="8" t="s">
        <v>1152</v>
      </c>
      <c r="E591" s="7" t="s">
        <v>97</v>
      </c>
      <c r="F591" s="7" t="s">
        <v>53</v>
      </c>
      <c r="G591" s="7" t="s">
        <v>22</v>
      </c>
      <c r="H591" s="4">
        <v>1262.01</v>
      </c>
      <c r="I591" s="7" t="s">
        <v>95</v>
      </c>
      <c r="J591" s="7" t="s">
        <v>17</v>
      </c>
      <c r="L591" t="str">
        <f>PROPER(TRIM(SUBSTITUTE(_xlfn.XLOOKUP(B591,Cardholders_Reference!A:A,Cardholders_Reference!B:B),","," ")))</f>
        <v>Mariam Dlamini</v>
      </c>
      <c r="M591" s="5">
        <f>_xlfn.XLOOKUP(B591,Cardholders_Reference!A:A,Cardholders_Reference!G:G)</f>
        <v>20000</v>
      </c>
      <c r="N591" s="7" t="str">
        <f>_xlfn.XLOOKUP(B591,Cardholders_Reference!A:A,Cardholders_Reference!D:D)</f>
        <v>Capitec</v>
      </c>
      <c r="O591" s="7" t="str">
        <f>_xlfn.XLOOKUP(B591,Cardholders_Reference!A:A,Cardholders_Reference!E:E)</f>
        <v>Visa</v>
      </c>
      <c r="P591" s="6">
        <f t="shared" si="68"/>
        <v>6.3100500000000004E-2</v>
      </c>
      <c r="Q591">
        <f t="shared" si="63"/>
        <v>0</v>
      </c>
      <c r="R591">
        <f t="shared" si="64"/>
        <v>0</v>
      </c>
      <c r="S591">
        <f>IF(COUNTIFS($B$1:$B$738,B590,$C$1:$C$738,#REF!)&gt;2,1,0)</f>
        <v>0</v>
      </c>
      <c r="T591">
        <f t="shared" si="65"/>
        <v>0</v>
      </c>
      <c r="U591">
        <f t="shared" si="66"/>
        <v>0</v>
      </c>
      <c r="V591">
        <f t="shared" si="67"/>
        <v>1</v>
      </c>
      <c r="W591">
        <f t="shared" si="69"/>
        <v>1</v>
      </c>
      <c r="X591" t="str" cm="1">
        <f t="array" ref="X591">_xlfn.IFS(W591&lt;=1,"Low",W591=2,"Medium",W591&gt;=3,"High")</f>
        <v>Low</v>
      </c>
    </row>
    <row r="592" spans="1:24" x14ac:dyDescent="0.3">
      <c r="A592" t="s">
        <v>1153</v>
      </c>
      <c r="B592" t="s">
        <v>1145</v>
      </c>
      <c r="C592" s="3">
        <v>45707</v>
      </c>
      <c r="D592" s="8" t="s">
        <v>1154</v>
      </c>
      <c r="E592" s="7" t="s">
        <v>156</v>
      </c>
      <c r="F592" s="7" t="s">
        <v>36</v>
      </c>
      <c r="G592" s="7" t="s">
        <v>22</v>
      </c>
      <c r="H592" s="4">
        <v>273.06</v>
      </c>
      <c r="I592" s="7" t="s">
        <v>32</v>
      </c>
      <c r="J592" s="7" t="s">
        <v>17</v>
      </c>
      <c r="L592" t="str">
        <f>PROPER(TRIM(SUBSTITUTE(_xlfn.XLOOKUP(B592,Cardholders_Reference!A:A,Cardholders_Reference!B:B),","," ")))</f>
        <v>Mariam Dlamini</v>
      </c>
      <c r="M592" s="5">
        <f>_xlfn.XLOOKUP(B592,Cardholders_Reference!A:A,Cardholders_Reference!G:G)</f>
        <v>20000</v>
      </c>
      <c r="N592" s="7" t="str">
        <f>_xlfn.XLOOKUP(B592,Cardholders_Reference!A:A,Cardholders_Reference!D:D)</f>
        <v>Capitec</v>
      </c>
      <c r="O592" s="7" t="str">
        <f>_xlfn.XLOOKUP(B592,Cardholders_Reference!A:A,Cardholders_Reference!E:E)</f>
        <v>Visa</v>
      </c>
      <c r="P592" s="6">
        <f t="shared" si="68"/>
        <v>1.3653E-2</v>
      </c>
      <c r="Q592">
        <f t="shared" si="63"/>
        <v>0</v>
      </c>
      <c r="R592">
        <f t="shared" si="64"/>
        <v>0</v>
      </c>
      <c r="S592">
        <f>IF(COUNTIFS($B$1:$B$738,B591,$C$1:$C$738,#REF!)&gt;2,1,0)</f>
        <v>0</v>
      </c>
      <c r="T592">
        <f t="shared" si="65"/>
        <v>0</v>
      </c>
      <c r="U592">
        <f t="shared" si="66"/>
        <v>0</v>
      </c>
      <c r="V592">
        <f t="shared" si="67"/>
        <v>0</v>
      </c>
      <c r="W592">
        <f t="shared" si="69"/>
        <v>0</v>
      </c>
      <c r="X592" t="str" cm="1">
        <f t="array" ref="X592">_xlfn.IFS(W592&lt;=1,"Low",W592=2,"Medium",W592&gt;=3,"High")</f>
        <v>Low</v>
      </c>
    </row>
    <row r="593" spans="1:24" x14ac:dyDescent="0.3">
      <c r="A593" t="s">
        <v>1155</v>
      </c>
      <c r="B593" t="s">
        <v>1145</v>
      </c>
      <c r="C593" s="3">
        <v>45940</v>
      </c>
      <c r="D593" s="8" t="s">
        <v>1156</v>
      </c>
      <c r="E593" s="7" t="s">
        <v>121</v>
      </c>
      <c r="F593" s="7" t="s">
        <v>36</v>
      </c>
      <c r="G593" s="7" t="s">
        <v>22</v>
      </c>
      <c r="H593" s="4">
        <v>319.39999999999998</v>
      </c>
      <c r="I593" s="7" t="s">
        <v>26</v>
      </c>
      <c r="J593" s="7" t="s">
        <v>17</v>
      </c>
      <c r="L593" t="str">
        <f>PROPER(TRIM(SUBSTITUTE(_xlfn.XLOOKUP(B593,Cardholders_Reference!A:A,Cardholders_Reference!B:B),","," ")))</f>
        <v>Mariam Dlamini</v>
      </c>
      <c r="M593" s="5">
        <f>_xlfn.XLOOKUP(B593,Cardholders_Reference!A:A,Cardholders_Reference!G:G)</f>
        <v>20000</v>
      </c>
      <c r="N593" s="7" t="str">
        <f>_xlfn.XLOOKUP(B593,Cardholders_Reference!A:A,Cardholders_Reference!D:D)</f>
        <v>Capitec</v>
      </c>
      <c r="O593" s="7" t="str">
        <f>_xlfn.XLOOKUP(B593,Cardholders_Reference!A:A,Cardholders_Reference!E:E)</f>
        <v>Visa</v>
      </c>
      <c r="P593" s="6">
        <f t="shared" si="68"/>
        <v>1.5969999999999998E-2</v>
      </c>
      <c r="Q593">
        <f t="shared" si="63"/>
        <v>0</v>
      </c>
      <c r="R593">
        <f t="shared" si="64"/>
        <v>0</v>
      </c>
      <c r="S593">
        <f>IF(COUNTIFS($B$1:$B$738,B592,$C$1:$C$738,#REF!)&gt;2,1,0)</f>
        <v>0</v>
      </c>
      <c r="T593">
        <f t="shared" si="65"/>
        <v>0</v>
      </c>
      <c r="U593">
        <f t="shared" si="66"/>
        <v>0</v>
      </c>
      <c r="V593">
        <f t="shared" si="67"/>
        <v>1</v>
      </c>
      <c r="W593">
        <f t="shared" si="69"/>
        <v>1</v>
      </c>
      <c r="X593" t="str" cm="1">
        <f t="array" ref="X593">_xlfn.IFS(W593&lt;=1,"Low",W593=2,"Medium",W593&gt;=3,"High")</f>
        <v>Low</v>
      </c>
    </row>
    <row r="594" spans="1:24" x14ac:dyDescent="0.3">
      <c r="A594" t="s">
        <v>1157</v>
      </c>
      <c r="B594" t="s">
        <v>1145</v>
      </c>
      <c r="C594" s="3">
        <v>45841</v>
      </c>
      <c r="D594" s="8" t="s">
        <v>1158</v>
      </c>
      <c r="E594" s="7" t="s">
        <v>220</v>
      </c>
      <c r="F594" s="7" t="s">
        <v>91</v>
      </c>
      <c r="G594" s="7" t="s">
        <v>177</v>
      </c>
      <c r="H594" s="4">
        <v>2118.94</v>
      </c>
      <c r="I594" s="7" t="s">
        <v>16</v>
      </c>
      <c r="J594" s="7" t="s">
        <v>17</v>
      </c>
      <c r="L594" t="str">
        <f>PROPER(TRIM(SUBSTITUTE(_xlfn.XLOOKUP(B594,Cardholders_Reference!A:A,Cardholders_Reference!B:B),","," ")))</f>
        <v>Mariam Dlamini</v>
      </c>
      <c r="M594" s="5">
        <f>_xlfn.XLOOKUP(B594,Cardholders_Reference!A:A,Cardholders_Reference!G:G)</f>
        <v>20000</v>
      </c>
      <c r="N594" s="7" t="str">
        <f>_xlfn.XLOOKUP(B594,Cardholders_Reference!A:A,Cardholders_Reference!D:D)</f>
        <v>Capitec</v>
      </c>
      <c r="O594" s="7" t="str">
        <f>_xlfn.XLOOKUP(B594,Cardholders_Reference!A:A,Cardholders_Reference!E:E)</f>
        <v>Visa</v>
      </c>
      <c r="P594" s="6">
        <f t="shared" si="68"/>
        <v>0.105947</v>
      </c>
      <c r="Q594">
        <f t="shared" si="63"/>
        <v>0</v>
      </c>
      <c r="R594">
        <f t="shared" si="64"/>
        <v>0</v>
      </c>
      <c r="S594">
        <f>IF(COUNTIFS($B$1:$B$738,B593,$C$1:$C$738,#REF!)&gt;2,1,0)</f>
        <v>0</v>
      </c>
      <c r="T594">
        <f t="shared" si="65"/>
        <v>0</v>
      </c>
      <c r="U594">
        <f t="shared" si="66"/>
        <v>0</v>
      </c>
      <c r="V594">
        <f t="shared" si="67"/>
        <v>0</v>
      </c>
      <c r="W594">
        <f t="shared" si="69"/>
        <v>0</v>
      </c>
      <c r="X594" t="str" cm="1">
        <f t="array" ref="X594">_xlfn.IFS(W594&lt;=1,"Low",W594=2,"Medium",W594&gt;=3,"High")</f>
        <v>Low</v>
      </c>
    </row>
    <row r="595" spans="1:24" x14ac:dyDescent="0.3">
      <c r="A595" t="s">
        <v>1159</v>
      </c>
      <c r="B595" t="s">
        <v>1145</v>
      </c>
      <c r="C595" s="3">
        <v>45727</v>
      </c>
      <c r="D595" s="8" t="s">
        <v>596</v>
      </c>
      <c r="E595" s="7" t="s">
        <v>44</v>
      </c>
      <c r="F595" s="7" t="s">
        <v>25</v>
      </c>
      <c r="G595" s="7" t="s">
        <v>22</v>
      </c>
      <c r="H595" s="4">
        <v>575.30999999999995</v>
      </c>
      <c r="I595" s="7" t="s">
        <v>26</v>
      </c>
      <c r="J595" s="7" t="s">
        <v>17</v>
      </c>
      <c r="L595" t="str">
        <f>PROPER(TRIM(SUBSTITUTE(_xlfn.XLOOKUP(B595,Cardholders_Reference!A:A,Cardholders_Reference!B:B),","," ")))</f>
        <v>Mariam Dlamini</v>
      </c>
      <c r="M595" s="5">
        <f>_xlfn.XLOOKUP(B595,Cardholders_Reference!A:A,Cardholders_Reference!G:G)</f>
        <v>20000</v>
      </c>
      <c r="N595" s="7" t="str">
        <f>_xlfn.XLOOKUP(B595,Cardholders_Reference!A:A,Cardholders_Reference!D:D)</f>
        <v>Capitec</v>
      </c>
      <c r="O595" s="7" t="str">
        <f>_xlfn.XLOOKUP(B595,Cardholders_Reference!A:A,Cardholders_Reference!E:E)</f>
        <v>Visa</v>
      </c>
      <c r="P595" s="6">
        <f t="shared" si="68"/>
        <v>2.8765499999999996E-2</v>
      </c>
      <c r="Q595">
        <f t="shared" si="63"/>
        <v>1</v>
      </c>
      <c r="R595">
        <f t="shared" si="64"/>
        <v>0</v>
      </c>
      <c r="S595">
        <f>IF(COUNTIFS($B$1:$B$738,B594,$C$1:$C$738,#REF!)&gt;2,1,0)</f>
        <v>0</v>
      </c>
      <c r="T595">
        <f t="shared" si="65"/>
        <v>0</v>
      </c>
      <c r="U595">
        <f t="shared" si="66"/>
        <v>0</v>
      </c>
      <c r="V595">
        <f t="shared" si="67"/>
        <v>1</v>
      </c>
      <c r="W595">
        <f t="shared" si="69"/>
        <v>2</v>
      </c>
      <c r="X595" t="str" cm="1">
        <f t="array" ref="X595">_xlfn.IFS(W595&lt;=1,"Low",W595=2,"Medium",W595&gt;=3,"High")</f>
        <v>Medium</v>
      </c>
    </row>
    <row r="596" spans="1:24" x14ac:dyDescent="0.3">
      <c r="A596" t="s">
        <v>1160</v>
      </c>
      <c r="B596" t="s">
        <v>1145</v>
      </c>
      <c r="C596" s="3">
        <v>46094</v>
      </c>
      <c r="D596" s="8" t="s">
        <v>1161</v>
      </c>
      <c r="E596" s="7" t="s">
        <v>70</v>
      </c>
      <c r="F596" s="7" t="s">
        <v>36</v>
      </c>
      <c r="G596" s="7" t="s">
        <v>22</v>
      </c>
      <c r="H596" s="4">
        <v>561.48</v>
      </c>
      <c r="I596" s="7" t="s">
        <v>32</v>
      </c>
      <c r="J596" s="7" t="s">
        <v>17</v>
      </c>
      <c r="L596" t="str">
        <f>PROPER(TRIM(SUBSTITUTE(_xlfn.XLOOKUP(B596,Cardholders_Reference!A:A,Cardholders_Reference!B:B),","," ")))</f>
        <v>Mariam Dlamini</v>
      </c>
      <c r="M596" s="5">
        <f>_xlfn.XLOOKUP(B596,Cardholders_Reference!A:A,Cardholders_Reference!G:G)</f>
        <v>20000</v>
      </c>
      <c r="N596" s="7" t="str">
        <f>_xlfn.XLOOKUP(B596,Cardholders_Reference!A:A,Cardholders_Reference!D:D)</f>
        <v>Capitec</v>
      </c>
      <c r="O596" s="7" t="str">
        <f>_xlfn.XLOOKUP(B596,Cardholders_Reference!A:A,Cardholders_Reference!E:E)</f>
        <v>Visa</v>
      </c>
      <c r="P596" s="6">
        <f t="shared" si="68"/>
        <v>2.8074000000000002E-2</v>
      </c>
      <c r="Q596">
        <f t="shared" si="63"/>
        <v>0</v>
      </c>
      <c r="R596">
        <f t="shared" si="64"/>
        <v>0</v>
      </c>
      <c r="S596">
        <f>IF(COUNTIFS($B$1:$B$738,B595,$C$1:$C$738,#REF!)&gt;2,1,0)</f>
        <v>0</v>
      </c>
      <c r="T596">
        <f t="shared" si="65"/>
        <v>0</v>
      </c>
      <c r="U596">
        <f t="shared" si="66"/>
        <v>0</v>
      </c>
      <c r="V596">
        <f t="shared" si="67"/>
        <v>0</v>
      </c>
      <c r="W596">
        <f t="shared" si="69"/>
        <v>0</v>
      </c>
      <c r="X596" t="str" cm="1">
        <f t="array" ref="X596">_xlfn.IFS(W596&lt;=1,"Low",W596=2,"Medium",W596&gt;=3,"High")</f>
        <v>Low</v>
      </c>
    </row>
    <row r="597" spans="1:24" x14ac:dyDescent="0.3">
      <c r="A597" t="s">
        <v>1162</v>
      </c>
      <c r="B597" t="s">
        <v>1145</v>
      </c>
      <c r="C597" s="3">
        <v>45984</v>
      </c>
      <c r="D597" s="8" t="s">
        <v>681</v>
      </c>
      <c r="E597" s="7" t="s">
        <v>486</v>
      </c>
      <c r="F597" s="7" t="s">
        <v>21</v>
      </c>
      <c r="G597" s="7" t="s">
        <v>22</v>
      </c>
      <c r="H597" s="4">
        <v>2449.29</v>
      </c>
      <c r="I597" s="7" t="s">
        <v>32</v>
      </c>
      <c r="J597" s="7" t="s">
        <v>41</v>
      </c>
      <c r="L597" t="str">
        <f>PROPER(TRIM(SUBSTITUTE(_xlfn.XLOOKUP(B597,Cardholders_Reference!A:A,Cardholders_Reference!B:B),","," ")))</f>
        <v>Mariam Dlamini</v>
      </c>
      <c r="M597" s="5">
        <f>_xlfn.XLOOKUP(B597,Cardholders_Reference!A:A,Cardholders_Reference!G:G)</f>
        <v>20000</v>
      </c>
      <c r="N597" s="7" t="str">
        <f>_xlfn.XLOOKUP(B597,Cardholders_Reference!A:A,Cardholders_Reference!D:D)</f>
        <v>Capitec</v>
      </c>
      <c r="O597" s="7" t="str">
        <f>_xlfn.XLOOKUP(B597,Cardholders_Reference!A:A,Cardholders_Reference!E:E)</f>
        <v>Visa</v>
      </c>
      <c r="P597" s="6">
        <f t="shared" si="68"/>
        <v>0.1224645</v>
      </c>
      <c r="Q597">
        <f t="shared" si="63"/>
        <v>0</v>
      </c>
      <c r="R597">
        <f t="shared" si="64"/>
        <v>0</v>
      </c>
      <c r="S597">
        <f>IF(COUNTIFS($B$1:$B$738,B596,$C$1:$C$738,#REF!)&gt;2,1,0)</f>
        <v>0</v>
      </c>
      <c r="T597">
        <f t="shared" si="65"/>
        <v>0</v>
      </c>
      <c r="U597">
        <f t="shared" si="66"/>
        <v>0</v>
      </c>
      <c r="V597">
        <f t="shared" si="67"/>
        <v>0</v>
      </c>
      <c r="W597">
        <f t="shared" si="69"/>
        <v>0</v>
      </c>
      <c r="X597" t="str" cm="1">
        <f t="array" ref="X597">_xlfn.IFS(W597&lt;=1,"Low",W597=2,"Medium",W597&gt;=3,"High")</f>
        <v>Low</v>
      </c>
    </row>
    <row r="598" spans="1:24" x14ac:dyDescent="0.3">
      <c r="A598" t="s">
        <v>1163</v>
      </c>
      <c r="B598" t="s">
        <v>1164</v>
      </c>
      <c r="C598" s="3">
        <v>45997</v>
      </c>
      <c r="D598" s="8" t="s">
        <v>1165</v>
      </c>
      <c r="E598" s="7" t="s">
        <v>377</v>
      </c>
      <c r="F598" s="7" t="s">
        <v>74</v>
      </c>
      <c r="G598" s="7" t="s">
        <v>264</v>
      </c>
      <c r="H598" s="4">
        <v>796.27</v>
      </c>
      <c r="I598" s="7" t="s">
        <v>16</v>
      </c>
      <c r="J598" s="7" t="s">
        <v>41</v>
      </c>
      <c r="L598" t="str">
        <f>PROPER(TRIM(SUBSTITUTE(_xlfn.XLOOKUP(B598,Cardholders_Reference!A:A,Cardholders_Reference!B:B),","," ")))</f>
        <v>Precious Botha</v>
      </c>
      <c r="M598" s="5">
        <f>_xlfn.XLOOKUP(B598,Cardholders_Reference!A:A,Cardholders_Reference!G:G)</f>
        <v>60000</v>
      </c>
      <c r="N598" s="7" t="str">
        <f>_xlfn.XLOOKUP(B598,Cardholders_Reference!A:A,Cardholders_Reference!D:D)</f>
        <v>Standard Bank</v>
      </c>
      <c r="O598" s="7" t="str">
        <f>_xlfn.XLOOKUP(B598,Cardholders_Reference!A:A,Cardholders_Reference!E:E)</f>
        <v>Mastercard</v>
      </c>
      <c r="P598" s="6">
        <f t="shared" si="68"/>
        <v>1.3271166666666667E-2</v>
      </c>
      <c r="Q598">
        <f t="shared" si="63"/>
        <v>0</v>
      </c>
      <c r="R598">
        <f t="shared" si="64"/>
        <v>0</v>
      </c>
      <c r="S598">
        <f>IF(COUNTIFS($B$1:$B$738,B597,$C$1:$C$738,#REF!)&gt;2,1,0)</f>
        <v>0</v>
      </c>
      <c r="T598">
        <f t="shared" si="65"/>
        <v>0</v>
      </c>
      <c r="U598">
        <f t="shared" si="66"/>
        <v>1</v>
      </c>
      <c r="V598">
        <f t="shared" si="67"/>
        <v>0</v>
      </c>
      <c r="W598">
        <f t="shared" si="69"/>
        <v>1</v>
      </c>
      <c r="X598" t="str" cm="1">
        <f t="array" ref="X598">_xlfn.IFS(W598&lt;=1,"Low",W598=2,"Medium",W598&gt;=3,"High")</f>
        <v>Low</v>
      </c>
    </row>
    <row r="599" spans="1:24" x14ac:dyDescent="0.3">
      <c r="A599" t="s">
        <v>1166</v>
      </c>
      <c r="B599" t="s">
        <v>1164</v>
      </c>
      <c r="C599" s="3">
        <v>45797</v>
      </c>
      <c r="D599" s="8" t="s">
        <v>1167</v>
      </c>
      <c r="E599" s="7" t="s">
        <v>80</v>
      </c>
      <c r="F599" s="7" t="s">
        <v>81</v>
      </c>
      <c r="G599" s="7" t="s">
        <v>264</v>
      </c>
      <c r="H599" s="4">
        <v>11494.94</v>
      </c>
      <c r="I599" s="7" t="s">
        <v>16</v>
      </c>
      <c r="J599" s="7" t="s">
        <v>17</v>
      </c>
      <c r="L599" t="str">
        <f>PROPER(TRIM(SUBSTITUTE(_xlfn.XLOOKUP(B599,Cardholders_Reference!A:A,Cardholders_Reference!B:B),","," ")))</f>
        <v>Precious Botha</v>
      </c>
      <c r="M599" s="5">
        <f>_xlfn.XLOOKUP(B599,Cardholders_Reference!A:A,Cardholders_Reference!G:G)</f>
        <v>60000</v>
      </c>
      <c r="N599" s="7" t="str">
        <f>_xlfn.XLOOKUP(B599,Cardholders_Reference!A:A,Cardholders_Reference!D:D)</f>
        <v>Standard Bank</v>
      </c>
      <c r="O599" s="7" t="str">
        <f>_xlfn.XLOOKUP(B599,Cardholders_Reference!A:A,Cardholders_Reference!E:E)</f>
        <v>Mastercard</v>
      </c>
      <c r="P599" s="6">
        <f t="shared" si="68"/>
        <v>0.19158233333333335</v>
      </c>
      <c r="Q599">
        <f t="shared" si="63"/>
        <v>0</v>
      </c>
      <c r="R599">
        <f t="shared" si="64"/>
        <v>0</v>
      </c>
      <c r="S599">
        <f>IF(COUNTIFS($B$1:$B$738,B598,$C$1:$C$738,#REF!)&gt;2,1,0)</f>
        <v>0</v>
      </c>
      <c r="T599">
        <f t="shared" si="65"/>
        <v>0</v>
      </c>
      <c r="U599">
        <f t="shared" si="66"/>
        <v>0</v>
      </c>
      <c r="V599">
        <f t="shared" si="67"/>
        <v>0</v>
      </c>
      <c r="W599">
        <f t="shared" si="69"/>
        <v>0</v>
      </c>
      <c r="X599" t="str" cm="1">
        <f t="array" ref="X599">_xlfn.IFS(W599&lt;=1,"Low",W599=2,"Medium",W599&gt;=3,"High")</f>
        <v>Low</v>
      </c>
    </row>
    <row r="600" spans="1:24" x14ac:dyDescent="0.3">
      <c r="A600" t="s">
        <v>1168</v>
      </c>
      <c r="B600" t="s">
        <v>1164</v>
      </c>
      <c r="C600" s="3">
        <v>45725</v>
      </c>
      <c r="D600" s="8" t="s">
        <v>1169</v>
      </c>
      <c r="E600" s="7" t="s">
        <v>111</v>
      </c>
      <c r="F600" s="7" t="s">
        <v>48</v>
      </c>
      <c r="G600" s="7" t="s">
        <v>264</v>
      </c>
      <c r="H600" s="4">
        <v>732.33</v>
      </c>
      <c r="I600" s="7" t="s">
        <v>32</v>
      </c>
      <c r="J600" s="7" t="s">
        <v>17</v>
      </c>
      <c r="L600" t="str">
        <f>PROPER(TRIM(SUBSTITUTE(_xlfn.XLOOKUP(B600,Cardholders_Reference!A:A,Cardholders_Reference!B:B),","," ")))</f>
        <v>Precious Botha</v>
      </c>
      <c r="M600" s="5">
        <f>_xlfn.XLOOKUP(B600,Cardholders_Reference!A:A,Cardholders_Reference!G:G)</f>
        <v>60000</v>
      </c>
      <c r="N600" s="7" t="str">
        <f>_xlfn.XLOOKUP(B600,Cardholders_Reference!A:A,Cardholders_Reference!D:D)</f>
        <v>Standard Bank</v>
      </c>
      <c r="O600" s="7" t="str">
        <f>_xlfn.XLOOKUP(B600,Cardholders_Reference!A:A,Cardholders_Reference!E:E)</f>
        <v>Mastercard</v>
      </c>
      <c r="P600" s="6">
        <f t="shared" si="68"/>
        <v>1.2205500000000001E-2</v>
      </c>
      <c r="Q600">
        <f t="shared" si="63"/>
        <v>0</v>
      </c>
      <c r="R600">
        <f t="shared" si="64"/>
        <v>0</v>
      </c>
      <c r="S600">
        <f>IF(COUNTIFS($B$1:$B$738,B599,$C$1:$C$738,#REF!)&gt;2,1,0)</f>
        <v>0</v>
      </c>
      <c r="T600">
        <f t="shared" si="65"/>
        <v>0</v>
      </c>
      <c r="U600">
        <f t="shared" si="66"/>
        <v>0</v>
      </c>
      <c r="V600">
        <f t="shared" si="67"/>
        <v>0</v>
      </c>
      <c r="W600">
        <f t="shared" si="69"/>
        <v>0</v>
      </c>
      <c r="X600" t="str" cm="1">
        <f t="array" ref="X600">_xlfn.IFS(W600&lt;=1,"Low",W600=2,"Medium",W600&gt;=3,"High")</f>
        <v>Low</v>
      </c>
    </row>
    <row r="601" spans="1:24" x14ac:dyDescent="0.3">
      <c r="A601" t="s">
        <v>1170</v>
      </c>
      <c r="B601" t="s">
        <v>1164</v>
      </c>
      <c r="C601" s="3">
        <v>46195</v>
      </c>
      <c r="D601" s="8" t="s">
        <v>1171</v>
      </c>
      <c r="E601" s="7" t="s">
        <v>35</v>
      </c>
      <c r="F601" s="7" t="s">
        <v>36</v>
      </c>
      <c r="G601" s="7" t="s">
        <v>264</v>
      </c>
      <c r="H601" s="4">
        <v>589.57000000000005</v>
      </c>
      <c r="I601" s="7" t="s">
        <v>95</v>
      </c>
      <c r="J601" s="7" t="s">
        <v>17</v>
      </c>
      <c r="L601" t="str">
        <f>PROPER(TRIM(SUBSTITUTE(_xlfn.XLOOKUP(B601,Cardholders_Reference!A:A,Cardholders_Reference!B:B),","," ")))</f>
        <v>Precious Botha</v>
      </c>
      <c r="M601" s="5">
        <f>_xlfn.XLOOKUP(B601,Cardholders_Reference!A:A,Cardholders_Reference!G:G)</f>
        <v>60000</v>
      </c>
      <c r="N601" s="7" t="str">
        <f>_xlfn.XLOOKUP(B601,Cardholders_Reference!A:A,Cardholders_Reference!D:D)</f>
        <v>Standard Bank</v>
      </c>
      <c r="O601" s="7" t="str">
        <f>_xlfn.XLOOKUP(B601,Cardholders_Reference!A:A,Cardholders_Reference!E:E)</f>
        <v>Mastercard</v>
      </c>
      <c r="P601" s="6">
        <f t="shared" si="68"/>
        <v>9.8261666666666671E-3</v>
      </c>
      <c r="Q601">
        <f t="shared" si="63"/>
        <v>0</v>
      </c>
      <c r="R601">
        <f t="shared" si="64"/>
        <v>0</v>
      </c>
      <c r="S601">
        <f>IF(COUNTIFS($B$1:$B$738,B600,$C$1:$C$738,#REF!)&gt;2,1,0)</f>
        <v>0</v>
      </c>
      <c r="T601">
        <f t="shared" si="65"/>
        <v>0</v>
      </c>
      <c r="U601">
        <f t="shared" si="66"/>
        <v>0</v>
      </c>
      <c r="V601">
        <f t="shared" si="67"/>
        <v>1</v>
      </c>
      <c r="W601">
        <f t="shared" si="69"/>
        <v>1</v>
      </c>
      <c r="X601" t="str" cm="1">
        <f t="array" ref="X601">_xlfn.IFS(W601&lt;=1,"Low",W601=2,"Medium",W601&gt;=3,"High")</f>
        <v>Low</v>
      </c>
    </row>
    <row r="602" spans="1:24" x14ac:dyDescent="0.3">
      <c r="A602" t="s">
        <v>1172</v>
      </c>
      <c r="B602" t="s">
        <v>1164</v>
      </c>
      <c r="C602" s="3">
        <v>46067</v>
      </c>
      <c r="D602" s="8" t="s">
        <v>1173</v>
      </c>
      <c r="E602" s="7" t="s">
        <v>180</v>
      </c>
      <c r="F602" s="7" t="s">
        <v>21</v>
      </c>
      <c r="G602" s="7" t="s">
        <v>264</v>
      </c>
      <c r="H602" s="4">
        <v>1492.85</v>
      </c>
      <c r="I602" s="7" t="s">
        <v>32</v>
      </c>
      <c r="J602" s="7" t="s">
        <v>17</v>
      </c>
      <c r="L602" t="str">
        <f>PROPER(TRIM(SUBSTITUTE(_xlfn.XLOOKUP(B602,Cardholders_Reference!A:A,Cardholders_Reference!B:B),","," ")))</f>
        <v>Precious Botha</v>
      </c>
      <c r="M602" s="5">
        <f>_xlfn.XLOOKUP(B602,Cardholders_Reference!A:A,Cardholders_Reference!G:G)</f>
        <v>60000</v>
      </c>
      <c r="N602" s="7" t="str">
        <f>_xlfn.XLOOKUP(B602,Cardholders_Reference!A:A,Cardholders_Reference!D:D)</f>
        <v>Standard Bank</v>
      </c>
      <c r="O602" s="7" t="str">
        <f>_xlfn.XLOOKUP(B602,Cardholders_Reference!A:A,Cardholders_Reference!E:E)</f>
        <v>Mastercard</v>
      </c>
      <c r="P602" s="6">
        <f t="shared" si="68"/>
        <v>2.4880833333333331E-2</v>
      </c>
      <c r="Q602">
        <f t="shared" si="63"/>
        <v>0</v>
      </c>
      <c r="R602">
        <f t="shared" si="64"/>
        <v>0</v>
      </c>
      <c r="S602">
        <f>IF(COUNTIFS($B$1:$B$738,B601,$C$1:$C$738,#REF!)&gt;2,1,0)</f>
        <v>0</v>
      </c>
      <c r="T602">
        <f t="shared" si="65"/>
        <v>0</v>
      </c>
      <c r="U602">
        <f t="shared" si="66"/>
        <v>0</v>
      </c>
      <c r="V602">
        <f t="shared" si="67"/>
        <v>0</v>
      </c>
      <c r="W602">
        <f t="shared" si="69"/>
        <v>0</v>
      </c>
      <c r="X602" t="str" cm="1">
        <f t="array" ref="X602">_xlfn.IFS(W602&lt;=1,"Low",W602=2,"Medium",W602&gt;=3,"High")</f>
        <v>Low</v>
      </c>
    </row>
    <row r="603" spans="1:24" x14ac:dyDescent="0.3">
      <c r="A603" t="s">
        <v>1174</v>
      </c>
      <c r="B603" t="s">
        <v>1164</v>
      </c>
      <c r="C603" s="3">
        <v>45940</v>
      </c>
      <c r="D603" s="8" t="s">
        <v>605</v>
      </c>
      <c r="E603" s="7" t="s">
        <v>156</v>
      </c>
      <c r="F603" s="7" t="s">
        <v>36</v>
      </c>
      <c r="G603" s="7" t="s">
        <v>264</v>
      </c>
      <c r="H603" s="4">
        <v>559.04</v>
      </c>
      <c r="I603" s="7" t="s">
        <v>32</v>
      </c>
      <c r="J603" s="7" t="s">
        <v>17</v>
      </c>
      <c r="L603" t="str">
        <f>PROPER(TRIM(SUBSTITUTE(_xlfn.XLOOKUP(B603,Cardholders_Reference!A:A,Cardholders_Reference!B:B),","," ")))</f>
        <v>Precious Botha</v>
      </c>
      <c r="M603" s="5">
        <f>_xlfn.XLOOKUP(B603,Cardholders_Reference!A:A,Cardholders_Reference!G:G)</f>
        <v>60000</v>
      </c>
      <c r="N603" s="7" t="str">
        <f>_xlfn.XLOOKUP(B603,Cardholders_Reference!A:A,Cardholders_Reference!D:D)</f>
        <v>Standard Bank</v>
      </c>
      <c r="O603" s="7" t="str">
        <f>_xlfn.XLOOKUP(B603,Cardholders_Reference!A:A,Cardholders_Reference!E:E)</f>
        <v>Mastercard</v>
      </c>
      <c r="P603" s="6">
        <f t="shared" si="68"/>
        <v>9.317333333333332E-3</v>
      </c>
      <c r="Q603">
        <f t="shared" si="63"/>
        <v>0</v>
      </c>
      <c r="R603">
        <f t="shared" si="64"/>
        <v>0</v>
      </c>
      <c r="S603">
        <f>IF(COUNTIFS($B$1:$B$738,B602,$C$1:$C$738,#REF!)&gt;2,1,0)</f>
        <v>0</v>
      </c>
      <c r="T603">
        <f t="shared" si="65"/>
        <v>0</v>
      </c>
      <c r="U603">
        <f t="shared" si="66"/>
        <v>1</v>
      </c>
      <c r="V603">
        <f t="shared" si="67"/>
        <v>0</v>
      </c>
      <c r="W603">
        <f t="shared" si="69"/>
        <v>1</v>
      </c>
      <c r="X603" t="str" cm="1">
        <f t="array" ref="X603">_xlfn.IFS(W603&lt;=1,"Low",W603=2,"Medium",W603&gt;=3,"High")</f>
        <v>Low</v>
      </c>
    </row>
    <row r="604" spans="1:24" x14ac:dyDescent="0.3">
      <c r="A604" t="s">
        <v>1175</v>
      </c>
      <c r="B604" t="s">
        <v>1164</v>
      </c>
      <c r="C604" s="3">
        <v>46054</v>
      </c>
      <c r="D604" s="8" t="s">
        <v>1176</v>
      </c>
      <c r="E604" s="7" t="s">
        <v>52</v>
      </c>
      <c r="F604" s="7" t="s">
        <v>53</v>
      </c>
      <c r="G604" s="7" t="s">
        <v>264</v>
      </c>
      <c r="H604" s="4">
        <v>1424.3</v>
      </c>
      <c r="I604" s="7" t="s">
        <v>32</v>
      </c>
      <c r="J604" s="7" t="s">
        <v>17</v>
      </c>
      <c r="L604" t="str">
        <f>PROPER(TRIM(SUBSTITUTE(_xlfn.XLOOKUP(B604,Cardholders_Reference!A:A,Cardholders_Reference!B:B),","," ")))</f>
        <v>Precious Botha</v>
      </c>
      <c r="M604" s="5">
        <f>_xlfn.XLOOKUP(B604,Cardholders_Reference!A:A,Cardholders_Reference!G:G)</f>
        <v>60000</v>
      </c>
      <c r="N604" s="7" t="str">
        <f>_xlfn.XLOOKUP(B604,Cardholders_Reference!A:A,Cardholders_Reference!D:D)</f>
        <v>Standard Bank</v>
      </c>
      <c r="O604" s="7" t="str">
        <f>_xlfn.XLOOKUP(B604,Cardholders_Reference!A:A,Cardholders_Reference!E:E)</f>
        <v>Mastercard</v>
      </c>
      <c r="P604" s="6">
        <f t="shared" si="68"/>
        <v>2.3738333333333334E-2</v>
      </c>
      <c r="Q604">
        <f t="shared" si="63"/>
        <v>0</v>
      </c>
      <c r="R604">
        <f t="shared" si="64"/>
        <v>0</v>
      </c>
      <c r="S604">
        <f>IF(COUNTIFS($B$1:$B$738,B603,$C$1:$C$738,#REF!)&gt;2,1,0)</f>
        <v>0</v>
      </c>
      <c r="T604">
        <f t="shared" si="65"/>
        <v>0</v>
      </c>
      <c r="U604">
        <f t="shared" si="66"/>
        <v>0</v>
      </c>
      <c r="V604">
        <f t="shared" si="67"/>
        <v>0</v>
      </c>
      <c r="W604">
        <f t="shared" si="69"/>
        <v>0</v>
      </c>
      <c r="X604" t="str" cm="1">
        <f t="array" ref="X604">_xlfn.IFS(W604&lt;=1,"Low",W604=2,"Medium",W604&gt;=3,"High")</f>
        <v>Low</v>
      </c>
    </row>
    <row r="605" spans="1:24" x14ac:dyDescent="0.3">
      <c r="A605" t="s">
        <v>1177</v>
      </c>
      <c r="B605" t="s">
        <v>1164</v>
      </c>
      <c r="C605" s="3">
        <v>45819</v>
      </c>
      <c r="D605" s="8" t="s">
        <v>750</v>
      </c>
      <c r="E605" s="7" t="s">
        <v>206</v>
      </c>
      <c r="F605" s="7" t="s">
        <v>61</v>
      </c>
      <c r="G605" s="7" t="s">
        <v>264</v>
      </c>
      <c r="H605" s="4">
        <v>9729.01</v>
      </c>
      <c r="I605" s="7" t="s">
        <v>95</v>
      </c>
      <c r="J605" s="7" t="s">
        <v>17</v>
      </c>
      <c r="L605" t="str">
        <f>PROPER(TRIM(SUBSTITUTE(_xlfn.XLOOKUP(B605,Cardholders_Reference!A:A,Cardholders_Reference!B:B),","," ")))</f>
        <v>Precious Botha</v>
      </c>
      <c r="M605" s="5">
        <f>_xlfn.XLOOKUP(B605,Cardholders_Reference!A:A,Cardholders_Reference!G:G)</f>
        <v>60000</v>
      </c>
      <c r="N605" s="7" t="str">
        <f>_xlfn.XLOOKUP(B605,Cardholders_Reference!A:A,Cardholders_Reference!D:D)</f>
        <v>Standard Bank</v>
      </c>
      <c r="O605" s="7" t="str">
        <f>_xlfn.XLOOKUP(B605,Cardholders_Reference!A:A,Cardholders_Reference!E:E)</f>
        <v>Mastercard</v>
      </c>
      <c r="P605" s="6">
        <f t="shared" si="68"/>
        <v>0.16215016666666668</v>
      </c>
      <c r="Q605">
        <f t="shared" si="63"/>
        <v>0</v>
      </c>
      <c r="R605">
        <f t="shared" si="64"/>
        <v>0</v>
      </c>
      <c r="S605">
        <f>IF(COUNTIFS($B$1:$B$738,B604,$C$1:$C$738,#REF!)&gt;2,1,0)</f>
        <v>0</v>
      </c>
      <c r="T605">
        <f t="shared" si="65"/>
        <v>0</v>
      </c>
      <c r="U605">
        <f t="shared" si="66"/>
        <v>0</v>
      </c>
      <c r="V605">
        <f t="shared" si="67"/>
        <v>1</v>
      </c>
      <c r="W605">
        <f t="shared" si="69"/>
        <v>1</v>
      </c>
      <c r="X605" t="str" cm="1">
        <f t="array" ref="X605">_xlfn.IFS(W605&lt;=1,"Low",W605=2,"Medium",W605&gt;=3,"High")</f>
        <v>Low</v>
      </c>
    </row>
    <row r="606" spans="1:24" x14ac:dyDescent="0.3">
      <c r="A606" t="s">
        <v>1178</v>
      </c>
      <c r="B606" t="s">
        <v>1164</v>
      </c>
      <c r="C606" s="3">
        <v>46429</v>
      </c>
      <c r="D606" s="8" t="s">
        <v>502</v>
      </c>
      <c r="E606" s="7" t="s">
        <v>31</v>
      </c>
      <c r="F606" s="7" t="s">
        <v>25</v>
      </c>
      <c r="G606" s="7" t="s">
        <v>264</v>
      </c>
      <c r="H606" s="4">
        <v>1087.52</v>
      </c>
      <c r="I606" s="7" t="s">
        <v>32</v>
      </c>
      <c r="J606" s="7" t="s">
        <v>17</v>
      </c>
      <c r="L606" t="str">
        <f>PROPER(TRIM(SUBSTITUTE(_xlfn.XLOOKUP(B606,Cardholders_Reference!A:A,Cardholders_Reference!B:B),","," ")))</f>
        <v>Precious Botha</v>
      </c>
      <c r="M606" s="5">
        <f>_xlfn.XLOOKUP(B606,Cardholders_Reference!A:A,Cardholders_Reference!G:G)</f>
        <v>60000</v>
      </c>
      <c r="N606" s="7" t="str">
        <f>_xlfn.XLOOKUP(B606,Cardholders_Reference!A:A,Cardholders_Reference!D:D)</f>
        <v>Standard Bank</v>
      </c>
      <c r="O606" s="7" t="str">
        <f>_xlfn.XLOOKUP(B606,Cardholders_Reference!A:A,Cardholders_Reference!E:E)</f>
        <v>Mastercard</v>
      </c>
      <c r="P606" s="6">
        <f t="shared" si="68"/>
        <v>1.8125333333333334E-2</v>
      </c>
      <c r="Q606">
        <f t="shared" si="63"/>
        <v>0</v>
      </c>
      <c r="R606">
        <f t="shared" si="64"/>
        <v>0</v>
      </c>
      <c r="S606">
        <f>IF(COUNTIFS($B$1:$B$738,B605,$C$1:$C$738,#REF!)&gt;2,1,0)</f>
        <v>0</v>
      </c>
      <c r="T606">
        <f t="shared" si="65"/>
        <v>0</v>
      </c>
      <c r="U606">
        <f t="shared" si="66"/>
        <v>0</v>
      </c>
      <c r="V606">
        <f t="shared" si="67"/>
        <v>0</v>
      </c>
      <c r="W606">
        <f t="shared" si="69"/>
        <v>0</v>
      </c>
      <c r="X606" t="str" cm="1">
        <f t="array" ref="X606">_xlfn.IFS(W606&lt;=1,"Low",W606=2,"Medium",W606&gt;=3,"High")</f>
        <v>Low</v>
      </c>
    </row>
    <row r="607" spans="1:24" x14ac:dyDescent="0.3">
      <c r="A607" t="s">
        <v>1179</v>
      </c>
      <c r="B607" t="s">
        <v>1164</v>
      </c>
      <c r="C607" s="3">
        <v>46151</v>
      </c>
      <c r="D607" s="8" t="s">
        <v>540</v>
      </c>
      <c r="E607" s="7" t="s">
        <v>156</v>
      </c>
      <c r="F607" s="7" t="s">
        <v>36</v>
      </c>
      <c r="G607" s="7" t="s">
        <v>264</v>
      </c>
      <c r="H607" s="4">
        <v>238.04</v>
      </c>
      <c r="I607" s="7" t="s">
        <v>26</v>
      </c>
      <c r="J607" s="7" t="s">
        <v>17</v>
      </c>
      <c r="L607" t="str">
        <f>PROPER(TRIM(SUBSTITUTE(_xlfn.XLOOKUP(B607,Cardholders_Reference!A:A,Cardholders_Reference!B:B),","," ")))</f>
        <v>Precious Botha</v>
      </c>
      <c r="M607" s="5">
        <f>_xlfn.XLOOKUP(B607,Cardholders_Reference!A:A,Cardholders_Reference!G:G)</f>
        <v>60000</v>
      </c>
      <c r="N607" s="7" t="str">
        <f>_xlfn.XLOOKUP(B607,Cardholders_Reference!A:A,Cardholders_Reference!D:D)</f>
        <v>Standard Bank</v>
      </c>
      <c r="O607" s="7" t="str">
        <f>_xlfn.XLOOKUP(B607,Cardholders_Reference!A:A,Cardholders_Reference!E:E)</f>
        <v>Mastercard</v>
      </c>
      <c r="P607" s="6">
        <f t="shared" si="68"/>
        <v>3.9673333333333331E-3</v>
      </c>
      <c r="Q607">
        <f t="shared" si="63"/>
        <v>0</v>
      </c>
      <c r="R607">
        <f t="shared" si="64"/>
        <v>0</v>
      </c>
      <c r="S607">
        <f>IF(COUNTIFS($B$1:$B$738,B606,$C$1:$C$738,#REF!)&gt;2,1,0)</f>
        <v>0</v>
      </c>
      <c r="T607">
        <f t="shared" si="65"/>
        <v>0</v>
      </c>
      <c r="U607">
        <f t="shared" si="66"/>
        <v>0</v>
      </c>
      <c r="V607">
        <f t="shared" si="67"/>
        <v>1</v>
      </c>
      <c r="W607">
        <f t="shared" si="69"/>
        <v>1</v>
      </c>
      <c r="X607" t="str" cm="1">
        <f t="array" ref="X607">_xlfn.IFS(W607&lt;=1,"Low",W607=2,"Medium",W607&gt;=3,"High")</f>
        <v>Low</v>
      </c>
    </row>
    <row r="608" spans="1:24" x14ac:dyDescent="0.3">
      <c r="A608" t="s">
        <v>1180</v>
      </c>
      <c r="B608" t="s">
        <v>1164</v>
      </c>
      <c r="C608" s="3">
        <v>46188</v>
      </c>
      <c r="D608" s="8" t="s">
        <v>1439</v>
      </c>
      <c r="E608" s="7" t="s">
        <v>156</v>
      </c>
      <c r="F608" s="7" t="s">
        <v>36</v>
      </c>
      <c r="G608" s="7" t="s">
        <v>264</v>
      </c>
      <c r="H608" s="4">
        <v>320.63</v>
      </c>
      <c r="I608" s="7" t="s">
        <v>16</v>
      </c>
      <c r="J608" s="7" t="s">
        <v>17</v>
      </c>
      <c r="L608" t="str">
        <f>PROPER(TRIM(SUBSTITUTE(_xlfn.XLOOKUP(B608,Cardholders_Reference!A:A,Cardholders_Reference!B:B),","," ")))</f>
        <v>Precious Botha</v>
      </c>
      <c r="M608" s="5">
        <f>_xlfn.XLOOKUP(B608,Cardholders_Reference!A:A,Cardholders_Reference!G:G)</f>
        <v>60000</v>
      </c>
      <c r="N608" s="7" t="str">
        <f>_xlfn.XLOOKUP(B608,Cardholders_Reference!A:A,Cardholders_Reference!D:D)</f>
        <v>Standard Bank</v>
      </c>
      <c r="O608" s="7" t="str">
        <f>_xlfn.XLOOKUP(B608,Cardholders_Reference!A:A,Cardholders_Reference!E:E)</f>
        <v>Mastercard</v>
      </c>
      <c r="P608" s="6">
        <f t="shared" si="68"/>
        <v>5.3438333333333332E-3</v>
      </c>
      <c r="Q608">
        <f t="shared" si="63"/>
        <v>0</v>
      </c>
      <c r="R608">
        <f t="shared" si="64"/>
        <v>1</v>
      </c>
      <c r="S608">
        <f>IF(COUNTIFS($B$1:$B$738,B607,$C$1:$C$738,#REF!)&gt;2,1,0)</f>
        <v>0</v>
      </c>
      <c r="T608">
        <f t="shared" si="65"/>
        <v>0</v>
      </c>
      <c r="U608">
        <f t="shared" si="66"/>
        <v>0</v>
      </c>
      <c r="V608">
        <f t="shared" si="67"/>
        <v>0</v>
      </c>
      <c r="W608">
        <f t="shared" si="69"/>
        <v>1</v>
      </c>
      <c r="X608" t="str" cm="1">
        <f t="array" ref="X608">_xlfn.IFS(W608&lt;=1,"Low",W608=2,"Medium",W608&gt;=3,"High")</f>
        <v>Low</v>
      </c>
    </row>
    <row r="609" spans="1:24" x14ac:dyDescent="0.3">
      <c r="A609" t="s">
        <v>1181</v>
      </c>
      <c r="B609" t="s">
        <v>1182</v>
      </c>
      <c r="C609" s="3">
        <v>45804</v>
      </c>
      <c r="D609" s="8" t="s">
        <v>1183</v>
      </c>
      <c r="E609" s="7" t="s">
        <v>548</v>
      </c>
      <c r="F609" s="7" t="s">
        <v>40</v>
      </c>
      <c r="G609" s="7" t="s">
        <v>22</v>
      </c>
      <c r="H609" s="4">
        <v>308.10000000000002</v>
      </c>
      <c r="I609" s="7" t="s">
        <v>26</v>
      </c>
      <c r="J609" s="7" t="s">
        <v>17</v>
      </c>
      <c r="L609" t="str">
        <f>PROPER(TRIM(SUBSTITUTE(_xlfn.XLOOKUP(B609,Cardholders_Reference!A:A,Cardholders_Reference!B:B),","," ")))</f>
        <v>Precious Van Der Merwe</v>
      </c>
      <c r="M609" s="5">
        <f>_xlfn.XLOOKUP(B609,Cardholders_Reference!A:A,Cardholders_Reference!G:G)</f>
        <v>100000</v>
      </c>
      <c r="N609" s="7" t="str">
        <f>_xlfn.XLOOKUP(B609,Cardholders_Reference!A:A,Cardholders_Reference!D:D)</f>
        <v>Standard Bank</v>
      </c>
      <c r="O609" s="7" t="str">
        <f>_xlfn.XLOOKUP(B609,Cardholders_Reference!A:A,Cardholders_Reference!E:E)</f>
        <v>Visa</v>
      </c>
      <c r="P609" s="6">
        <f t="shared" si="68"/>
        <v>3.0810000000000004E-3</v>
      </c>
      <c r="Q609">
        <f t="shared" si="63"/>
        <v>0</v>
      </c>
      <c r="R609">
        <f t="shared" si="64"/>
        <v>0</v>
      </c>
      <c r="S609">
        <f>IF(COUNTIFS($B$1:$B$738,B608,$C$1:$C$738,#REF!)&gt;2,1,0)</f>
        <v>0</v>
      </c>
      <c r="T609">
        <f t="shared" si="65"/>
        <v>0</v>
      </c>
      <c r="U609">
        <f t="shared" si="66"/>
        <v>0</v>
      </c>
      <c r="V609">
        <f t="shared" si="67"/>
        <v>1</v>
      </c>
      <c r="W609">
        <f t="shared" si="69"/>
        <v>1</v>
      </c>
      <c r="X609" t="str" cm="1">
        <f t="array" ref="X609">_xlfn.IFS(W609&lt;=1,"Low",W609=2,"Medium",W609&gt;=3,"High")</f>
        <v>Low</v>
      </c>
    </row>
    <row r="610" spans="1:24" x14ac:dyDescent="0.3">
      <c r="A610" t="s">
        <v>1184</v>
      </c>
      <c r="B610" t="s">
        <v>1182</v>
      </c>
      <c r="C610" s="3">
        <v>45767</v>
      </c>
      <c r="D610" s="8" t="s">
        <v>1185</v>
      </c>
      <c r="E610" s="7" t="s">
        <v>242</v>
      </c>
      <c r="F610" s="7" t="s">
        <v>15</v>
      </c>
      <c r="G610" s="7" t="s">
        <v>22</v>
      </c>
      <c r="H610" s="4">
        <v>3776.52</v>
      </c>
      <c r="I610" s="7" t="s">
        <v>95</v>
      </c>
      <c r="J610" s="7" t="s">
        <v>17</v>
      </c>
      <c r="L610" t="str">
        <f>PROPER(TRIM(SUBSTITUTE(_xlfn.XLOOKUP(B610,Cardholders_Reference!A:A,Cardholders_Reference!B:B),","," ")))</f>
        <v>Precious Van Der Merwe</v>
      </c>
      <c r="M610" s="5">
        <f>_xlfn.XLOOKUP(B610,Cardholders_Reference!A:A,Cardholders_Reference!G:G)</f>
        <v>100000</v>
      </c>
      <c r="N610" s="7" t="str">
        <f>_xlfn.XLOOKUP(B610,Cardholders_Reference!A:A,Cardholders_Reference!D:D)</f>
        <v>Standard Bank</v>
      </c>
      <c r="O610" s="7" t="str">
        <f>_xlfn.XLOOKUP(B610,Cardholders_Reference!A:A,Cardholders_Reference!E:E)</f>
        <v>Visa</v>
      </c>
      <c r="P610" s="6">
        <f t="shared" si="68"/>
        <v>3.7765199999999999E-2</v>
      </c>
      <c r="Q610">
        <f t="shared" si="63"/>
        <v>0</v>
      </c>
      <c r="R610">
        <f t="shared" si="64"/>
        <v>0</v>
      </c>
      <c r="S610">
        <f>IF(COUNTIFS($B$1:$B$738,B609,$C$1:$C$738,#REF!)&gt;2,1,0)</f>
        <v>0</v>
      </c>
      <c r="T610">
        <f t="shared" si="65"/>
        <v>0</v>
      </c>
      <c r="U610">
        <f t="shared" si="66"/>
        <v>0</v>
      </c>
      <c r="V610">
        <f t="shared" si="67"/>
        <v>1</v>
      </c>
      <c r="W610">
        <f t="shared" si="69"/>
        <v>1</v>
      </c>
      <c r="X610" t="str" cm="1">
        <f t="array" ref="X610">_xlfn.IFS(W610&lt;=1,"Low",W610=2,"Medium",W610&gt;=3,"High")</f>
        <v>Low</v>
      </c>
    </row>
    <row r="611" spans="1:24" x14ac:dyDescent="0.3">
      <c r="A611" t="s">
        <v>1186</v>
      </c>
      <c r="B611" t="s">
        <v>1182</v>
      </c>
      <c r="C611" s="3">
        <v>46029</v>
      </c>
      <c r="D611" s="8" t="s">
        <v>1187</v>
      </c>
      <c r="E611" s="7" t="s">
        <v>52</v>
      </c>
      <c r="F611" s="7" t="s">
        <v>53</v>
      </c>
      <c r="G611" s="7" t="s">
        <v>22</v>
      </c>
      <c r="H611" s="4">
        <v>1533.36</v>
      </c>
      <c r="I611" s="7" t="s">
        <v>32</v>
      </c>
      <c r="J611" s="7" t="s">
        <v>17</v>
      </c>
      <c r="L611" t="str">
        <f>PROPER(TRIM(SUBSTITUTE(_xlfn.XLOOKUP(B611,Cardholders_Reference!A:A,Cardholders_Reference!B:B),","," ")))</f>
        <v>Precious Van Der Merwe</v>
      </c>
      <c r="M611" s="5">
        <f>_xlfn.XLOOKUP(B611,Cardholders_Reference!A:A,Cardholders_Reference!G:G)</f>
        <v>100000</v>
      </c>
      <c r="N611" s="7" t="str">
        <f>_xlfn.XLOOKUP(B611,Cardholders_Reference!A:A,Cardholders_Reference!D:D)</f>
        <v>Standard Bank</v>
      </c>
      <c r="O611" s="7" t="str">
        <f>_xlfn.XLOOKUP(B611,Cardholders_Reference!A:A,Cardholders_Reference!E:E)</f>
        <v>Visa</v>
      </c>
      <c r="P611" s="6">
        <f t="shared" si="68"/>
        <v>1.5333599999999999E-2</v>
      </c>
      <c r="Q611">
        <f t="shared" si="63"/>
        <v>0</v>
      </c>
      <c r="R611">
        <f t="shared" si="64"/>
        <v>0</v>
      </c>
      <c r="S611">
        <f>IF(COUNTIFS($B$1:$B$738,B610,$C$1:$C$738,#REF!)&gt;2,1,0)</f>
        <v>0</v>
      </c>
      <c r="T611">
        <f t="shared" si="65"/>
        <v>0</v>
      </c>
      <c r="U611">
        <f t="shared" si="66"/>
        <v>0</v>
      </c>
      <c r="V611">
        <f t="shared" si="67"/>
        <v>0</v>
      </c>
      <c r="W611">
        <f t="shared" si="69"/>
        <v>0</v>
      </c>
      <c r="X611" t="str" cm="1">
        <f t="array" ref="X611">_xlfn.IFS(W611&lt;=1,"Low",W611=2,"Medium",W611&gt;=3,"High")</f>
        <v>Low</v>
      </c>
    </row>
    <row r="612" spans="1:24" x14ac:dyDescent="0.3">
      <c r="A612" t="s">
        <v>1188</v>
      </c>
      <c r="B612" t="s">
        <v>1182</v>
      </c>
      <c r="C612" s="3">
        <v>46137</v>
      </c>
      <c r="D612" s="8" t="s">
        <v>349</v>
      </c>
      <c r="E612" s="7" t="s">
        <v>156</v>
      </c>
      <c r="F612" s="7" t="s">
        <v>36</v>
      </c>
      <c r="G612" s="7" t="s">
        <v>22</v>
      </c>
      <c r="H612" s="4">
        <v>150.19</v>
      </c>
      <c r="I612" s="7" t="s">
        <v>32</v>
      </c>
      <c r="J612" s="7" t="s">
        <v>17</v>
      </c>
      <c r="L612" t="str">
        <f>PROPER(TRIM(SUBSTITUTE(_xlfn.XLOOKUP(B612,Cardholders_Reference!A:A,Cardholders_Reference!B:B),","," ")))</f>
        <v>Precious Van Der Merwe</v>
      </c>
      <c r="M612" s="5">
        <f>_xlfn.XLOOKUP(B612,Cardholders_Reference!A:A,Cardholders_Reference!G:G)</f>
        <v>100000</v>
      </c>
      <c r="N612" s="7" t="str">
        <f>_xlfn.XLOOKUP(B612,Cardholders_Reference!A:A,Cardholders_Reference!D:D)</f>
        <v>Standard Bank</v>
      </c>
      <c r="O612" s="7" t="str">
        <f>_xlfn.XLOOKUP(B612,Cardholders_Reference!A:A,Cardholders_Reference!E:E)</f>
        <v>Visa</v>
      </c>
      <c r="P612" s="6">
        <f t="shared" si="68"/>
        <v>1.5019E-3</v>
      </c>
      <c r="Q612">
        <f t="shared" si="63"/>
        <v>0</v>
      </c>
      <c r="R612">
        <f t="shared" si="64"/>
        <v>0</v>
      </c>
      <c r="S612">
        <f>IF(COUNTIFS($B$1:$B$738,B611,$C$1:$C$738,#REF!)&gt;2,1,0)</f>
        <v>0</v>
      </c>
      <c r="T612">
        <f t="shared" si="65"/>
        <v>0</v>
      </c>
      <c r="U612">
        <f t="shared" si="66"/>
        <v>0</v>
      </c>
      <c r="V612">
        <f t="shared" si="67"/>
        <v>0</v>
      </c>
      <c r="W612">
        <f t="shared" si="69"/>
        <v>0</v>
      </c>
      <c r="X612" t="str" cm="1">
        <f t="array" ref="X612">_xlfn.IFS(W612&lt;=1,"Low",W612=2,"Medium",W612&gt;=3,"High")</f>
        <v>Low</v>
      </c>
    </row>
    <row r="613" spans="1:24" x14ac:dyDescent="0.3">
      <c r="A613" t="s">
        <v>1189</v>
      </c>
      <c r="B613" t="s">
        <v>1182</v>
      </c>
      <c r="C613" s="3">
        <v>45845</v>
      </c>
      <c r="D613" s="8" t="s">
        <v>1190</v>
      </c>
      <c r="E613" s="7" t="s">
        <v>173</v>
      </c>
      <c r="F613" s="7" t="s">
        <v>21</v>
      </c>
      <c r="G613" s="7" t="s">
        <v>22</v>
      </c>
      <c r="H613" s="4">
        <v>1027.1199999999999</v>
      </c>
      <c r="I613" s="7" t="s">
        <v>32</v>
      </c>
      <c r="J613" s="7" t="s">
        <v>17</v>
      </c>
      <c r="L613" t="str">
        <f>PROPER(TRIM(SUBSTITUTE(_xlfn.XLOOKUP(B613,Cardholders_Reference!A:A,Cardholders_Reference!B:B),","," ")))</f>
        <v>Precious Van Der Merwe</v>
      </c>
      <c r="M613" s="5">
        <f>_xlfn.XLOOKUP(B613,Cardholders_Reference!A:A,Cardholders_Reference!G:G)</f>
        <v>100000</v>
      </c>
      <c r="N613" s="7" t="str">
        <f>_xlfn.XLOOKUP(B613,Cardholders_Reference!A:A,Cardholders_Reference!D:D)</f>
        <v>Standard Bank</v>
      </c>
      <c r="O613" s="7" t="str">
        <f>_xlfn.XLOOKUP(B613,Cardholders_Reference!A:A,Cardholders_Reference!E:E)</f>
        <v>Visa</v>
      </c>
      <c r="P613" s="6">
        <f t="shared" si="68"/>
        <v>1.0271199999999999E-2</v>
      </c>
      <c r="Q613">
        <f t="shared" si="63"/>
        <v>0</v>
      </c>
      <c r="R613">
        <f t="shared" si="64"/>
        <v>0</v>
      </c>
      <c r="S613">
        <f>IF(COUNTIFS($B$1:$B$738,B612,$C$1:$C$738,#REF!)&gt;2,1,0)</f>
        <v>0</v>
      </c>
      <c r="T613">
        <f t="shared" si="65"/>
        <v>0</v>
      </c>
      <c r="U613">
        <f t="shared" si="66"/>
        <v>0</v>
      </c>
      <c r="V613">
        <f t="shared" si="67"/>
        <v>0</v>
      </c>
      <c r="W613">
        <f t="shared" si="69"/>
        <v>0</v>
      </c>
      <c r="X613" t="str" cm="1">
        <f t="array" ref="X613">_xlfn.IFS(W613&lt;=1,"Low",W613=2,"Medium",W613&gt;=3,"High")</f>
        <v>Low</v>
      </c>
    </row>
    <row r="614" spans="1:24" x14ac:dyDescent="0.3">
      <c r="A614" t="s">
        <v>1191</v>
      </c>
      <c r="B614" t="s">
        <v>1182</v>
      </c>
      <c r="C614" s="3">
        <v>46113</v>
      </c>
      <c r="D614" s="8" t="s">
        <v>1192</v>
      </c>
      <c r="E614" s="7" t="s">
        <v>114</v>
      </c>
      <c r="F614" s="7" t="s">
        <v>81</v>
      </c>
      <c r="G614" s="7" t="s">
        <v>22</v>
      </c>
      <c r="H614" s="4">
        <v>6842.85</v>
      </c>
      <c r="I614" s="7" t="s">
        <v>26</v>
      </c>
      <c r="J614" s="7" t="s">
        <v>17</v>
      </c>
      <c r="L614" t="str">
        <f>PROPER(TRIM(SUBSTITUTE(_xlfn.XLOOKUP(B614,Cardholders_Reference!A:A,Cardholders_Reference!B:B),","," ")))</f>
        <v>Precious Van Der Merwe</v>
      </c>
      <c r="M614" s="5">
        <f>_xlfn.XLOOKUP(B614,Cardholders_Reference!A:A,Cardholders_Reference!G:G)</f>
        <v>100000</v>
      </c>
      <c r="N614" s="7" t="str">
        <f>_xlfn.XLOOKUP(B614,Cardholders_Reference!A:A,Cardholders_Reference!D:D)</f>
        <v>Standard Bank</v>
      </c>
      <c r="O614" s="7" t="str">
        <f>_xlfn.XLOOKUP(B614,Cardholders_Reference!A:A,Cardholders_Reference!E:E)</f>
        <v>Visa</v>
      </c>
      <c r="P614" s="6">
        <f t="shared" si="68"/>
        <v>6.8428500000000003E-2</v>
      </c>
      <c r="Q614">
        <f t="shared" si="63"/>
        <v>0</v>
      </c>
      <c r="R614">
        <f t="shared" si="64"/>
        <v>0</v>
      </c>
      <c r="S614">
        <f>IF(COUNTIFS($B$1:$B$738,B613,$C$1:$C$738,#REF!)&gt;2,1,0)</f>
        <v>0</v>
      </c>
      <c r="T614">
        <f t="shared" si="65"/>
        <v>0</v>
      </c>
      <c r="U614">
        <f t="shared" si="66"/>
        <v>1</v>
      </c>
      <c r="V614">
        <f t="shared" si="67"/>
        <v>1</v>
      </c>
      <c r="W614">
        <f t="shared" si="69"/>
        <v>2</v>
      </c>
      <c r="X614" t="str" cm="1">
        <f t="array" ref="X614">_xlfn.IFS(W614&lt;=1,"Low",W614=2,"Medium",W614&gt;=3,"High")</f>
        <v>Medium</v>
      </c>
    </row>
    <row r="615" spans="1:24" x14ac:dyDescent="0.3">
      <c r="A615" t="s">
        <v>1193</v>
      </c>
      <c r="B615" t="s">
        <v>1182</v>
      </c>
      <c r="C615" s="3">
        <v>46092</v>
      </c>
      <c r="D615" s="8" t="s">
        <v>1167</v>
      </c>
      <c r="E615" s="7" t="s">
        <v>104</v>
      </c>
      <c r="F615" s="7" t="s">
        <v>65</v>
      </c>
      <c r="G615" s="7" t="s">
        <v>177</v>
      </c>
      <c r="H615" s="4">
        <v>1682.93</v>
      </c>
      <c r="I615" s="7" t="s">
        <v>16</v>
      </c>
      <c r="J615" s="7" t="s">
        <v>17</v>
      </c>
      <c r="K615" t="s">
        <v>183</v>
      </c>
      <c r="L615" t="str">
        <f>PROPER(TRIM(SUBSTITUTE(_xlfn.XLOOKUP(B615,Cardholders_Reference!A:A,Cardholders_Reference!B:B),","," ")))</f>
        <v>Precious Van Der Merwe</v>
      </c>
      <c r="M615" s="5">
        <f>_xlfn.XLOOKUP(B615,Cardholders_Reference!A:A,Cardholders_Reference!G:G)</f>
        <v>100000</v>
      </c>
      <c r="N615" s="7" t="str">
        <f>_xlfn.XLOOKUP(B615,Cardholders_Reference!A:A,Cardholders_Reference!D:D)</f>
        <v>Standard Bank</v>
      </c>
      <c r="O615" s="7" t="str">
        <f>_xlfn.XLOOKUP(B615,Cardholders_Reference!A:A,Cardholders_Reference!E:E)</f>
        <v>Visa</v>
      </c>
      <c r="P615" s="6">
        <f t="shared" si="68"/>
        <v>1.6829300000000002E-2</v>
      </c>
      <c r="Q615">
        <f t="shared" si="63"/>
        <v>0</v>
      </c>
      <c r="R615">
        <f t="shared" si="64"/>
        <v>0</v>
      </c>
      <c r="S615">
        <f>IF(COUNTIFS($B$1:$B$738,B614,$C$1:$C$738,#REF!)&gt;2,1,0)</f>
        <v>0</v>
      </c>
      <c r="T615">
        <f t="shared" si="65"/>
        <v>0</v>
      </c>
      <c r="U615">
        <f t="shared" si="66"/>
        <v>0</v>
      </c>
      <c r="V615">
        <f t="shared" si="67"/>
        <v>0</v>
      </c>
      <c r="W615">
        <f t="shared" si="69"/>
        <v>0</v>
      </c>
      <c r="X615" t="str" cm="1">
        <f t="array" ref="X615">_xlfn.IFS(W615&lt;=1,"Low",W615=2,"Medium",W615&gt;=3,"High")</f>
        <v>Low</v>
      </c>
    </row>
    <row r="616" spans="1:24" x14ac:dyDescent="0.3">
      <c r="A616" t="s">
        <v>1194</v>
      </c>
      <c r="B616" t="s">
        <v>1182</v>
      </c>
      <c r="C616" s="3">
        <v>45965</v>
      </c>
      <c r="D616" s="8" t="s">
        <v>203</v>
      </c>
      <c r="E616" s="7" t="s">
        <v>111</v>
      </c>
      <c r="F616" s="7" t="s">
        <v>48</v>
      </c>
      <c r="G616" s="7" t="s">
        <v>22</v>
      </c>
      <c r="H616" s="4">
        <v>553.91999999999996</v>
      </c>
      <c r="I616" s="7" t="s">
        <v>95</v>
      </c>
      <c r="J616" s="7" t="s">
        <v>17</v>
      </c>
      <c r="L616" t="str">
        <f>PROPER(TRIM(SUBSTITUTE(_xlfn.XLOOKUP(B616,Cardholders_Reference!A:A,Cardholders_Reference!B:B),","," ")))</f>
        <v>Precious Van Der Merwe</v>
      </c>
      <c r="M616" s="5">
        <f>_xlfn.XLOOKUP(B616,Cardholders_Reference!A:A,Cardholders_Reference!G:G)</f>
        <v>100000</v>
      </c>
      <c r="N616" s="7" t="str">
        <f>_xlfn.XLOOKUP(B616,Cardholders_Reference!A:A,Cardholders_Reference!D:D)</f>
        <v>Standard Bank</v>
      </c>
      <c r="O616" s="7" t="str">
        <f>_xlfn.XLOOKUP(B616,Cardholders_Reference!A:A,Cardholders_Reference!E:E)</f>
        <v>Visa</v>
      </c>
      <c r="P616" s="6">
        <f t="shared" si="68"/>
        <v>5.5391999999999993E-3</v>
      </c>
      <c r="Q616">
        <f t="shared" si="63"/>
        <v>1</v>
      </c>
      <c r="R616">
        <f t="shared" si="64"/>
        <v>0</v>
      </c>
      <c r="S616">
        <f>IF(COUNTIFS($B$1:$B$738,B615,$C$1:$C$738,#REF!)&gt;2,1,0)</f>
        <v>0</v>
      </c>
      <c r="T616">
        <f t="shared" si="65"/>
        <v>0</v>
      </c>
      <c r="U616">
        <f t="shared" si="66"/>
        <v>1</v>
      </c>
      <c r="V616">
        <f t="shared" si="67"/>
        <v>1</v>
      </c>
      <c r="W616">
        <f t="shared" si="69"/>
        <v>3</v>
      </c>
      <c r="X616" t="str" cm="1">
        <f t="array" ref="X616">_xlfn.IFS(W616&lt;=1,"Low",W616=2,"Medium",W616&gt;=3,"High")</f>
        <v>High</v>
      </c>
    </row>
    <row r="617" spans="1:24" x14ac:dyDescent="0.3">
      <c r="A617" t="s">
        <v>1195</v>
      </c>
      <c r="B617" t="s">
        <v>1182</v>
      </c>
      <c r="C617" s="3">
        <v>45788</v>
      </c>
      <c r="D617" s="8" t="s">
        <v>985</v>
      </c>
      <c r="E617" s="7" t="s">
        <v>77</v>
      </c>
      <c r="F617" s="7" t="s">
        <v>15</v>
      </c>
      <c r="G617" s="7" t="s">
        <v>22</v>
      </c>
      <c r="H617" s="4">
        <v>1580.97</v>
      </c>
      <c r="I617" s="7" t="s">
        <v>32</v>
      </c>
      <c r="J617" s="7" t="s">
        <v>17</v>
      </c>
      <c r="L617" t="str">
        <f>PROPER(TRIM(SUBSTITUTE(_xlfn.XLOOKUP(B617,Cardholders_Reference!A:A,Cardholders_Reference!B:B),","," ")))</f>
        <v>Precious Van Der Merwe</v>
      </c>
      <c r="M617" s="5">
        <f>_xlfn.XLOOKUP(B617,Cardholders_Reference!A:A,Cardholders_Reference!G:G)</f>
        <v>100000</v>
      </c>
      <c r="N617" s="7" t="str">
        <f>_xlfn.XLOOKUP(B617,Cardholders_Reference!A:A,Cardholders_Reference!D:D)</f>
        <v>Standard Bank</v>
      </c>
      <c r="O617" s="7" t="str">
        <f>_xlfn.XLOOKUP(B617,Cardholders_Reference!A:A,Cardholders_Reference!E:E)</f>
        <v>Visa</v>
      </c>
      <c r="P617" s="6">
        <f t="shared" si="68"/>
        <v>1.5809699999999999E-2</v>
      </c>
      <c r="Q617">
        <f t="shared" si="63"/>
        <v>0</v>
      </c>
      <c r="R617">
        <f t="shared" si="64"/>
        <v>0</v>
      </c>
      <c r="S617">
        <f>IF(COUNTIFS($B$1:$B$738,B616,$C$1:$C$738,#REF!)&gt;2,1,0)</f>
        <v>0</v>
      </c>
      <c r="T617">
        <f t="shared" si="65"/>
        <v>0</v>
      </c>
      <c r="U617">
        <f t="shared" si="66"/>
        <v>0</v>
      </c>
      <c r="V617">
        <f t="shared" si="67"/>
        <v>0</v>
      </c>
      <c r="W617">
        <f t="shared" si="69"/>
        <v>0</v>
      </c>
      <c r="X617" t="str" cm="1">
        <f t="array" ref="X617">_xlfn.IFS(W617&lt;=1,"Low",W617=2,"Medium",W617&gt;=3,"High")</f>
        <v>Low</v>
      </c>
    </row>
    <row r="618" spans="1:24" x14ac:dyDescent="0.3">
      <c r="A618" t="s">
        <v>1196</v>
      </c>
      <c r="B618" t="s">
        <v>1182</v>
      </c>
      <c r="C618" s="3">
        <v>46329</v>
      </c>
      <c r="D618" s="8" t="s">
        <v>1197</v>
      </c>
      <c r="E618" s="7" t="s">
        <v>156</v>
      </c>
      <c r="F618" s="7" t="s">
        <v>36</v>
      </c>
      <c r="G618" s="7" t="s">
        <v>22</v>
      </c>
      <c r="H618" s="4">
        <v>637.6</v>
      </c>
      <c r="I618" s="7" t="s">
        <v>16</v>
      </c>
      <c r="J618" s="7" t="s">
        <v>41</v>
      </c>
      <c r="L618" t="str">
        <f>PROPER(TRIM(SUBSTITUTE(_xlfn.XLOOKUP(B618,Cardholders_Reference!A:A,Cardholders_Reference!B:B),","," ")))</f>
        <v>Precious Van Der Merwe</v>
      </c>
      <c r="M618" s="5">
        <f>_xlfn.XLOOKUP(B618,Cardholders_Reference!A:A,Cardholders_Reference!G:G)</f>
        <v>100000</v>
      </c>
      <c r="N618" s="7" t="str">
        <f>_xlfn.XLOOKUP(B618,Cardholders_Reference!A:A,Cardholders_Reference!D:D)</f>
        <v>Standard Bank</v>
      </c>
      <c r="O618" s="7" t="str">
        <f>_xlfn.XLOOKUP(B618,Cardholders_Reference!A:A,Cardholders_Reference!E:E)</f>
        <v>Visa</v>
      </c>
      <c r="P618" s="6">
        <f t="shared" si="68"/>
        <v>6.3760000000000006E-3</v>
      </c>
      <c r="Q618">
        <f t="shared" si="63"/>
        <v>0</v>
      </c>
      <c r="R618">
        <f t="shared" si="64"/>
        <v>0</v>
      </c>
      <c r="S618">
        <f>IF(COUNTIFS($B$1:$B$738,B617,$C$1:$C$738,#REF!)&gt;2,1,0)</f>
        <v>0</v>
      </c>
      <c r="T618">
        <f t="shared" si="65"/>
        <v>0</v>
      </c>
      <c r="U618">
        <f t="shared" si="66"/>
        <v>0</v>
      </c>
      <c r="V618">
        <f t="shared" si="67"/>
        <v>0</v>
      </c>
      <c r="W618">
        <f t="shared" si="69"/>
        <v>0</v>
      </c>
      <c r="X618" t="str" cm="1">
        <f t="array" ref="X618">_xlfn.IFS(W618&lt;=1,"Low",W618=2,"Medium",W618&gt;=3,"High")</f>
        <v>Low</v>
      </c>
    </row>
    <row r="619" spans="1:24" x14ac:dyDescent="0.3">
      <c r="A619" t="s">
        <v>1198</v>
      </c>
      <c r="B619" t="s">
        <v>1182</v>
      </c>
      <c r="C619" s="3">
        <v>45773</v>
      </c>
      <c r="D619" s="8" t="s">
        <v>324</v>
      </c>
      <c r="E619" s="7" t="s">
        <v>52</v>
      </c>
      <c r="F619" s="7" t="s">
        <v>53</v>
      </c>
      <c r="G619" s="7" t="s">
        <v>22</v>
      </c>
      <c r="H619" s="4">
        <v>1773.74</v>
      </c>
      <c r="I619" s="7" t="s">
        <v>95</v>
      </c>
      <c r="J619" s="7" t="s">
        <v>17</v>
      </c>
      <c r="L619" t="str">
        <f>PROPER(TRIM(SUBSTITUTE(_xlfn.XLOOKUP(B619,Cardholders_Reference!A:A,Cardholders_Reference!B:B),","," ")))</f>
        <v>Precious Van Der Merwe</v>
      </c>
      <c r="M619" s="5">
        <f>_xlfn.XLOOKUP(B619,Cardholders_Reference!A:A,Cardholders_Reference!G:G)</f>
        <v>100000</v>
      </c>
      <c r="N619" s="7" t="str">
        <f>_xlfn.XLOOKUP(B619,Cardholders_Reference!A:A,Cardholders_Reference!D:D)</f>
        <v>Standard Bank</v>
      </c>
      <c r="O619" s="7" t="str">
        <f>_xlfn.XLOOKUP(B619,Cardholders_Reference!A:A,Cardholders_Reference!E:E)</f>
        <v>Visa</v>
      </c>
      <c r="P619" s="6">
        <f t="shared" si="68"/>
        <v>1.77374E-2</v>
      </c>
      <c r="Q619">
        <f t="shared" si="63"/>
        <v>0</v>
      </c>
      <c r="R619">
        <f t="shared" si="64"/>
        <v>0</v>
      </c>
      <c r="S619">
        <f>IF(COUNTIFS($B$1:$B$738,B618,$C$1:$C$738,#REF!)&gt;2,1,0)</f>
        <v>0</v>
      </c>
      <c r="T619">
        <f t="shared" si="65"/>
        <v>0</v>
      </c>
      <c r="U619">
        <f t="shared" si="66"/>
        <v>0</v>
      </c>
      <c r="V619">
        <f t="shared" si="67"/>
        <v>1</v>
      </c>
      <c r="W619">
        <f t="shared" si="69"/>
        <v>1</v>
      </c>
      <c r="X619" t="str" cm="1">
        <f t="array" ref="X619">_xlfn.IFS(W619&lt;=1,"Low",W619=2,"Medium",W619&gt;=3,"High")</f>
        <v>Low</v>
      </c>
    </row>
    <row r="620" spans="1:24" x14ac:dyDescent="0.3">
      <c r="A620" t="s">
        <v>1199</v>
      </c>
      <c r="B620" t="s">
        <v>1182</v>
      </c>
      <c r="C620" s="3">
        <v>45844</v>
      </c>
      <c r="D620" s="8" t="s">
        <v>840</v>
      </c>
      <c r="E620" s="7" t="s">
        <v>340</v>
      </c>
      <c r="F620" s="7" t="s">
        <v>65</v>
      </c>
      <c r="G620" s="7" t="s">
        <v>22</v>
      </c>
      <c r="H620" s="4">
        <v>4080.81</v>
      </c>
      <c r="I620" s="7" t="s">
        <v>95</v>
      </c>
      <c r="J620" s="7" t="s">
        <v>41</v>
      </c>
      <c r="L620" t="str">
        <f>PROPER(TRIM(SUBSTITUTE(_xlfn.XLOOKUP(B620,Cardholders_Reference!A:A,Cardholders_Reference!B:B),","," ")))</f>
        <v>Precious Van Der Merwe</v>
      </c>
      <c r="M620" s="5">
        <f>_xlfn.XLOOKUP(B620,Cardholders_Reference!A:A,Cardholders_Reference!G:G)</f>
        <v>100000</v>
      </c>
      <c r="N620" s="7" t="str">
        <f>_xlfn.XLOOKUP(B620,Cardholders_Reference!A:A,Cardholders_Reference!D:D)</f>
        <v>Standard Bank</v>
      </c>
      <c r="O620" s="7" t="str">
        <f>_xlfn.XLOOKUP(B620,Cardholders_Reference!A:A,Cardholders_Reference!E:E)</f>
        <v>Visa</v>
      </c>
      <c r="P620" s="6">
        <f t="shared" si="68"/>
        <v>4.08081E-2</v>
      </c>
      <c r="Q620">
        <f t="shared" si="63"/>
        <v>0</v>
      </c>
      <c r="R620">
        <f t="shared" si="64"/>
        <v>0</v>
      </c>
      <c r="S620">
        <f>IF(COUNTIFS($B$1:$B$738,B619,$C$1:$C$738,#REF!)&gt;2,1,0)</f>
        <v>0</v>
      </c>
      <c r="T620">
        <f t="shared" si="65"/>
        <v>0</v>
      </c>
      <c r="U620">
        <f t="shared" si="66"/>
        <v>0</v>
      </c>
      <c r="V620">
        <f t="shared" si="67"/>
        <v>1</v>
      </c>
      <c r="W620">
        <f t="shared" si="69"/>
        <v>1</v>
      </c>
      <c r="X620" t="str" cm="1">
        <f t="array" ref="X620">_xlfn.IFS(W620&lt;=1,"Low",W620=2,"Medium",W620&gt;=3,"High")</f>
        <v>Low</v>
      </c>
    </row>
    <row r="621" spans="1:24" x14ac:dyDescent="0.3">
      <c r="A621" t="s">
        <v>1200</v>
      </c>
      <c r="B621" t="s">
        <v>1182</v>
      </c>
      <c r="C621" s="3">
        <v>45790</v>
      </c>
      <c r="D621" s="8" t="s">
        <v>1201</v>
      </c>
      <c r="E621" s="7" t="s">
        <v>156</v>
      </c>
      <c r="F621" s="7" t="s">
        <v>36</v>
      </c>
      <c r="G621" s="7" t="s">
        <v>22</v>
      </c>
      <c r="H621" s="4">
        <v>454.15</v>
      </c>
      <c r="I621" s="7" t="s">
        <v>32</v>
      </c>
      <c r="J621" s="7" t="s">
        <v>17</v>
      </c>
      <c r="K621" t="s">
        <v>762</v>
      </c>
      <c r="L621" t="str">
        <f>PROPER(TRIM(SUBSTITUTE(_xlfn.XLOOKUP(B621,Cardholders_Reference!A:A,Cardholders_Reference!B:B),","," ")))</f>
        <v>Precious Van Der Merwe</v>
      </c>
      <c r="M621" s="5">
        <f>_xlfn.XLOOKUP(B621,Cardholders_Reference!A:A,Cardholders_Reference!G:G)</f>
        <v>100000</v>
      </c>
      <c r="N621" s="7" t="str">
        <f>_xlfn.XLOOKUP(B621,Cardholders_Reference!A:A,Cardholders_Reference!D:D)</f>
        <v>Standard Bank</v>
      </c>
      <c r="O621" s="7" t="str">
        <f>_xlfn.XLOOKUP(B621,Cardholders_Reference!A:A,Cardholders_Reference!E:E)</f>
        <v>Visa</v>
      </c>
      <c r="P621" s="6">
        <f t="shared" si="68"/>
        <v>4.5414999999999995E-3</v>
      </c>
      <c r="Q621">
        <f t="shared" si="63"/>
        <v>0</v>
      </c>
      <c r="R621">
        <f t="shared" si="64"/>
        <v>0</v>
      </c>
      <c r="S621">
        <f>IF(COUNTIFS($B$1:$B$738,B620,$C$1:$C$738,#REF!)&gt;2,1,0)</f>
        <v>0</v>
      </c>
      <c r="T621">
        <f t="shared" si="65"/>
        <v>0</v>
      </c>
      <c r="U621">
        <f t="shared" si="66"/>
        <v>1</v>
      </c>
      <c r="V621">
        <f t="shared" si="67"/>
        <v>0</v>
      </c>
      <c r="W621">
        <f t="shared" si="69"/>
        <v>1</v>
      </c>
      <c r="X621" t="str" cm="1">
        <f t="array" ref="X621">_xlfn.IFS(W621&lt;=1,"Low",W621=2,"Medium",W621&gt;=3,"High")</f>
        <v>Low</v>
      </c>
    </row>
    <row r="622" spans="1:24" x14ac:dyDescent="0.3">
      <c r="A622" t="s">
        <v>1202</v>
      </c>
      <c r="B622" t="s">
        <v>1182</v>
      </c>
      <c r="C622" s="3">
        <v>45721</v>
      </c>
      <c r="D622" s="8" t="s">
        <v>93</v>
      </c>
      <c r="E622" s="7" t="s">
        <v>206</v>
      </c>
      <c r="F622" s="7" t="s">
        <v>61</v>
      </c>
      <c r="G622" s="7" t="s">
        <v>22</v>
      </c>
      <c r="H622" s="4">
        <v>6552.27</v>
      </c>
      <c r="I622" s="7" t="s">
        <v>16</v>
      </c>
      <c r="J622" s="7" t="s">
        <v>17</v>
      </c>
      <c r="L622" t="str">
        <f>PROPER(TRIM(SUBSTITUTE(_xlfn.XLOOKUP(B622,Cardholders_Reference!A:A,Cardholders_Reference!B:B),","," ")))</f>
        <v>Precious Van Der Merwe</v>
      </c>
      <c r="M622" s="5">
        <f>_xlfn.XLOOKUP(B622,Cardholders_Reference!A:A,Cardholders_Reference!G:G)</f>
        <v>100000</v>
      </c>
      <c r="N622" s="7" t="str">
        <f>_xlfn.XLOOKUP(B622,Cardholders_Reference!A:A,Cardholders_Reference!D:D)</f>
        <v>Standard Bank</v>
      </c>
      <c r="O622" s="7" t="str">
        <f>_xlfn.XLOOKUP(B622,Cardholders_Reference!A:A,Cardholders_Reference!E:E)</f>
        <v>Visa</v>
      </c>
      <c r="P622" s="6">
        <f t="shared" si="68"/>
        <v>6.5522700000000003E-2</v>
      </c>
      <c r="Q622">
        <f t="shared" si="63"/>
        <v>0</v>
      </c>
      <c r="R622">
        <f t="shared" si="64"/>
        <v>0</v>
      </c>
      <c r="S622">
        <f>IF(COUNTIFS($B$1:$B$738,B621,$C$1:$C$738,#REF!)&gt;2,1,0)</f>
        <v>0</v>
      </c>
      <c r="T622">
        <f t="shared" si="65"/>
        <v>0</v>
      </c>
      <c r="U622">
        <f t="shared" si="66"/>
        <v>0</v>
      </c>
      <c r="V622">
        <f t="shared" si="67"/>
        <v>0</v>
      </c>
      <c r="W622">
        <f t="shared" si="69"/>
        <v>0</v>
      </c>
      <c r="X622" t="str" cm="1">
        <f t="array" ref="X622">_xlfn.IFS(W622&lt;=1,"Low",W622=2,"Medium",W622&gt;=3,"High")</f>
        <v>Low</v>
      </c>
    </row>
    <row r="623" spans="1:24" x14ac:dyDescent="0.3">
      <c r="A623" t="s">
        <v>1203</v>
      </c>
      <c r="B623" t="s">
        <v>1204</v>
      </c>
      <c r="C623" s="3">
        <v>45845</v>
      </c>
      <c r="D623" s="8" t="s">
        <v>1205</v>
      </c>
      <c r="E623" s="7" t="s">
        <v>132</v>
      </c>
      <c r="F623" s="7" t="s">
        <v>25</v>
      </c>
      <c r="G623" s="7" t="s">
        <v>264</v>
      </c>
      <c r="H623" s="4">
        <v>919.73</v>
      </c>
      <c r="I623" s="7" t="s">
        <v>32</v>
      </c>
      <c r="J623" s="7" t="s">
        <v>17</v>
      </c>
      <c r="L623" t="str">
        <f>PROPER(TRIM(SUBSTITUTE(_xlfn.XLOOKUP(B623,Cardholders_Reference!A:A,Cardholders_Reference!B:B),","," ")))</f>
        <v>Johan Dlamini</v>
      </c>
      <c r="M623" s="5">
        <f>_xlfn.XLOOKUP(B623,Cardholders_Reference!A:A,Cardholders_Reference!G:G)</f>
        <v>30000</v>
      </c>
      <c r="N623" s="7" t="str">
        <f>_xlfn.XLOOKUP(B623,Cardholders_Reference!A:A,Cardholders_Reference!D:D)</f>
        <v>ABSA</v>
      </c>
      <c r="O623" s="7" t="str">
        <f>_xlfn.XLOOKUP(B623,Cardholders_Reference!A:A,Cardholders_Reference!E:E)</f>
        <v>Visa</v>
      </c>
      <c r="P623" s="6">
        <f t="shared" si="68"/>
        <v>3.0657666666666666E-2</v>
      </c>
      <c r="Q623">
        <f t="shared" si="63"/>
        <v>0</v>
      </c>
      <c r="R623">
        <f t="shared" si="64"/>
        <v>0</v>
      </c>
      <c r="S623">
        <f>IF(COUNTIFS($B$1:$B$738,B622,$C$1:$C$738,#REF!)&gt;2,1,0)</f>
        <v>0</v>
      </c>
      <c r="T623">
        <f t="shared" si="65"/>
        <v>0</v>
      </c>
      <c r="U623">
        <f t="shared" si="66"/>
        <v>0</v>
      </c>
      <c r="V623">
        <f t="shared" si="67"/>
        <v>0</v>
      </c>
      <c r="W623">
        <f t="shared" si="69"/>
        <v>0</v>
      </c>
      <c r="X623" t="str" cm="1">
        <f t="array" ref="X623">_xlfn.IFS(W623&lt;=1,"Low",W623=2,"Medium",W623&gt;=3,"High")</f>
        <v>Low</v>
      </c>
    </row>
    <row r="624" spans="1:24" x14ac:dyDescent="0.3">
      <c r="A624" t="s">
        <v>1206</v>
      </c>
      <c r="B624" t="s">
        <v>1204</v>
      </c>
      <c r="C624" s="3">
        <v>45775</v>
      </c>
      <c r="D624" s="8" t="s">
        <v>1207</v>
      </c>
      <c r="E624" s="7" t="s">
        <v>111</v>
      </c>
      <c r="F624" s="7" t="s">
        <v>48</v>
      </c>
      <c r="G624" s="7" t="s">
        <v>264</v>
      </c>
      <c r="H624" s="4">
        <v>1675.67</v>
      </c>
      <c r="I624" s="7" t="s">
        <v>32</v>
      </c>
      <c r="J624" s="7" t="s">
        <v>17</v>
      </c>
      <c r="L624" t="str">
        <f>PROPER(TRIM(SUBSTITUTE(_xlfn.XLOOKUP(B624,Cardholders_Reference!A:A,Cardholders_Reference!B:B),","," ")))</f>
        <v>Johan Dlamini</v>
      </c>
      <c r="M624" s="5">
        <f>_xlfn.XLOOKUP(B624,Cardholders_Reference!A:A,Cardholders_Reference!G:G)</f>
        <v>30000</v>
      </c>
      <c r="N624" s="7" t="str">
        <f>_xlfn.XLOOKUP(B624,Cardholders_Reference!A:A,Cardholders_Reference!D:D)</f>
        <v>ABSA</v>
      </c>
      <c r="O624" s="7" t="str">
        <f>_xlfn.XLOOKUP(B624,Cardholders_Reference!A:A,Cardholders_Reference!E:E)</f>
        <v>Visa</v>
      </c>
      <c r="P624" s="6">
        <f t="shared" si="68"/>
        <v>5.5855666666666672E-2</v>
      </c>
      <c r="Q624">
        <f t="shared" si="63"/>
        <v>0</v>
      </c>
      <c r="R624">
        <f t="shared" si="64"/>
        <v>0</v>
      </c>
      <c r="S624">
        <f>IF(COUNTIFS($B$1:$B$738,B623,$C$1:$C$738,#REF!)&gt;2,1,0)</f>
        <v>0</v>
      </c>
      <c r="T624">
        <f t="shared" si="65"/>
        <v>0</v>
      </c>
      <c r="U624">
        <f t="shared" si="66"/>
        <v>0</v>
      </c>
      <c r="V624">
        <f t="shared" si="67"/>
        <v>0</v>
      </c>
      <c r="W624">
        <f t="shared" si="69"/>
        <v>0</v>
      </c>
      <c r="X624" t="str" cm="1">
        <f t="array" ref="X624">_xlfn.IFS(W624&lt;=1,"Low",W624=2,"Medium",W624&gt;=3,"High")</f>
        <v>Low</v>
      </c>
    </row>
    <row r="625" spans="1:24" x14ac:dyDescent="0.3">
      <c r="A625" t="s">
        <v>1208</v>
      </c>
      <c r="B625" t="s">
        <v>1204</v>
      </c>
      <c r="C625" s="3">
        <v>46120</v>
      </c>
      <c r="D625" s="8" t="s">
        <v>203</v>
      </c>
      <c r="E625" s="7" t="s">
        <v>331</v>
      </c>
      <c r="F625" s="7" t="s">
        <v>40</v>
      </c>
      <c r="G625" s="7" t="s">
        <v>264</v>
      </c>
      <c r="H625" s="4">
        <v>264.5</v>
      </c>
      <c r="I625" s="7" t="s">
        <v>95</v>
      </c>
      <c r="J625" s="7" t="s">
        <v>17</v>
      </c>
      <c r="L625" t="str">
        <f>PROPER(TRIM(SUBSTITUTE(_xlfn.XLOOKUP(B625,Cardholders_Reference!A:A,Cardholders_Reference!B:B),","," ")))</f>
        <v>Johan Dlamini</v>
      </c>
      <c r="M625" s="5">
        <f>_xlfn.XLOOKUP(B625,Cardholders_Reference!A:A,Cardholders_Reference!G:G)</f>
        <v>30000</v>
      </c>
      <c r="N625" s="7" t="str">
        <f>_xlfn.XLOOKUP(B625,Cardholders_Reference!A:A,Cardholders_Reference!D:D)</f>
        <v>ABSA</v>
      </c>
      <c r="O625" s="7" t="str">
        <f>_xlfn.XLOOKUP(B625,Cardholders_Reference!A:A,Cardholders_Reference!E:E)</f>
        <v>Visa</v>
      </c>
      <c r="P625" s="6">
        <f t="shared" si="68"/>
        <v>8.8166666666666671E-3</v>
      </c>
      <c r="Q625">
        <f t="shared" si="63"/>
        <v>0</v>
      </c>
      <c r="R625">
        <f t="shared" si="64"/>
        <v>0</v>
      </c>
      <c r="S625">
        <f>IF(COUNTIFS($B$1:$B$738,B624,$C$1:$C$738,#REF!)&gt;2,1,0)</f>
        <v>0</v>
      </c>
      <c r="T625">
        <f t="shared" si="65"/>
        <v>0</v>
      </c>
      <c r="U625">
        <f t="shared" si="66"/>
        <v>0</v>
      </c>
      <c r="V625">
        <f t="shared" si="67"/>
        <v>1</v>
      </c>
      <c r="W625">
        <f t="shared" si="69"/>
        <v>1</v>
      </c>
      <c r="X625" t="str" cm="1">
        <f t="array" ref="X625">_xlfn.IFS(W625&lt;=1,"Low",W625=2,"Medium",W625&gt;=3,"High")</f>
        <v>Low</v>
      </c>
    </row>
    <row r="626" spans="1:24" x14ac:dyDescent="0.3">
      <c r="A626" t="s">
        <v>1209</v>
      </c>
      <c r="B626" t="s">
        <v>1204</v>
      </c>
      <c r="C626" s="3">
        <v>45731</v>
      </c>
      <c r="D626" s="8" t="s">
        <v>624</v>
      </c>
      <c r="E626" s="7" t="s">
        <v>331</v>
      </c>
      <c r="F626" s="7" t="s">
        <v>40</v>
      </c>
      <c r="G626" s="7" t="s">
        <v>264</v>
      </c>
      <c r="H626" s="4">
        <v>311.72000000000003</v>
      </c>
      <c r="I626" s="7" t="s">
        <v>16</v>
      </c>
      <c r="J626" s="7" t="s">
        <v>17</v>
      </c>
      <c r="L626" t="str">
        <f>PROPER(TRIM(SUBSTITUTE(_xlfn.XLOOKUP(B626,Cardholders_Reference!A:A,Cardholders_Reference!B:B),","," ")))</f>
        <v>Johan Dlamini</v>
      </c>
      <c r="M626" s="5">
        <f>_xlfn.XLOOKUP(B626,Cardholders_Reference!A:A,Cardholders_Reference!G:G)</f>
        <v>30000</v>
      </c>
      <c r="N626" s="7" t="str">
        <f>_xlfn.XLOOKUP(B626,Cardholders_Reference!A:A,Cardholders_Reference!D:D)</f>
        <v>ABSA</v>
      </c>
      <c r="O626" s="7" t="str">
        <f>_xlfn.XLOOKUP(B626,Cardholders_Reference!A:A,Cardholders_Reference!E:E)</f>
        <v>Visa</v>
      </c>
      <c r="P626" s="6">
        <f t="shared" si="68"/>
        <v>1.0390666666666668E-2</v>
      </c>
      <c r="Q626">
        <f t="shared" si="63"/>
        <v>0</v>
      </c>
      <c r="R626">
        <f t="shared" si="64"/>
        <v>0</v>
      </c>
      <c r="S626">
        <f>IF(COUNTIFS($B$1:$B$738,B625,$C$1:$C$738,#REF!)&gt;2,1,0)</f>
        <v>0</v>
      </c>
      <c r="T626">
        <f t="shared" si="65"/>
        <v>0</v>
      </c>
      <c r="U626">
        <f t="shared" si="66"/>
        <v>0</v>
      </c>
      <c r="V626">
        <f t="shared" si="67"/>
        <v>0</v>
      </c>
      <c r="W626">
        <f t="shared" si="69"/>
        <v>0</v>
      </c>
      <c r="X626" t="str" cm="1">
        <f t="array" ref="X626">_xlfn.IFS(W626&lt;=1,"Low",W626=2,"Medium",W626&gt;=3,"High")</f>
        <v>Low</v>
      </c>
    </row>
    <row r="627" spans="1:24" x14ac:dyDescent="0.3">
      <c r="A627" t="s">
        <v>1210</v>
      </c>
      <c r="B627" t="s">
        <v>1204</v>
      </c>
      <c r="C627" s="3">
        <v>46183</v>
      </c>
      <c r="D627" s="8" t="s">
        <v>1072</v>
      </c>
      <c r="E627" s="7" t="s">
        <v>129</v>
      </c>
      <c r="F627" s="7" t="s">
        <v>25</v>
      </c>
      <c r="G627" s="7" t="s">
        <v>264</v>
      </c>
      <c r="H627" s="4">
        <v>801.06</v>
      </c>
      <c r="I627" s="7" t="s">
        <v>32</v>
      </c>
      <c r="J627" s="7" t="s">
        <v>41</v>
      </c>
      <c r="L627" t="str">
        <f>PROPER(TRIM(SUBSTITUTE(_xlfn.XLOOKUP(B627,Cardholders_Reference!A:A,Cardholders_Reference!B:B),","," ")))</f>
        <v>Johan Dlamini</v>
      </c>
      <c r="M627" s="5">
        <f>_xlfn.XLOOKUP(B627,Cardholders_Reference!A:A,Cardholders_Reference!G:G)</f>
        <v>30000</v>
      </c>
      <c r="N627" s="7" t="str">
        <f>_xlfn.XLOOKUP(B627,Cardholders_Reference!A:A,Cardholders_Reference!D:D)</f>
        <v>ABSA</v>
      </c>
      <c r="O627" s="7" t="str">
        <f>_xlfn.XLOOKUP(B627,Cardholders_Reference!A:A,Cardholders_Reference!E:E)</f>
        <v>Visa</v>
      </c>
      <c r="P627" s="6">
        <f t="shared" si="68"/>
        <v>2.6701999999999997E-2</v>
      </c>
      <c r="Q627">
        <f t="shared" si="63"/>
        <v>0</v>
      </c>
      <c r="R627">
        <f t="shared" si="64"/>
        <v>0</v>
      </c>
      <c r="S627">
        <f>IF(COUNTIFS($B$1:$B$738,B626,$C$1:$C$738,#REF!)&gt;2,1,0)</f>
        <v>0</v>
      </c>
      <c r="T627">
        <f t="shared" si="65"/>
        <v>0</v>
      </c>
      <c r="U627">
        <f t="shared" si="66"/>
        <v>0</v>
      </c>
      <c r="V627">
        <f t="shared" si="67"/>
        <v>0</v>
      </c>
      <c r="W627">
        <f t="shared" si="69"/>
        <v>0</v>
      </c>
      <c r="X627" t="str" cm="1">
        <f t="array" ref="X627">_xlfn.IFS(W627&lt;=1,"Low",W627=2,"Medium",W627&gt;=3,"High")</f>
        <v>Low</v>
      </c>
    </row>
    <row r="628" spans="1:24" x14ac:dyDescent="0.3">
      <c r="A628" t="s">
        <v>1211</v>
      </c>
      <c r="B628" t="s">
        <v>1204</v>
      </c>
      <c r="C628" s="3">
        <v>46088</v>
      </c>
      <c r="D628" s="8" t="s">
        <v>1212</v>
      </c>
      <c r="E628" s="7" t="s">
        <v>97</v>
      </c>
      <c r="F628" s="7" t="s">
        <v>53</v>
      </c>
      <c r="G628" s="7" t="s">
        <v>264</v>
      </c>
      <c r="H628" s="4">
        <v>423.21</v>
      </c>
      <c r="I628" s="7" t="s">
        <v>26</v>
      </c>
      <c r="J628" s="7" t="s">
        <v>17</v>
      </c>
      <c r="L628" t="str">
        <f>PROPER(TRIM(SUBSTITUTE(_xlfn.XLOOKUP(B628,Cardholders_Reference!A:A,Cardholders_Reference!B:B),","," ")))</f>
        <v>Johan Dlamini</v>
      </c>
      <c r="M628" s="5">
        <f>_xlfn.XLOOKUP(B628,Cardholders_Reference!A:A,Cardholders_Reference!G:G)</f>
        <v>30000</v>
      </c>
      <c r="N628" s="7" t="str">
        <f>_xlfn.XLOOKUP(B628,Cardholders_Reference!A:A,Cardholders_Reference!D:D)</f>
        <v>ABSA</v>
      </c>
      <c r="O628" s="7" t="str">
        <f>_xlfn.XLOOKUP(B628,Cardholders_Reference!A:A,Cardholders_Reference!E:E)</f>
        <v>Visa</v>
      </c>
      <c r="P628" s="6">
        <f t="shared" si="68"/>
        <v>1.4107E-2</v>
      </c>
      <c r="Q628">
        <f t="shared" si="63"/>
        <v>0</v>
      </c>
      <c r="R628">
        <f t="shared" si="64"/>
        <v>0</v>
      </c>
      <c r="S628">
        <f>IF(COUNTIFS($B$1:$B$738,B627,$C$1:$C$738,#REF!)&gt;2,1,0)</f>
        <v>0</v>
      </c>
      <c r="T628">
        <f t="shared" si="65"/>
        <v>0</v>
      </c>
      <c r="U628">
        <f t="shared" si="66"/>
        <v>0</v>
      </c>
      <c r="V628">
        <f t="shared" si="67"/>
        <v>1</v>
      </c>
      <c r="W628">
        <f t="shared" si="69"/>
        <v>1</v>
      </c>
      <c r="X628" t="str" cm="1">
        <f t="array" ref="X628">_xlfn.IFS(W628&lt;=1,"Low",W628=2,"Medium",W628&gt;=3,"High")</f>
        <v>Low</v>
      </c>
    </row>
    <row r="629" spans="1:24" x14ac:dyDescent="0.3">
      <c r="A629" t="s">
        <v>1213</v>
      </c>
      <c r="B629" t="s">
        <v>1204</v>
      </c>
      <c r="C629" s="3">
        <v>45717</v>
      </c>
      <c r="D629" s="8" t="s">
        <v>450</v>
      </c>
      <c r="E629" s="7" t="s">
        <v>548</v>
      </c>
      <c r="F629" s="7" t="s">
        <v>40</v>
      </c>
      <c r="G629" s="7" t="s">
        <v>264</v>
      </c>
      <c r="H629" s="4">
        <v>247.55</v>
      </c>
      <c r="I629" s="7" t="s">
        <v>16</v>
      </c>
      <c r="J629" s="7" t="s">
        <v>41</v>
      </c>
      <c r="L629" t="str">
        <f>PROPER(TRIM(SUBSTITUTE(_xlfn.XLOOKUP(B629,Cardholders_Reference!A:A,Cardholders_Reference!B:B),","," ")))</f>
        <v>Johan Dlamini</v>
      </c>
      <c r="M629" s="5">
        <f>_xlfn.XLOOKUP(B629,Cardholders_Reference!A:A,Cardholders_Reference!G:G)</f>
        <v>30000</v>
      </c>
      <c r="N629" s="7" t="str">
        <f>_xlfn.XLOOKUP(B629,Cardholders_Reference!A:A,Cardholders_Reference!D:D)</f>
        <v>ABSA</v>
      </c>
      <c r="O629" s="7" t="str">
        <f>_xlfn.XLOOKUP(B629,Cardholders_Reference!A:A,Cardholders_Reference!E:E)</f>
        <v>Visa</v>
      </c>
      <c r="P629" s="6">
        <f t="shared" si="68"/>
        <v>8.2516666666666676E-3</v>
      </c>
      <c r="Q629">
        <f t="shared" si="63"/>
        <v>0</v>
      </c>
      <c r="R629">
        <f t="shared" si="64"/>
        <v>0</v>
      </c>
      <c r="S629">
        <f>IF(COUNTIFS($B$1:$B$738,B628,$C$1:$C$738,#REF!)&gt;2,1,0)</f>
        <v>0</v>
      </c>
      <c r="T629">
        <f t="shared" si="65"/>
        <v>0</v>
      </c>
      <c r="U629">
        <f t="shared" si="66"/>
        <v>0</v>
      </c>
      <c r="V629">
        <f t="shared" si="67"/>
        <v>0</v>
      </c>
      <c r="W629">
        <f t="shared" si="69"/>
        <v>0</v>
      </c>
      <c r="X629" t="str" cm="1">
        <f t="array" ref="X629">_xlfn.IFS(W629&lt;=1,"Low",W629=2,"Medium",W629&gt;=3,"High")</f>
        <v>Low</v>
      </c>
    </row>
    <row r="630" spans="1:24" x14ac:dyDescent="0.3">
      <c r="A630" t="s">
        <v>1214</v>
      </c>
      <c r="B630" t="s">
        <v>1204</v>
      </c>
      <c r="C630" s="3">
        <v>45711</v>
      </c>
      <c r="D630" s="8" t="s">
        <v>780</v>
      </c>
      <c r="E630" s="7" t="s">
        <v>140</v>
      </c>
      <c r="F630" s="7" t="s">
        <v>53</v>
      </c>
      <c r="G630" s="7" t="s">
        <v>264</v>
      </c>
      <c r="H630" s="4">
        <v>252.57</v>
      </c>
      <c r="I630" s="7" t="s">
        <v>16</v>
      </c>
      <c r="J630" s="7" t="s">
        <v>17</v>
      </c>
      <c r="L630" t="str">
        <f>PROPER(TRIM(SUBSTITUTE(_xlfn.XLOOKUP(B630,Cardholders_Reference!A:A,Cardholders_Reference!B:B),","," ")))</f>
        <v>Johan Dlamini</v>
      </c>
      <c r="M630" s="5">
        <f>_xlfn.XLOOKUP(B630,Cardholders_Reference!A:A,Cardholders_Reference!G:G)</f>
        <v>30000</v>
      </c>
      <c r="N630" s="7" t="str">
        <f>_xlfn.XLOOKUP(B630,Cardholders_Reference!A:A,Cardholders_Reference!D:D)</f>
        <v>ABSA</v>
      </c>
      <c r="O630" s="7" t="str">
        <f>_xlfn.XLOOKUP(B630,Cardholders_Reference!A:A,Cardholders_Reference!E:E)</f>
        <v>Visa</v>
      </c>
      <c r="P630" s="6">
        <f t="shared" si="68"/>
        <v>8.4189999999999994E-3</v>
      </c>
      <c r="Q630">
        <f t="shared" si="63"/>
        <v>0</v>
      </c>
      <c r="R630">
        <f t="shared" si="64"/>
        <v>0</v>
      </c>
      <c r="S630">
        <f>IF(COUNTIFS($B$1:$B$738,B629,$C$1:$C$738,#REF!)&gt;2,1,0)</f>
        <v>0</v>
      </c>
      <c r="T630">
        <f t="shared" si="65"/>
        <v>0</v>
      </c>
      <c r="U630">
        <f t="shared" si="66"/>
        <v>0</v>
      </c>
      <c r="V630">
        <f t="shared" si="67"/>
        <v>0</v>
      </c>
      <c r="W630">
        <f t="shared" si="69"/>
        <v>0</v>
      </c>
      <c r="X630" t="str" cm="1">
        <f t="array" ref="X630">_xlfn.IFS(W630&lt;=1,"Low",W630=2,"Medium",W630&gt;=3,"High")</f>
        <v>Low</v>
      </c>
    </row>
    <row r="631" spans="1:24" x14ac:dyDescent="0.3">
      <c r="A631" t="s">
        <v>1215</v>
      </c>
      <c r="B631" t="s">
        <v>1204</v>
      </c>
      <c r="C631" s="3">
        <v>46002</v>
      </c>
      <c r="D631" s="8" t="s">
        <v>1216</v>
      </c>
      <c r="E631" s="7" t="s">
        <v>94</v>
      </c>
      <c r="F631" s="7" t="s">
        <v>53</v>
      </c>
      <c r="G631" s="7" t="s">
        <v>264</v>
      </c>
      <c r="H631" s="4">
        <v>245.73</v>
      </c>
      <c r="I631" s="7" t="s">
        <v>95</v>
      </c>
      <c r="J631" s="7" t="s">
        <v>17</v>
      </c>
      <c r="L631" t="str">
        <f>PROPER(TRIM(SUBSTITUTE(_xlfn.XLOOKUP(B631,Cardholders_Reference!A:A,Cardholders_Reference!B:B),","," ")))</f>
        <v>Johan Dlamini</v>
      </c>
      <c r="M631" s="5">
        <f>_xlfn.XLOOKUP(B631,Cardholders_Reference!A:A,Cardholders_Reference!G:G)</f>
        <v>30000</v>
      </c>
      <c r="N631" s="7" t="str">
        <f>_xlfn.XLOOKUP(B631,Cardholders_Reference!A:A,Cardholders_Reference!D:D)</f>
        <v>ABSA</v>
      </c>
      <c r="O631" s="7" t="str">
        <f>_xlfn.XLOOKUP(B631,Cardholders_Reference!A:A,Cardholders_Reference!E:E)</f>
        <v>Visa</v>
      </c>
      <c r="P631" s="6">
        <f t="shared" si="68"/>
        <v>8.1910000000000004E-3</v>
      </c>
      <c r="Q631">
        <f t="shared" si="63"/>
        <v>0</v>
      </c>
      <c r="R631">
        <f t="shared" si="64"/>
        <v>0</v>
      </c>
      <c r="S631">
        <f>IF(COUNTIFS($B$1:$B$738,B630,$C$1:$C$738,#REF!)&gt;2,1,0)</f>
        <v>0</v>
      </c>
      <c r="T631">
        <f t="shared" si="65"/>
        <v>0</v>
      </c>
      <c r="U631">
        <f t="shared" si="66"/>
        <v>0</v>
      </c>
      <c r="V631">
        <f t="shared" si="67"/>
        <v>1</v>
      </c>
      <c r="W631">
        <f t="shared" si="69"/>
        <v>1</v>
      </c>
      <c r="X631" t="str" cm="1">
        <f t="array" ref="X631">_xlfn.IFS(W631&lt;=1,"Low",W631=2,"Medium",W631&gt;=3,"High")</f>
        <v>Low</v>
      </c>
    </row>
    <row r="632" spans="1:24" x14ac:dyDescent="0.3">
      <c r="A632" t="s">
        <v>1217</v>
      </c>
      <c r="B632" t="s">
        <v>1204</v>
      </c>
      <c r="C632" s="3">
        <v>45906</v>
      </c>
      <c r="D632" s="8" t="s">
        <v>1218</v>
      </c>
      <c r="E632" s="7" t="s">
        <v>126</v>
      </c>
      <c r="F632" s="7" t="s">
        <v>53</v>
      </c>
      <c r="G632" s="7" t="s">
        <v>264</v>
      </c>
      <c r="H632" s="4">
        <v>1446.57</v>
      </c>
      <c r="I632" s="7" t="s">
        <v>16</v>
      </c>
      <c r="J632" s="7" t="s">
        <v>17</v>
      </c>
      <c r="L632" t="str">
        <f>PROPER(TRIM(SUBSTITUTE(_xlfn.XLOOKUP(B632,Cardholders_Reference!A:A,Cardholders_Reference!B:B),","," ")))</f>
        <v>Johan Dlamini</v>
      </c>
      <c r="M632" s="5">
        <f>_xlfn.XLOOKUP(B632,Cardholders_Reference!A:A,Cardholders_Reference!G:G)</f>
        <v>30000</v>
      </c>
      <c r="N632" s="7" t="str">
        <f>_xlfn.XLOOKUP(B632,Cardholders_Reference!A:A,Cardholders_Reference!D:D)</f>
        <v>ABSA</v>
      </c>
      <c r="O632" s="7" t="str">
        <f>_xlfn.XLOOKUP(B632,Cardholders_Reference!A:A,Cardholders_Reference!E:E)</f>
        <v>Visa</v>
      </c>
      <c r="P632" s="6">
        <f t="shared" si="68"/>
        <v>4.8218999999999998E-2</v>
      </c>
      <c r="Q632">
        <f t="shared" si="63"/>
        <v>0</v>
      </c>
      <c r="R632">
        <f t="shared" si="64"/>
        <v>0</v>
      </c>
      <c r="S632">
        <f>IF(COUNTIFS($B$1:$B$738,B631,$C$1:$C$738,#REF!)&gt;2,1,0)</f>
        <v>0</v>
      </c>
      <c r="T632">
        <f t="shared" si="65"/>
        <v>0</v>
      </c>
      <c r="U632">
        <f t="shared" si="66"/>
        <v>0</v>
      </c>
      <c r="V632">
        <f t="shared" si="67"/>
        <v>0</v>
      </c>
      <c r="W632">
        <f t="shared" si="69"/>
        <v>0</v>
      </c>
      <c r="X632" t="str" cm="1">
        <f t="array" ref="X632">_xlfn.IFS(W632&lt;=1,"Low",W632=2,"Medium",W632&gt;=3,"High")</f>
        <v>Low</v>
      </c>
    </row>
    <row r="633" spans="1:24" x14ac:dyDescent="0.3">
      <c r="A633" t="s">
        <v>1219</v>
      </c>
      <c r="B633" t="s">
        <v>1220</v>
      </c>
      <c r="C633" s="3">
        <v>45658</v>
      </c>
      <c r="D633" s="8" t="s">
        <v>1221</v>
      </c>
      <c r="E633" s="7" t="s">
        <v>137</v>
      </c>
      <c r="F633" s="7" t="s">
        <v>40</v>
      </c>
      <c r="G633" s="7" t="s">
        <v>177</v>
      </c>
      <c r="H633" s="4">
        <v>136.63</v>
      </c>
      <c r="I633" s="7" t="s">
        <v>26</v>
      </c>
      <c r="J633" s="7" t="s">
        <v>17</v>
      </c>
      <c r="L633" t="str">
        <f>PROPER(TRIM(SUBSTITUTE(_xlfn.XLOOKUP(B633,Cardholders_Reference!A:A,Cardholders_Reference!B:B),","," ")))</f>
        <v>Pieter Govender</v>
      </c>
      <c r="M633" s="5">
        <f>_xlfn.XLOOKUP(B633,Cardholders_Reference!A:A,Cardholders_Reference!G:G)</f>
        <v>40000</v>
      </c>
      <c r="N633" s="7" t="str">
        <f>_xlfn.XLOOKUP(B633,Cardholders_Reference!A:A,Cardholders_Reference!D:D)</f>
        <v>Standard Bank</v>
      </c>
      <c r="O633" s="7" t="str">
        <f>_xlfn.XLOOKUP(B633,Cardholders_Reference!A:A,Cardholders_Reference!E:E)</f>
        <v>Visa</v>
      </c>
      <c r="P633" s="6">
        <f t="shared" si="68"/>
        <v>3.4157499999999999E-3</v>
      </c>
      <c r="Q633">
        <f t="shared" si="63"/>
        <v>0</v>
      </c>
      <c r="R633">
        <f t="shared" si="64"/>
        <v>0</v>
      </c>
      <c r="S633">
        <f>IF(COUNTIFS($B$1:$B$738,B632,$C$1:$C$738,#REF!)&gt;2,1,0)</f>
        <v>0</v>
      </c>
      <c r="T633">
        <f t="shared" si="65"/>
        <v>0</v>
      </c>
      <c r="U633">
        <f t="shared" si="66"/>
        <v>0</v>
      </c>
      <c r="V633">
        <f t="shared" si="67"/>
        <v>1</v>
      </c>
      <c r="W633">
        <f t="shared" si="69"/>
        <v>1</v>
      </c>
      <c r="X633" t="str" cm="1">
        <f t="array" ref="X633">_xlfn.IFS(W633&lt;=1,"Low",W633=2,"Medium",W633&gt;=3,"High")</f>
        <v>Low</v>
      </c>
    </row>
    <row r="634" spans="1:24" x14ac:dyDescent="0.3">
      <c r="A634" t="s">
        <v>1222</v>
      </c>
      <c r="B634" t="s">
        <v>1220</v>
      </c>
      <c r="C634" s="3">
        <v>46604</v>
      </c>
      <c r="D634" s="8" t="s">
        <v>1223</v>
      </c>
      <c r="E634" s="7" t="s">
        <v>90</v>
      </c>
      <c r="F634" s="7" t="s">
        <v>91</v>
      </c>
      <c r="G634" s="7" t="s">
        <v>49</v>
      </c>
      <c r="H634" s="4">
        <v>406.71</v>
      </c>
      <c r="I634" s="7" t="s">
        <v>95</v>
      </c>
      <c r="J634" s="7" t="s">
        <v>17</v>
      </c>
      <c r="L634" t="str">
        <f>PROPER(TRIM(SUBSTITUTE(_xlfn.XLOOKUP(B634,Cardholders_Reference!A:A,Cardholders_Reference!B:B),","," ")))</f>
        <v>Pieter Govender</v>
      </c>
      <c r="M634" s="5">
        <f>_xlfn.XLOOKUP(B634,Cardholders_Reference!A:A,Cardholders_Reference!G:G)</f>
        <v>40000</v>
      </c>
      <c r="N634" s="7" t="str">
        <f>_xlfn.XLOOKUP(B634,Cardholders_Reference!A:A,Cardholders_Reference!D:D)</f>
        <v>Standard Bank</v>
      </c>
      <c r="O634" s="7" t="str">
        <f>_xlfn.XLOOKUP(B634,Cardholders_Reference!A:A,Cardholders_Reference!E:E)</f>
        <v>Visa</v>
      </c>
      <c r="P634" s="6">
        <f t="shared" si="68"/>
        <v>1.016775E-2</v>
      </c>
      <c r="Q634">
        <f t="shared" si="63"/>
        <v>0</v>
      </c>
      <c r="R634">
        <f t="shared" si="64"/>
        <v>0</v>
      </c>
      <c r="S634">
        <f>IF(COUNTIFS($B$1:$B$738,B633,$C$1:$C$738,#REF!)&gt;2,1,0)</f>
        <v>0</v>
      </c>
      <c r="T634">
        <f t="shared" si="65"/>
        <v>0</v>
      </c>
      <c r="U634">
        <f t="shared" si="66"/>
        <v>0</v>
      </c>
      <c r="V634">
        <f t="shared" si="67"/>
        <v>1</v>
      </c>
      <c r="W634">
        <f t="shared" si="69"/>
        <v>1</v>
      </c>
      <c r="X634" t="str" cm="1">
        <f t="array" ref="X634">_xlfn.IFS(W634&lt;=1,"Low",W634=2,"Medium",W634&gt;=3,"High")</f>
        <v>Low</v>
      </c>
    </row>
    <row r="635" spans="1:24" x14ac:dyDescent="0.3">
      <c r="A635" t="s">
        <v>1224</v>
      </c>
      <c r="B635" t="s">
        <v>1220</v>
      </c>
      <c r="C635" s="3">
        <v>46179</v>
      </c>
      <c r="D635" s="8" t="s">
        <v>1225</v>
      </c>
      <c r="E635" s="7" t="s">
        <v>52</v>
      </c>
      <c r="F635" s="7" t="s">
        <v>53</v>
      </c>
      <c r="G635" s="7" t="s">
        <v>177</v>
      </c>
      <c r="H635" s="4">
        <v>918.78</v>
      </c>
      <c r="I635" s="7" t="s">
        <v>95</v>
      </c>
      <c r="J635" s="7" t="s">
        <v>17</v>
      </c>
      <c r="K635" t="s">
        <v>762</v>
      </c>
      <c r="L635" t="str">
        <f>PROPER(TRIM(SUBSTITUTE(_xlfn.XLOOKUP(B635,Cardholders_Reference!A:A,Cardholders_Reference!B:B),","," ")))</f>
        <v>Pieter Govender</v>
      </c>
      <c r="M635" s="5">
        <f>_xlfn.XLOOKUP(B635,Cardholders_Reference!A:A,Cardholders_Reference!G:G)</f>
        <v>40000</v>
      </c>
      <c r="N635" s="7" t="str">
        <f>_xlfn.XLOOKUP(B635,Cardholders_Reference!A:A,Cardholders_Reference!D:D)</f>
        <v>Standard Bank</v>
      </c>
      <c r="O635" s="7" t="str">
        <f>_xlfn.XLOOKUP(B635,Cardholders_Reference!A:A,Cardholders_Reference!E:E)</f>
        <v>Visa</v>
      </c>
      <c r="P635" s="6">
        <f t="shared" si="68"/>
        <v>2.29695E-2</v>
      </c>
      <c r="Q635">
        <f t="shared" si="63"/>
        <v>1</v>
      </c>
      <c r="R635">
        <f t="shared" si="64"/>
        <v>0</v>
      </c>
      <c r="S635">
        <f>IF(COUNTIFS($B$1:$B$738,B634,$C$1:$C$738,#REF!)&gt;2,1,0)</f>
        <v>0</v>
      </c>
      <c r="T635">
        <f t="shared" si="65"/>
        <v>0</v>
      </c>
      <c r="U635">
        <f t="shared" si="66"/>
        <v>0</v>
      </c>
      <c r="V635">
        <f t="shared" si="67"/>
        <v>1</v>
      </c>
      <c r="W635">
        <f t="shared" si="69"/>
        <v>2</v>
      </c>
      <c r="X635" t="str" cm="1">
        <f t="array" ref="X635">_xlfn.IFS(W635&lt;=1,"Low",W635=2,"Medium",W635&gt;=3,"High")</f>
        <v>Medium</v>
      </c>
    </row>
    <row r="636" spans="1:24" x14ac:dyDescent="0.3">
      <c r="A636" t="s">
        <v>1226</v>
      </c>
      <c r="B636" t="s">
        <v>1220</v>
      </c>
      <c r="C636" s="3">
        <v>46428</v>
      </c>
      <c r="D636" s="8" t="s">
        <v>1227</v>
      </c>
      <c r="E636" s="7" t="s">
        <v>73</v>
      </c>
      <c r="F636" s="7" t="s">
        <v>74</v>
      </c>
      <c r="G636" s="7" t="s">
        <v>177</v>
      </c>
      <c r="H636" s="4">
        <v>833.66</v>
      </c>
      <c r="I636" s="7" t="s">
        <v>26</v>
      </c>
      <c r="J636" s="7" t="s">
        <v>17</v>
      </c>
      <c r="L636" t="str">
        <f>PROPER(TRIM(SUBSTITUTE(_xlfn.XLOOKUP(B636,Cardholders_Reference!A:A,Cardholders_Reference!B:B),","," ")))</f>
        <v>Pieter Govender</v>
      </c>
      <c r="M636" s="5">
        <f>_xlfn.XLOOKUP(B636,Cardholders_Reference!A:A,Cardholders_Reference!G:G)</f>
        <v>40000</v>
      </c>
      <c r="N636" s="7" t="str">
        <f>_xlfn.XLOOKUP(B636,Cardholders_Reference!A:A,Cardholders_Reference!D:D)</f>
        <v>Standard Bank</v>
      </c>
      <c r="O636" s="7" t="str">
        <f>_xlfn.XLOOKUP(B636,Cardholders_Reference!A:A,Cardholders_Reference!E:E)</f>
        <v>Visa</v>
      </c>
      <c r="P636" s="6">
        <f t="shared" si="68"/>
        <v>2.0841499999999999E-2</v>
      </c>
      <c r="Q636">
        <f t="shared" si="63"/>
        <v>0</v>
      </c>
      <c r="R636">
        <f t="shared" si="64"/>
        <v>0</v>
      </c>
      <c r="S636">
        <f>IF(COUNTIFS($B$1:$B$738,B635,$C$1:$C$738,#REF!)&gt;2,1,0)</f>
        <v>0</v>
      </c>
      <c r="T636">
        <f t="shared" si="65"/>
        <v>0</v>
      </c>
      <c r="U636">
        <f t="shared" si="66"/>
        <v>0</v>
      </c>
      <c r="V636">
        <f t="shared" si="67"/>
        <v>1</v>
      </c>
      <c r="W636">
        <f t="shared" si="69"/>
        <v>1</v>
      </c>
      <c r="X636" t="str" cm="1">
        <f t="array" ref="X636">_xlfn.IFS(W636&lt;=1,"Low",W636=2,"Medium",W636&gt;=3,"High")</f>
        <v>Low</v>
      </c>
    </row>
    <row r="637" spans="1:24" x14ac:dyDescent="0.3">
      <c r="A637" t="s">
        <v>1228</v>
      </c>
      <c r="B637" t="s">
        <v>1220</v>
      </c>
      <c r="C637" s="3">
        <v>45983</v>
      </c>
      <c r="D637" s="8" t="s">
        <v>1229</v>
      </c>
      <c r="E637" s="7" t="s">
        <v>220</v>
      </c>
      <c r="F637" s="7" t="s">
        <v>91</v>
      </c>
      <c r="G637" s="7" t="s">
        <v>177</v>
      </c>
      <c r="H637" s="4">
        <v>2747.26</v>
      </c>
      <c r="I637" s="7" t="s">
        <v>16</v>
      </c>
      <c r="J637" s="7" t="s">
        <v>17</v>
      </c>
      <c r="L637" t="str">
        <f>PROPER(TRIM(SUBSTITUTE(_xlfn.XLOOKUP(B637,Cardholders_Reference!A:A,Cardholders_Reference!B:B),","," ")))</f>
        <v>Pieter Govender</v>
      </c>
      <c r="M637" s="5">
        <f>_xlfn.XLOOKUP(B637,Cardholders_Reference!A:A,Cardholders_Reference!G:G)</f>
        <v>40000</v>
      </c>
      <c r="N637" s="7" t="str">
        <f>_xlfn.XLOOKUP(B637,Cardholders_Reference!A:A,Cardholders_Reference!D:D)</f>
        <v>Standard Bank</v>
      </c>
      <c r="O637" s="7" t="str">
        <f>_xlfn.XLOOKUP(B637,Cardholders_Reference!A:A,Cardholders_Reference!E:E)</f>
        <v>Visa</v>
      </c>
      <c r="P637" s="6">
        <f t="shared" si="68"/>
        <v>6.8681500000000006E-2</v>
      </c>
      <c r="Q637">
        <f t="shared" si="63"/>
        <v>0</v>
      </c>
      <c r="R637">
        <f t="shared" si="64"/>
        <v>0</v>
      </c>
      <c r="S637">
        <f>IF(COUNTIFS($B$1:$B$738,B636,$C$1:$C$738,#REF!)&gt;2,1,0)</f>
        <v>0</v>
      </c>
      <c r="T637">
        <f t="shared" si="65"/>
        <v>0</v>
      </c>
      <c r="U637">
        <f t="shared" si="66"/>
        <v>0</v>
      </c>
      <c r="V637">
        <f t="shared" si="67"/>
        <v>0</v>
      </c>
      <c r="W637">
        <f t="shared" si="69"/>
        <v>0</v>
      </c>
      <c r="X637" t="str" cm="1">
        <f t="array" ref="X637">_xlfn.IFS(W637&lt;=1,"Low",W637=2,"Medium",W637&gt;=3,"High")</f>
        <v>Low</v>
      </c>
    </row>
    <row r="638" spans="1:24" x14ac:dyDescent="0.3">
      <c r="A638" t="s">
        <v>1230</v>
      </c>
      <c r="B638" t="s">
        <v>1220</v>
      </c>
      <c r="C638" s="3">
        <v>46093</v>
      </c>
      <c r="D638" s="8" t="s">
        <v>1231</v>
      </c>
      <c r="E638" s="7" t="s">
        <v>340</v>
      </c>
      <c r="F638" s="7" t="s">
        <v>65</v>
      </c>
      <c r="G638" s="7" t="s">
        <v>192</v>
      </c>
      <c r="H638" s="4">
        <v>431.18</v>
      </c>
      <c r="I638" s="7" t="s">
        <v>26</v>
      </c>
      <c r="J638" s="7" t="s">
        <v>41</v>
      </c>
      <c r="L638" t="str">
        <f>PROPER(TRIM(SUBSTITUTE(_xlfn.XLOOKUP(B638,Cardholders_Reference!A:A,Cardholders_Reference!B:B),","," ")))</f>
        <v>Pieter Govender</v>
      </c>
      <c r="M638" s="5">
        <f>_xlfn.XLOOKUP(B638,Cardholders_Reference!A:A,Cardholders_Reference!G:G)</f>
        <v>40000</v>
      </c>
      <c r="N638" s="7" t="str">
        <f>_xlfn.XLOOKUP(B638,Cardholders_Reference!A:A,Cardholders_Reference!D:D)</f>
        <v>Standard Bank</v>
      </c>
      <c r="O638" s="7" t="str">
        <f>_xlfn.XLOOKUP(B638,Cardholders_Reference!A:A,Cardholders_Reference!E:E)</f>
        <v>Visa</v>
      </c>
      <c r="P638" s="6">
        <f t="shared" si="68"/>
        <v>1.0779500000000001E-2</v>
      </c>
      <c r="Q638">
        <f t="shared" si="63"/>
        <v>0</v>
      </c>
      <c r="R638">
        <f t="shared" si="64"/>
        <v>0</v>
      </c>
      <c r="S638">
        <f>IF(COUNTIFS($B$1:$B$738,B637,$C$1:$C$738,#REF!)&gt;2,1,0)</f>
        <v>0</v>
      </c>
      <c r="T638">
        <f t="shared" si="65"/>
        <v>0</v>
      </c>
      <c r="U638">
        <f t="shared" si="66"/>
        <v>0</v>
      </c>
      <c r="V638">
        <f t="shared" si="67"/>
        <v>1</v>
      </c>
      <c r="W638">
        <f t="shared" si="69"/>
        <v>1</v>
      </c>
      <c r="X638" t="str" cm="1">
        <f t="array" ref="X638">_xlfn.IFS(W638&lt;=1,"Low",W638=2,"Medium",W638&gt;=3,"High")</f>
        <v>Low</v>
      </c>
    </row>
    <row r="639" spans="1:24" x14ac:dyDescent="0.3">
      <c r="A639" t="s">
        <v>1232</v>
      </c>
      <c r="B639" t="s">
        <v>1220</v>
      </c>
      <c r="C639" s="3">
        <v>45942</v>
      </c>
      <c r="D639" s="8" t="s">
        <v>1233</v>
      </c>
      <c r="E639" s="7" t="s">
        <v>242</v>
      </c>
      <c r="F639" s="7" t="s">
        <v>15</v>
      </c>
      <c r="G639" s="7" t="s">
        <v>177</v>
      </c>
      <c r="H639" s="4">
        <v>1688.65</v>
      </c>
      <c r="I639" s="7" t="s">
        <v>16</v>
      </c>
      <c r="J639" s="7" t="s">
        <v>17</v>
      </c>
      <c r="L639" t="str">
        <f>PROPER(TRIM(SUBSTITUTE(_xlfn.XLOOKUP(B639,Cardholders_Reference!A:A,Cardholders_Reference!B:B),","," ")))</f>
        <v>Pieter Govender</v>
      </c>
      <c r="M639" s="5">
        <f>_xlfn.XLOOKUP(B639,Cardholders_Reference!A:A,Cardholders_Reference!G:G)</f>
        <v>40000</v>
      </c>
      <c r="N639" s="7" t="str">
        <f>_xlfn.XLOOKUP(B639,Cardholders_Reference!A:A,Cardholders_Reference!D:D)</f>
        <v>Standard Bank</v>
      </c>
      <c r="O639" s="7" t="str">
        <f>_xlfn.XLOOKUP(B639,Cardholders_Reference!A:A,Cardholders_Reference!E:E)</f>
        <v>Visa</v>
      </c>
      <c r="P639" s="6">
        <f t="shared" si="68"/>
        <v>4.2216250000000004E-2</v>
      </c>
      <c r="Q639">
        <f t="shared" si="63"/>
        <v>1</v>
      </c>
      <c r="R639">
        <f t="shared" si="64"/>
        <v>0</v>
      </c>
      <c r="S639">
        <f>IF(COUNTIFS($B$1:$B$738,B638,$C$1:$C$738,#REF!)&gt;2,1,0)</f>
        <v>0</v>
      </c>
      <c r="T639">
        <f t="shared" si="65"/>
        <v>0</v>
      </c>
      <c r="U639">
        <f t="shared" si="66"/>
        <v>1</v>
      </c>
      <c r="V639">
        <f t="shared" si="67"/>
        <v>0</v>
      </c>
      <c r="W639">
        <f t="shared" si="69"/>
        <v>2</v>
      </c>
      <c r="X639" t="str" cm="1">
        <f t="array" ref="X639">_xlfn.IFS(W639&lt;=1,"Low",W639=2,"Medium",W639&gt;=3,"High")</f>
        <v>Medium</v>
      </c>
    </row>
    <row r="640" spans="1:24" x14ac:dyDescent="0.3">
      <c r="A640" t="s">
        <v>1234</v>
      </c>
      <c r="B640" t="s">
        <v>1220</v>
      </c>
      <c r="C640" s="3">
        <v>45787</v>
      </c>
      <c r="D640" s="8" t="s">
        <v>879</v>
      </c>
      <c r="E640" s="7" t="s">
        <v>242</v>
      </c>
      <c r="F640" s="7" t="s">
        <v>15</v>
      </c>
      <c r="G640" s="7" t="s">
        <v>264</v>
      </c>
      <c r="H640" s="4">
        <v>526.89</v>
      </c>
      <c r="I640" s="7" t="s">
        <v>26</v>
      </c>
      <c r="J640" s="7" t="s">
        <v>17</v>
      </c>
      <c r="L640" t="str">
        <f>PROPER(TRIM(SUBSTITUTE(_xlfn.XLOOKUP(B640,Cardholders_Reference!A:A,Cardholders_Reference!B:B),","," ")))</f>
        <v>Pieter Govender</v>
      </c>
      <c r="M640" s="5">
        <f>_xlfn.XLOOKUP(B640,Cardholders_Reference!A:A,Cardholders_Reference!G:G)</f>
        <v>40000</v>
      </c>
      <c r="N640" s="7" t="str">
        <f>_xlfn.XLOOKUP(B640,Cardholders_Reference!A:A,Cardholders_Reference!D:D)</f>
        <v>Standard Bank</v>
      </c>
      <c r="O640" s="7" t="str">
        <f>_xlfn.XLOOKUP(B640,Cardholders_Reference!A:A,Cardholders_Reference!E:E)</f>
        <v>Visa</v>
      </c>
      <c r="P640" s="6">
        <f t="shared" si="68"/>
        <v>1.317225E-2</v>
      </c>
      <c r="Q640">
        <f t="shared" si="63"/>
        <v>0</v>
      </c>
      <c r="R640">
        <f t="shared" si="64"/>
        <v>0</v>
      </c>
      <c r="S640">
        <f>IF(COUNTIFS($B$1:$B$738,B639,$C$1:$C$738,#REF!)&gt;2,1,0)</f>
        <v>0</v>
      </c>
      <c r="T640">
        <f t="shared" si="65"/>
        <v>0</v>
      </c>
      <c r="U640">
        <f t="shared" si="66"/>
        <v>0</v>
      </c>
      <c r="V640">
        <f t="shared" si="67"/>
        <v>1</v>
      </c>
      <c r="W640">
        <f t="shared" si="69"/>
        <v>1</v>
      </c>
      <c r="X640" t="str" cm="1">
        <f t="array" ref="X640">_xlfn.IFS(W640&lt;=1,"Low",W640=2,"Medium",W640&gt;=3,"High")</f>
        <v>Low</v>
      </c>
    </row>
    <row r="641" spans="1:24" x14ac:dyDescent="0.3">
      <c r="A641" t="s">
        <v>1235</v>
      </c>
      <c r="B641" t="s">
        <v>1220</v>
      </c>
      <c r="C641" s="3">
        <v>46091</v>
      </c>
      <c r="D641" s="8" t="s">
        <v>1236</v>
      </c>
      <c r="E641" s="7" t="s">
        <v>230</v>
      </c>
      <c r="F641" s="7" t="s">
        <v>81</v>
      </c>
      <c r="G641" s="7" t="s">
        <v>177</v>
      </c>
      <c r="H641" s="4">
        <v>1757.44</v>
      </c>
      <c r="I641" s="7" t="s">
        <v>32</v>
      </c>
      <c r="J641" s="7" t="s">
        <v>17</v>
      </c>
      <c r="L641" t="str">
        <f>PROPER(TRIM(SUBSTITUTE(_xlfn.XLOOKUP(B641,Cardholders_Reference!A:A,Cardholders_Reference!B:B),","," ")))</f>
        <v>Pieter Govender</v>
      </c>
      <c r="M641" s="5">
        <f>_xlfn.XLOOKUP(B641,Cardholders_Reference!A:A,Cardholders_Reference!G:G)</f>
        <v>40000</v>
      </c>
      <c r="N641" s="7" t="str">
        <f>_xlfn.XLOOKUP(B641,Cardholders_Reference!A:A,Cardholders_Reference!D:D)</f>
        <v>Standard Bank</v>
      </c>
      <c r="O641" s="7" t="str">
        <f>_xlfn.XLOOKUP(B641,Cardholders_Reference!A:A,Cardholders_Reference!E:E)</f>
        <v>Visa</v>
      </c>
      <c r="P641" s="6">
        <f t="shared" si="68"/>
        <v>4.3936000000000003E-2</v>
      </c>
      <c r="Q641">
        <f t="shared" si="63"/>
        <v>1</v>
      </c>
      <c r="R641">
        <f t="shared" si="64"/>
        <v>0</v>
      </c>
      <c r="S641">
        <f>IF(COUNTIFS($B$1:$B$738,B640,$C$1:$C$738,#REF!)&gt;2,1,0)</f>
        <v>0</v>
      </c>
      <c r="T641">
        <f t="shared" si="65"/>
        <v>0</v>
      </c>
      <c r="U641">
        <f t="shared" si="66"/>
        <v>0</v>
      </c>
      <c r="V641">
        <f t="shared" si="67"/>
        <v>0</v>
      </c>
      <c r="W641">
        <f t="shared" si="69"/>
        <v>1</v>
      </c>
      <c r="X641" t="str" cm="1">
        <f t="array" ref="X641">_xlfn.IFS(W641&lt;=1,"Low",W641=2,"Medium",W641&gt;=3,"High")</f>
        <v>Low</v>
      </c>
    </row>
    <row r="642" spans="1:24" x14ac:dyDescent="0.3">
      <c r="A642" t="s">
        <v>1237</v>
      </c>
      <c r="B642" t="s">
        <v>1220</v>
      </c>
      <c r="C642" s="3">
        <v>46196</v>
      </c>
      <c r="D642" s="8" t="s">
        <v>1439</v>
      </c>
      <c r="E642" s="7" t="s">
        <v>70</v>
      </c>
      <c r="F642" s="7" t="s">
        <v>36</v>
      </c>
      <c r="G642" s="7" t="s">
        <v>192</v>
      </c>
      <c r="H642" s="4">
        <v>307.70999999999998</v>
      </c>
      <c r="I642" s="7" t="s">
        <v>95</v>
      </c>
      <c r="J642" s="7" t="s">
        <v>41</v>
      </c>
      <c r="L642" t="str">
        <f>PROPER(TRIM(SUBSTITUTE(_xlfn.XLOOKUP(B642,Cardholders_Reference!A:A,Cardholders_Reference!B:B),","," ")))</f>
        <v>Pieter Govender</v>
      </c>
      <c r="M642" s="5">
        <f>_xlfn.XLOOKUP(B642,Cardholders_Reference!A:A,Cardholders_Reference!G:G)</f>
        <v>40000</v>
      </c>
      <c r="N642" s="7" t="str">
        <f>_xlfn.XLOOKUP(B642,Cardholders_Reference!A:A,Cardholders_Reference!D:D)</f>
        <v>Standard Bank</v>
      </c>
      <c r="O642" s="7" t="str">
        <f>_xlfn.XLOOKUP(B642,Cardholders_Reference!A:A,Cardholders_Reference!E:E)</f>
        <v>Visa</v>
      </c>
      <c r="P642" s="6">
        <f t="shared" si="68"/>
        <v>7.6927499999999991E-3</v>
      </c>
      <c r="Q642">
        <f t="shared" ref="Q642:Q705" si="70">IF(COUNTIFS($B$1:$B$738,B641,$G$1:$G$738,G641)/COUNTIF($B$1:$B$738,B641)&lt;0.5,1,0)</f>
        <v>0</v>
      </c>
      <c r="R642">
        <f t="shared" ref="R642:R705" si="71">IF(D642="Unknown",1,IF(OR(TIMEVALUE(D642)&lt;TIME(5,0,0),TIMEVALUE(D642)&gt;=TIME(23,0,0)),1,0))</f>
        <v>1</v>
      </c>
      <c r="S642">
        <f>IF(COUNTIFS($B$1:$B$738,B641,$C$1:$C$738,#REF!)&gt;2,1,0)</f>
        <v>0</v>
      </c>
      <c r="T642">
        <f t="shared" ref="T642:T705" si="72">IF(P641&gt;0.4,1,0)</f>
        <v>0</v>
      </c>
      <c r="U642">
        <f t="shared" ref="U642:U705" si="73">IF(OR(F641="Gambling",F641="ATM Withdrawal"),1,0)</f>
        <v>0</v>
      </c>
      <c r="V642">
        <f t="shared" ref="V642:V705" si="74">IF(OR(I642="Card Not Present (Phone)",I642="Online"),1,0)</f>
        <v>1</v>
      </c>
      <c r="W642">
        <f t="shared" si="69"/>
        <v>2</v>
      </c>
      <c r="X642" t="str" cm="1">
        <f t="array" ref="X642">_xlfn.IFS(W642&lt;=1,"Low",W642=2,"Medium",W642&gt;=3,"High")</f>
        <v>Medium</v>
      </c>
    </row>
    <row r="643" spans="1:24" x14ac:dyDescent="0.3">
      <c r="A643" t="s">
        <v>1238</v>
      </c>
      <c r="B643" t="s">
        <v>1220</v>
      </c>
      <c r="C643" s="3">
        <v>46075</v>
      </c>
      <c r="D643" s="8" t="s">
        <v>1439</v>
      </c>
      <c r="E643" s="7" t="s">
        <v>87</v>
      </c>
      <c r="F643" s="7" t="s">
        <v>48</v>
      </c>
      <c r="G643" s="7" t="s">
        <v>192</v>
      </c>
      <c r="H643" s="4">
        <v>524.41</v>
      </c>
      <c r="I643" s="7" t="s">
        <v>32</v>
      </c>
      <c r="J643" s="7" t="s">
        <v>17</v>
      </c>
      <c r="L643" t="str">
        <f>PROPER(TRIM(SUBSTITUTE(_xlfn.XLOOKUP(B643,Cardholders_Reference!A:A,Cardholders_Reference!B:B),","," ")))</f>
        <v>Pieter Govender</v>
      </c>
      <c r="M643" s="5">
        <f>_xlfn.XLOOKUP(B643,Cardholders_Reference!A:A,Cardholders_Reference!G:G)</f>
        <v>40000</v>
      </c>
      <c r="N643" s="7" t="str">
        <f>_xlfn.XLOOKUP(B643,Cardholders_Reference!A:A,Cardholders_Reference!D:D)</f>
        <v>Standard Bank</v>
      </c>
      <c r="O643" s="7" t="str">
        <f>_xlfn.XLOOKUP(B643,Cardholders_Reference!A:A,Cardholders_Reference!E:E)</f>
        <v>Visa</v>
      </c>
      <c r="P643" s="6">
        <f t="shared" ref="P643:P706" si="75">H643/M643</f>
        <v>1.3110249999999999E-2</v>
      </c>
      <c r="Q643">
        <f t="shared" si="70"/>
        <v>1</v>
      </c>
      <c r="R643">
        <f t="shared" si="71"/>
        <v>1</v>
      </c>
      <c r="S643">
        <f>IF(COUNTIFS($B$1:$B$738,B642,$C$1:$C$738,#REF!)&gt;2,1,0)</f>
        <v>0</v>
      </c>
      <c r="T643">
        <f t="shared" si="72"/>
        <v>0</v>
      </c>
      <c r="U643">
        <f t="shared" si="73"/>
        <v>0</v>
      </c>
      <c r="V643">
        <f t="shared" si="74"/>
        <v>0</v>
      </c>
      <c r="W643">
        <f t="shared" ref="W643:W706" si="76">SUM(Q643:V643)</f>
        <v>2</v>
      </c>
      <c r="X643" t="str" cm="1">
        <f t="array" ref="X643">_xlfn.IFS(W643&lt;=1,"Low",W643=2,"Medium",W643&gt;=3,"High")</f>
        <v>Medium</v>
      </c>
    </row>
    <row r="644" spans="1:24" x14ac:dyDescent="0.3">
      <c r="A644" t="s">
        <v>1239</v>
      </c>
      <c r="B644" t="s">
        <v>1220</v>
      </c>
      <c r="C644" s="3">
        <v>46113</v>
      </c>
      <c r="D644" s="8" t="s">
        <v>381</v>
      </c>
      <c r="E644" s="7" t="s">
        <v>140</v>
      </c>
      <c r="F644" s="7" t="s">
        <v>53</v>
      </c>
      <c r="G644" s="7" t="s">
        <v>177</v>
      </c>
      <c r="H644" s="4">
        <v>658.49</v>
      </c>
      <c r="I644" s="7" t="s">
        <v>16</v>
      </c>
      <c r="J644" s="7" t="s">
        <v>17</v>
      </c>
      <c r="L644" t="str">
        <f>PROPER(TRIM(SUBSTITUTE(_xlfn.XLOOKUP(B644,Cardholders_Reference!A:A,Cardholders_Reference!B:B),","," ")))</f>
        <v>Pieter Govender</v>
      </c>
      <c r="M644" s="5">
        <f>_xlfn.XLOOKUP(B644,Cardholders_Reference!A:A,Cardholders_Reference!G:G)</f>
        <v>40000</v>
      </c>
      <c r="N644" s="7" t="str">
        <f>_xlfn.XLOOKUP(B644,Cardholders_Reference!A:A,Cardholders_Reference!D:D)</f>
        <v>Standard Bank</v>
      </c>
      <c r="O644" s="7" t="str">
        <f>_xlfn.XLOOKUP(B644,Cardholders_Reference!A:A,Cardholders_Reference!E:E)</f>
        <v>Visa</v>
      </c>
      <c r="P644" s="6">
        <f t="shared" si="75"/>
        <v>1.6462250000000001E-2</v>
      </c>
      <c r="Q644">
        <f t="shared" si="70"/>
        <v>1</v>
      </c>
      <c r="R644">
        <f t="shared" si="71"/>
        <v>0</v>
      </c>
      <c r="S644">
        <f>IF(COUNTIFS($B$1:$B$738,B643,$C$1:$C$738,#REF!)&gt;2,1,0)</f>
        <v>0</v>
      </c>
      <c r="T644">
        <f t="shared" si="72"/>
        <v>0</v>
      </c>
      <c r="U644">
        <f t="shared" si="73"/>
        <v>0</v>
      </c>
      <c r="V644">
        <f t="shared" si="74"/>
        <v>0</v>
      </c>
      <c r="W644">
        <f t="shared" si="76"/>
        <v>1</v>
      </c>
      <c r="X644" t="str" cm="1">
        <f t="array" ref="X644">_xlfn.IFS(W644&lt;=1,"Low",W644=2,"Medium",W644&gt;=3,"High")</f>
        <v>Low</v>
      </c>
    </row>
    <row r="645" spans="1:24" x14ac:dyDescent="0.3">
      <c r="A645" t="s">
        <v>1240</v>
      </c>
      <c r="B645" t="s">
        <v>1220</v>
      </c>
      <c r="C645" s="3">
        <v>45785</v>
      </c>
      <c r="D645" s="8" t="s">
        <v>1241</v>
      </c>
      <c r="E645" s="7" t="s">
        <v>242</v>
      </c>
      <c r="F645" s="7" t="s">
        <v>15</v>
      </c>
      <c r="G645" s="7" t="s">
        <v>177</v>
      </c>
      <c r="H645" s="4">
        <v>4492.24</v>
      </c>
      <c r="I645" s="7" t="s">
        <v>26</v>
      </c>
      <c r="J645" s="7" t="s">
        <v>17</v>
      </c>
      <c r="L645" t="str">
        <f>PROPER(TRIM(SUBSTITUTE(_xlfn.XLOOKUP(B645,Cardholders_Reference!A:A,Cardholders_Reference!B:B),","," ")))</f>
        <v>Pieter Govender</v>
      </c>
      <c r="M645" s="5">
        <f>_xlfn.XLOOKUP(B645,Cardholders_Reference!A:A,Cardholders_Reference!G:G)</f>
        <v>40000</v>
      </c>
      <c r="N645" s="7" t="str">
        <f>_xlfn.XLOOKUP(B645,Cardholders_Reference!A:A,Cardholders_Reference!D:D)</f>
        <v>Standard Bank</v>
      </c>
      <c r="O645" s="7" t="str">
        <f>_xlfn.XLOOKUP(B645,Cardholders_Reference!A:A,Cardholders_Reference!E:E)</f>
        <v>Visa</v>
      </c>
      <c r="P645" s="6">
        <f t="shared" si="75"/>
        <v>0.11230599999999999</v>
      </c>
      <c r="Q645">
        <f t="shared" si="70"/>
        <v>0</v>
      </c>
      <c r="R645">
        <f t="shared" si="71"/>
        <v>0</v>
      </c>
      <c r="S645">
        <f>IF(COUNTIFS($B$1:$B$738,B644,$C$1:$C$738,#REF!)&gt;2,1,0)</f>
        <v>0</v>
      </c>
      <c r="T645">
        <f t="shared" si="72"/>
        <v>0</v>
      </c>
      <c r="U645">
        <f t="shared" si="73"/>
        <v>0</v>
      </c>
      <c r="V645">
        <f t="shared" si="74"/>
        <v>1</v>
      </c>
      <c r="W645">
        <f t="shared" si="76"/>
        <v>1</v>
      </c>
      <c r="X645" t="str" cm="1">
        <f t="array" ref="X645">_xlfn.IFS(W645&lt;=1,"Low",W645=2,"Medium",W645&gt;=3,"High")</f>
        <v>Low</v>
      </c>
    </row>
    <row r="646" spans="1:24" x14ac:dyDescent="0.3">
      <c r="A646" t="s">
        <v>1242</v>
      </c>
      <c r="B646" t="s">
        <v>1220</v>
      </c>
      <c r="C646" s="3">
        <v>45882</v>
      </c>
      <c r="D646" s="8" t="s">
        <v>671</v>
      </c>
      <c r="E646" s="7" t="s">
        <v>242</v>
      </c>
      <c r="F646" s="7" t="s">
        <v>15</v>
      </c>
      <c r="G646" s="7" t="s">
        <v>177</v>
      </c>
      <c r="H646" s="4">
        <v>2106.16</v>
      </c>
      <c r="I646" s="7" t="s">
        <v>26</v>
      </c>
      <c r="J646" s="7" t="s">
        <v>17</v>
      </c>
      <c r="L646" t="str">
        <f>PROPER(TRIM(SUBSTITUTE(_xlfn.XLOOKUP(B646,Cardholders_Reference!A:A,Cardholders_Reference!B:B),","," ")))</f>
        <v>Pieter Govender</v>
      </c>
      <c r="M646" s="5">
        <f>_xlfn.XLOOKUP(B646,Cardholders_Reference!A:A,Cardholders_Reference!G:G)</f>
        <v>40000</v>
      </c>
      <c r="N646" s="7" t="str">
        <f>_xlfn.XLOOKUP(B646,Cardholders_Reference!A:A,Cardholders_Reference!D:D)</f>
        <v>Standard Bank</v>
      </c>
      <c r="O646" s="7" t="str">
        <f>_xlfn.XLOOKUP(B646,Cardholders_Reference!A:A,Cardholders_Reference!E:E)</f>
        <v>Visa</v>
      </c>
      <c r="P646" s="6">
        <f t="shared" si="75"/>
        <v>5.2653999999999999E-2</v>
      </c>
      <c r="Q646">
        <f t="shared" si="70"/>
        <v>0</v>
      </c>
      <c r="R646">
        <f t="shared" si="71"/>
        <v>0</v>
      </c>
      <c r="S646">
        <f>IF(COUNTIFS($B$1:$B$738,B645,$C$1:$C$738,#REF!)&gt;2,1,0)</f>
        <v>0</v>
      </c>
      <c r="T646">
        <f t="shared" si="72"/>
        <v>0</v>
      </c>
      <c r="U646">
        <f t="shared" si="73"/>
        <v>0</v>
      </c>
      <c r="V646">
        <f t="shared" si="74"/>
        <v>1</v>
      </c>
      <c r="W646">
        <f t="shared" si="76"/>
        <v>1</v>
      </c>
      <c r="X646" t="str" cm="1">
        <f t="array" ref="X646">_xlfn.IFS(W646&lt;=1,"Low",W646=2,"Medium",W646&gt;=3,"High")</f>
        <v>Low</v>
      </c>
    </row>
    <row r="647" spans="1:24" x14ac:dyDescent="0.3">
      <c r="A647" t="s">
        <v>1243</v>
      </c>
      <c r="B647" t="s">
        <v>1220</v>
      </c>
      <c r="C647" s="3">
        <v>45769</v>
      </c>
      <c r="D647" s="8" t="s">
        <v>1244</v>
      </c>
      <c r="E647" s="7" t="s">
        <v>331</v>
      </c>
      <c r="F647" s="7" t="s">
        <v>40</v>
      </c>
      <c r="G647" s="7" t="s">
        <v>250</v>
      </c>
      <c r="H647" s="4">
        <v>430.86</v>
      </c>
      <c r="I647" s="7" t="s">
        <v>32</v>
      </c>
      <c r="J647" s="7" t="s">
        <v>17</v>
      </c>
      <c r="L647" t="str">
        <f>PROPER(TRIM(SUBSTITUTE(_xlfn.XLOOKUP(B647,Cardholders_Reference!A:A,Cardholders_Reference!B:B),","," ")))</f>
        <v>Pieter Govender</v>
      </c>
      <c r="M647" s="5">
        <f>_xlfn.XLOOKUP(B647,Cardholders_Reference!A:A,Cardholders_Reference!G:G)</f>
        <v>40000</v>
      </c>
      <c r="N647" s="7" t="str">
        <f>_xlfn.XLOOKUP(B647,Cardholders_Reference!A:A,Cardholders_Reference!D:D)</f>
        <v>Standard Bank</v>
      </c>
      <c r="O647" s="7" t="str">
        <f>_xlfn.XLOOKUP(B647,Cardholders_Reference!A:A,Cardholders_Reference!E:E)</f>
        <v>Visa</v>
      </c>
      <c r="P647" s="6">
        <f t="shared" si="75"/>
        <v>1.07715E-2</v>
      </c>
      <c r="Q647">
        <f t="shared" si="70"/>
        <v>0</v>
      </c>
      <c r="R647">
        <f t="shared" si="71"/>
        <v>0</v>
      </c>
      <c r="S647">
        <f>IF(COUNTIFS($B$1:$B$738,B646,$C$1:$C$738,#REF!)&gt;2,1,0)</f>
        <v>0</v>
      </c>
      <c r="T647">
        <f t="shared" si="72"/>
        <v>0</v>
      </c>
      <c r="U647">
        <f t="shared" si="73"/>
        <v>0</v>
      </c>
      <c r="V647">
        <f t="shared" si="74"/>
        <v>0</v>
      </c>
      <c r="W647">
        <f t="shared" si="76"/>
        <v>0</v>
      </c>
      <c r="X647" t="str" cm="1">
        <f t="array" ref="X647">_xlfn.IFS(W647&lt;=1,"Low",W647=2,"Medium",W647&gt;=3,"High")</f>
        <v>Low</v>
      </c>
    </row>
    <row r="648" spans="1:24" x14ac:dyDescent="0.3">
      <c r="A648" t="s">
        <v>1245</v>
      </c>
      <c r="B648" t="s">
        <v>1220</v>
      </c>
      <c r="C648" s="3">
        <v>45980</v>
      </c>
      <c r="D648" s="8" t="s">
        <v>620</v>
      </c>
      <c r="E648" s="7" t="s">
        <v>77</v>
      </c>
      <c r="F648" s="7" t="s">
        <v>15</v>
      </c>
      <c r="G648" s="7" t="s">
        <v>177</v>
      </c>
      <c r="H648" s="4">
        <v>3651.31</v>
      </c>
      <c r="I648" s="7" t="s">
        <v>16</v>
      </c>
      <c r="J648" s="7" t="s">
        <v>17</v>
      </c>
      <c r="L648" t="str">
        <f>PROPER(TRIM(SUBSTITUTE(_xlfn.XLOOKUP(B648,Cardholders_Reference!A:A,Cardholders_Reference!B:B),","," ")))</f>
        <v>Pieter Govender</v>
      </c>
      <c r="M648" s="5">
        <f>_xlfn.XLOOKUP(B648,Cardholders_Reference!A:A,Cardholders_Reference!G:G)</f>
        <v>40000</v>
      </c>
      <c r="N648" s="7" t="str">
        <f>_xlfn.XLOOKUP(B648,Cardholders_Reference!A:A,Cardholders_Reference!D:D)</f>
        <v>Standard Bank</v>
      </c>
      <c r="O648" s="7" t="str">
        <f>_xlfn.XLOOKUP(B648,Cardholders_Reference!A:A,Cardholders_Reference!E:E)</f>
        <v>Visa</v>
      </c>
      <c r="P648" s="6">
        <f t="shared" si="75"/>
        <v>9.1282749999999996E-2</v>
      </c>
      <c r="Q648">
        <f t="shared" si="70"/>
        <v>1</v>
      </c>
      <c r="R648">
        <f t="shared" si="71"/>
        <v>0</v>
      </c>
      <c r="S648">
        <f>IF(COUNTIFS($B$1:$B$738,B647,$C$1:$C$738,#REF!)&gt;2,1,0)</f>
        <v>0</v>
      </c>
      <c r="T648">
        <f t="shared" si="72"/>
        <v>0</v>
      </c>
      <c r="U648">
        <f t="shared" si="73"/>
        <v>0</v>
      </c>
      <c r="V648">
        <f t="shared" si="74"/>
        <v>0</v>
      </c>
      <c r="W648">
        <f t="shared" si="76"/>
        <v>1</v>
      </c>
      <c r="X648" t="str" cm="1">
        <f t="array" ref="X648">_xlfn.IFS(W648&lt;=1,"Low",W648=2,"Medium",W648&gt;=3,"High")</f>
        <v>Low</v>
      </c>
    </row>
    <row r="649" spans="1:24" x14ac:dyDescent="0.3">
      <c r="A649" t="s">
        <v>1246</v>
      </c>
      <c r="B649" t="s">
        <v>1247</v>
      </c>
      <c r="C649" s="3">
        <v>46846</v>
      </c>
      <c r="D649" s="8" t="s">
        <v>1248</v>
      </c>
      <c r="E649" s="7" t="s">
        <v>97</v>
      </c>
      <c r="F649" s="7" t="s">
        <v>53</v>
      </c>
      <c r="G649" s="7" t="s">
        <v>177</v>
      </c>
      <c r="H649" s="4">
        <v>682.29</v>
      </c>
      <c r="I649" s="7" t="s">
        <v>26</v>
      </c>
      <c r="J649" s="7" t="s">
        <v>41</v>
      </c>
      <c r="L649" t="str">
        <f>PROPER(TRIM(SUBSTITUTE(_xlfn.XLOOKUP(B649,Cardholders_Reference!A:A,Cardholders_Reference!B:B),","," ")))</f>
        <v>Lindiwe Maseko</v>
      </c>
      <c r="M649" s="5">
        <f>_xlfn.XLOOKUP(B649,Cardholders_Reference!A:A,Cardholders_Reference!G:G)</f>
        <v>15000</v>
      </c>
      <c r="N649" s="7" t="str">
        <f>_xlfn.XLOOKUP(B649,Cardholders_Reference!A:A,Cardholders_Reference!D:D)</f>
        <v>Nedbank</v>
      </c>
      <c r="O649" s="7" t="str">
        <f>_xlfn.XLOOKUP(B649,Cardholders_Reference!A:A,Cardholders_Reference!E:E)</f>
        <v>Visa</v>
      </c>
      <c r="P649" s="6">
        <f t="shared" si="75"/>
        <v>4.5485999999999999E-2</v>
      </c>
      <c r="Q649">
        <f t="shared" si="70"/>
        <v>0</v>
      </c>
      <c r="R649">
        <f t="shared" si="71"/>
        <v>0</v>
      </c>
      <c r="S649">
        <f>IF(COUNTIFS($B$1:$B$738,B648,$C$1:$C$738,#REF!)&gt;2,1,0)</f>
        <v>0</v>
      </c>
      <c r="T649">
        <f t="shared" si="72"/>
        <v>0</v>
      </c>
      <c r="U649">
        <f t="shared" si="73"/>
        <v>0</v>
      </c>
      <c r="V649">
        <f t="shared" si="74"/>
        <v>1</v>
      </c>
      <c r="W649">
        <f t="shared" si="76"/>
        <v>1</v>
      </c>
      <c r="X649" t="str" cm="1">
        <f t="array" ref="X649">_xlfn.IFS(W649&lt;=1,"Low",W649=2,"Medium",W649&gt;=3,"High")</f>
        <v>Low</v>
      </c>
    </row>
    <row r="650" spans="1:24" x14ac:dyDescent="0.3">
      <c r="A650" t="s">
        <v>1249</v>
      </c>
      <c r="B650" t="s">
        <v>1247</v>
      </c>
      <c r="C650" s="3">
        <v>45884</v>
      </c>
      <c r="D650" s="8" t="s">
        <v>1250</v>
      </c>
      <c r="E650" s="7" t="s">
        <v>245</v>
      </c>
      <c r="F650" s="7" t="s">
        <v>48</v>
      </c>
      <c r="G650" s="7" t="s">
        <v>108</v>
      </c>
      <c r="H650" s="4">
        <v>580.77</v>
      </c>
      <c r="I650" s="7" t="s">
        <v>16</v>
      </c>
      <c r="J650" s="7" t="s">
        <v>17</v>
      </c>
      <c r="K650" t="s">
        <v>762</v>
      </c>
      <c r="L650" t="str">
        <f>PROPER(TRIM(SUBSTITUTE(_xlfn.XLOOKUP(B650,Cardholders_Reference!A:A,Cardholders_Reference!B:B),","," ")))</f>
        <v>Lindiwe Maseko</v>
      </c>
      <c r="M650" s="5">
        <f>_xlfn.XLOOKUP(B650,Cardholders_Reference!A:A,Cardholders_Reference!G:G)</f>
        <v>15000</v>
      </c>
      <c r="N650" s="7" t="str">
        <f>_xlfn.XLOOKUP(B650,Cardholders_Reference!A:A,Cardholders_Reference!D:D)</f>
        <v>Nedbank</v>
      </c>
      <c r="O650" s="7" t="str">
        <f>_xlfn.XLOOKUP(B650,Cardholders_Reference!A:A,Cardholders_Reference!E:E)</f>
        <v>Visa</v>
      </c>
      <c r="P650" s="6">
        <f t="shared" si="75"/>
        <v>3.8717999999999995E-2</v>
      </c>
      <c r="Q650">
        <f t="shared" si="70"/>
        <v>1</v>
      </c>
      <c r="R650">
        <f t="shared" si="71"/>
        <v>0</v>
      </c>
      <c r="S650">
        <f>IF(COUNTIFS($B$1:$B$738,B649,$C$1:$C$738,#REF!)&gt;2,1,0)</f>
        <v>0</v>
      </c>
      <c r="T650">
        <f t="shared" si="72"/>
        <v>0</v>
      </c>
      <c r="U650">
        <f t="shared" si="73"/>
        <v>0</v>
      </c>
      <c r="V650">
        <f t="shared" si="74"/>
        <v>0</v>
      </c>
      <c r="W650">
        <f t="shared" si="76"/>
        <v>1</v>
      </c>
      <c r="X650" t="str" cm="1">
        <f t="array" ref="X650">_xlfn.IFS(W650&lt;=1,"Low",W650=2,"Medium",W650&gt;=3,"High")</f>
        <v>Low</v>
      </c>
    </row>
    <row r="651" spans="1:24" x14ac:dyDescent="0.3">
      <c r="A651" t="s">
        <v>1251</v>
      </c>
      <c r="B651" t="s">
        <v>1247</v>
      </c>
      <c r="C651" s="3">
        <v>46152</v>
      </c>
      <c r="D651" s="8" t="s">
        <v>1252</v>
      </c>
      <c r="E651" s="7" t="s">
        <v>132</v>
      </c>
      <c r="F651" s="7" t="s">
        <v>25</v>
      </c>
      <c r="G651" s="7" t="s">
        <v>108</v>
      </c>
      <c r="H651" s="4">
        <v>540.39</v>
      </c>
      <c r="I651" s="7" t="s">
        <v>32</v>
      </c>
      <c r="J651" s="7" t="s">
        <v>17</v>
      </c>
      <c r="L651" t="str">
        <f>PROPER(TRIM(SUBSTITUTE(_xlfn.XLOOKUP(B651,Cardholders_Reference!A:A,Cardholders_Reference!B:B),","," ")))</f>
        <v>Lindiwe Maseko</v>
      </c>
      <c r="M651" s="5">
        <f>_xlfn.XLOOKUP(B651,Cardholders_Reference!A:A,Cardholders_Reference!G:G)</f>
        <v>15000</v>
      </c>
      <c r="N651" s="7" t="str">
        <f>_xlfn.XLOOKUP(B651,Cardholders_Reference!A:A,Cardholders_Reference!D:D)</f>
        <v>Nedbank</v>
      </c>
      <c r="O651" s="7" t="str">
        <f>_xlfn.XLOOKUP(B651,Cardholders_Reference!A:A,Cardholders_Reference!E:E)</f>
        <v>Visa</v>
      </c>
      <c r="P651" s="6">
        <f t="shared" si="75"/>
        <v>3.6026000000000002E-2</v>
      </c>
      <c r="Q651">
        <f t="shared" si="70"/>
        <v>0</v>
      </c>
      <c r="R651">
        <f t="shared" si="71"/>
        <v>0</v>
      </c>
      <c r="S651">
        <f>IF(COUNTIFS($B$1:$B$738,B650,$C$1:$C$738,#REF!)&gt;2,1,0)</f>
        <v>0</v>
      </c>
      <c r="T651">
        <f t="shared" si="72"/>
        <v>0</v>
      </c>
      <c r="U651">
        <f t="shared" si="73"/>
        <v>0</v>
      </c>
      <c r="V651">
        <f t="shared" si="74"/>
        <v>0</v>
      </c>
      <c r="W651">
        <f t="shared" si="76"/>
        <v>0</v>
      </c>
      <c r="X651" t="str" cm="1">
        <f t="array" ref="X651">_xlfn.IFS(W651&lt;=1,"Low",W651=2,"Medium",W651&gt;=3,"High")</f>
        <v>Low</v>
      </c>
    </row>
    <row r="652" spans="1:24" x14ac:dyDescent="0.3">
      <c r="A652" t="s">
        <v>1253</v>
      </c>
      <c r="B652" t="s">
        <v>1247</v>
      </c>
      <c r="C652" s="3">
        <v>46487</v>
      </c>
      <c r="D652" s="8" t="s">
        <v>720</v>
      </c>
      <c r="E652" s="7" t="s">
        <v>57</v>
      </c>
      <c r="F652" s="7" t="s">
        <v>36</v>
      </c>
      <c r="G652" s="7" t="s">
        <v>108</v>
      </c>
      <c r="H652" s="4">
        <v>149.08000000000001</v>
      </c>
      <c r="I652" s="7" t="s">
        <v>95</v>
      </c>
      <c r="J652" s="7" t="s">
        <v>17</v>
      </c>
      <c r="L652" t="str">
        <f>PROPER(TRIM(SUBSTITUTE(_xlfn.XLOOKUP(B652,Cardholders_Reference!A:A,Cardholders_Reference!B:B),","," ")))</f>
        <v>Lindiwe Maseko</v>
      </c>
      <c r="M652" s="5">
        <f>_xlfn.XLOOKUP(B652,Cardholders_Reference!A:A,Cardholders_Reference!G:G)</f>
        <v>15000</v>
      </c>
      <c r="N652" s="7" t="str">
        <f>_xlfn.XLOOKUP(B652,Cardholders_Reference!A:A,Cardholders_Reference!D:D)</f>
        <v>Nedbank</v>
      </c>
      <c r="O652" s="7" t="str">
        <f>_xlfn.XLOOKUP(B652,Cardholders_Reference!A:A,Cardholders_Reference!E:E)</f>
        <v>Visa</v>
      </c>
      <c r="P652" s="6">
        <f t="shared" si="75"/>
        <v>9.9386666666666668E-3</v>
      </c>
      <c r="Q652">
        <f t="shared" si="70"/>
        <v>0</v>
      </c>
      <c r="R652">
        <f t="shared" si="71"/>
        <v>0</v>
      </c>
      <c r="S652">
        <f>IF(COUNTIFS($B$1:$B$738,B651,$C$1:$C$738,#REF!)&gt;2,1,0)</f>
        <v>0</v>
      </c>
      <c r="T652">
        <f t="shared" si="72"/>
        <v>0</v>
      </c>
      <c r="U652">
        <f t="shared" si="73"/>
        <v>0</v>
      </c>
      <c r="V652">
        <f t="shared" si="74"/>
        <v>1</v>
      </c>
      <c r="W652">
        <f t="shared" si="76"/>
        <v>1</v>
      </c>
      <c r="X652" t="str" cm="1">
        <f t="array" ref="X652">_xlfn.IFS(W652&lt;=1,"Low",W652=2,"Medium",W652&gt;=3,"High")</f>
        <v>Low</v>
      </c>
    </row>
    <row r="653" spans="1:24" x14ac:dyDescent="0.3">
      <c r="A653" t="s">
        <v>1254</v>
      </c>
      <c r="B653" t="s">
        <v>1247</v>
      </c>
      <c r="C653" s="3">
        <v>46132</v>
      </c>
      <c r="D653" s="8" t="s">
        <v>1255</v>
      </c>
      <c r="E653" s="7" t="s">
        <v>132</v>
      </c>
      <c r="F653" s="7" t="s">
        <v>25</v>
      </c>
      <c r="G653" s="7" t="s">
        <v>108</v>
      </c>
      <c r="H653" s="4">
        <v>769.95</v>
      </c>
      <c r="I653" s="7" t="s">
        <v>95</v>
      </c>
      <c r="J653" s="7" t="s">
        <v>41</v>
      </c>
      <c r="L653" t="str">
        <f>PROPER(TRIM(SUBSTITUTE(_xlfn.XLOOKUP(B653,Cardholders_Reference!A:A,Cardholders_Reference!B:B),","," ")))</f>
        <v>Lindiwe Maseko</v>
      </c>
      <c r="M653" s="5">
        <f>_xlfn.XLOOKUP(B653,Cardholders_Reference!A:A,Cardholders_Reference!G:G)</f>
        <v>15000</v>
      </c>
      <c r="N653" s="7" t="str">
        <f>_xlfn.XLOOKUP(B653,Cardholders_Reference!A:A,Cardholders_Reference!D:D)</f>
        <v>Nedbank</v>
      </c>
      <c r="O653" s="7" t="str">
        <f>_xlfn.XLOOKUP(B653,Cardholders_Reference!A:A,Cardholders_Reference!E:E)</f>
        <v>Visa</v>
      </c>
      <c r="P653" s="6">
        <f t="shared" si="75"/>
        <v>5.1330000000000001E-2</v>
      </c>
      <c r="Q653">
        <f t="shared" si="70"/>
        <v>0</v>
      </c>
      <c r="R653">
        <f t="shared" si="71"/>
        <v>0</v>
      </c>
      <c r="S653">
        <f>IF(COUNTIFS($B$1:$B$738,B652,$C$1:$C$738,#REF!)&gt;2,1,0)</f>
        <v>0</v>
      </c>
      <c r="T653">
        <f t="shared" si="72"/>
        <v>0</v>
      </c>
      <c r="U653">
        <f t="shared" si="73"/>
        <v>0</v>
      </c>
      <c r="V653">
        <f t="shared" si="74"/>
        <v>1</v>
      </c>
      <c r="W653">
        <f t="shared" si="76"/>
        <v>1</v>
      </c>
      <c r="X653" t="str" cm="1">
        <f t="array" ref="X653">_xlfn.IFS(W653&lt;=1,"Low",W653=2,"Medium",W653&gt;=3,"High")</f>
        <v>Low</v>
      </c>
    </row>
    <row r="654" spans="1:24" x14ac:dyDescent="0.3">
      <c r="A654" t="s">
        <v>1256</v>
      </c>
      <c r="B654" t="s">
        <v>1247</v>
      </c>
      <c r="C654" s="3">
        <v>45874</v>
      </c>
      <c r="D654" s="8" t="s">
        <v>318</v>
      </c>
      <c r="E654" s="7" t="s">
        <v>121</v>
      </c>
      <c r="F654" s="7" t="s">
        <v>36</v>
      </c>
      <c r="G654" s="7" t="s">
        <v>108</v>
      </c>
      <c r="H654" s="4">
        <v>376.47</v>
      </c>
      <c r="I654" s="7" t="s">
        <v>16</v>
      </c>
      <c r="J654" s="7" t="s">
        <v>17</v>
      </c>
      <c r="L654" t="str">
        <f>PROPER(TRIM(SUBSTITUTE(_xlfn.XLOOKUP(B654,Cardholders_Reference!A:A,Cardholders_Reference!B:B),","," ")))</f>
        <v>Lindiwe Maseko</v>
      </c>
      <c r="M654" s="5">
        <f>_xlfn.XLOOKUP(B654,Cardholders_Reference!A:A,Cardholders_Reference!G:G)</f>
        <v>15000</v>
      </c>
      <c r="N654" s="7" t="str">
        <f>_xlfn.XLOOKUP(B654,Cardholders_Reference!A:A,Cardholders_Reference!D:D)</f>
        <v>Nedbank</v>
      </c>
      <c r="O654" s="7" t="str">
        <f>_xlfn.XLOOKUP(B654,Cardholders_Reference!A:A,Cardholders_Reference!E:E)</f>
        <v>Visa</v>
      </c>
      <c r="P654" s="6">
        <f t="shared" si="75"/>
        <v>2.5098000000000002E-2</v>
      </c>
      <c r="Q654">
        <f t="shared" si="70"/>
        <v>0</v>
      </c>
      <c r="R654">
        <f t="shared" si="71"/>
        <v>0</v>
      </c>
      <c r="S654">
        <f>IF(COUNTIFS($B$1:$B$738,B653,$C$1:$C$738,#REF!)&gt;2,1,0)</f>
        <v>0</v>
      </c>
      <c r="T654">
        <f t="shared" si="72"/>
        <v>0</v>
      </c>
      <c r="U654">
        <f t="shared" si="73"/>
        <v>0</v>
      </c>
      <c r="V654">
        <f t="shared" si="74"/>
        <v>0</v>
      </c>
      <c r="W654">
        <f t="shared" si="76"/>
        <v>0</v>
      </c>
      <c r="X654" t="str" cm="1">
        <f t="array" ref="X654">_xlfn.IFS(W654&lt;=1,"Low",W654=2,"Medium",W654&gt;=3,"High")</f>
        <v>Low</v>
      </c>
    </row>
    <row r="655" spans="1:24" x14ac:dyDescent="0.3">
      <c r="A655" t="s">
        <v>1257</v>
      </c>
      <c r="B655" t="s">
        <v>1247</v>
      </c>
      <c r="C655" s="3">
        <v>45919</v>
      </c>
      <c r="D655" s="8" t="s">
        <v>1258</v>
      </c>
      <c r="E655" s="7" t="s">
        <v>24</v>
      </c>
      <c r="F655" s="7" t="s">
        <v>25</v>
      </c>
      <c r="G655" s="7" t="s">
        <v>118</v>
      </c>
      <c r="H655" s="4">
        <v>913.26</v>
      </c>
      <c r="I655" s="7" t="s">
        <v>26</v>
      </c>
      <c r="J655" s="7" t="s">
        <v>41</v>
      </c>
      <c r="L655" t="str">
        <f>PROPER(TRIM(SUBSTITUTE(_xlfn.XLOOKUP(B655,Cardholders_Reference!A:A,Cardholders_Reference!B:B),","," ")))</f>
        <v>Lindiwe Maseko</v>
      </c>
      <c r="M655" s="5">
        <f>_xlfn.XLOOKUP(B655,Cardholders_Reference!A:A,Cardholders_Reference!G:G)</f>
        <v>15000</v>
      </c>
      <c r="N655" s="7" t="str">
        <f>_xlfn.XLOOKUP(B655,Cardholders_Reference!A:A,Cardholders_Reference!D:D)</f>
        <v>Nedbank</v>
      </c>
      <c r="O655" s="7" t="str">
        <f>_xlfn.XLOOKUP(B655,Cardholders_Reference!A:A,Cardholders_Reference!E:E)</f>
        <v>Visa</v>
      </c>
      <c r="P655" s="6">
        <f t="shared" si="75"/>
        <v>6.0884000000000001E-2</v>
      </c>
      <c r="Q655">
        <f t="shared" si="70"/>
        <v>0</v>
      </c>
      <c r="R655">
        <f t="shared" si="71"/>
        <v>0</v>
      </c>
      <c r="S655">
        <f>IF(COUNTIFS($B$1:$B$738,B654,$C$1:$C$738,#REF!)&gt;2,1,0)</f>
        <v>0</v>
      </c>
      <c r="T655">
        <f t="shared" si="72"/>
        <v>0</v>
      </c>
      <c r="U655">
        <f t="shared" si="73"/>
        <v>0</v>
      </c>
      <c r="V655">
        <f t="shared" si="74"/>
        <v>1</v>
      </c>
      <c r="W655">
        <f t="shared" si="76"/>
        <v>1</v>
      </c>
      <c r="X655" t="str" cm="1">
        <f t="array" ref="X655">_xlfn.IFS(W655&lt;=1,"Low",W655=2,"Medium",W655&gt;=3,"High")</f>
        <v>Low</v>
      </c>
    </row>
    <row r="656" spans="1:24" x14ac:dyDescent="0.3">
      <c r="A656" t="s">
        <v>1259</v>
      </c>
      <c r="B656" t="s">
        <v>1247</v>
      </c>
      <c r="C656" s="3">
        <v>46002</v>
      </c>
      <c r="D656" s="8" t="s">
        <v>1260</v>
      </c>
      <c r="E656" s="7" t="s">
        <v>84</v>
      </c>
      <c r="F656" s="7" t="s">
        <v>61</v>
      </c>
      <c r="G656" s="7" t="s">
        <v>108</v>
      </c>
      <c r="H656" s="4">
        <v>4559.95</v>
      </c>
      <c r="I656" s="7" t="s">
        <v>95</v>
      </c>
      <c r="J656" s="7" t="s">
        <v>17</v>
      </c>
      <c r="L656" t="str">
        <f>PROPER(TRIM(SUBSTITUTE(_xlfn.XLOOKUP(B656,Cardholders_Reference!A:A,Cardholders_Reference!B:B),","," ")))</f>
        <v>Lindiwe Maseko</v>
      </c>
      <c r="M656" s="5">
        <f>_xlfn.XLOOKUP(B656,Cardholders_Reference!A:A,Cardholders_Reference!G:G)</f>
        <v>15000</v>
      </c>
      <c r="N656" s="7" t="str">
        <f>_xlfn.XLOOKUP(B656,Cardholders_Reference!A:A,Cardholders_Reference!D:D)</f>
        <v>Nedbank</v>
      </c>
      <c r="O656" s="7" t="str">
        <f>_xlfn.XLOOKUP(B656,Cardholders_Reference!A:A,Cardholders_Reference!E:E)</f>
        <v>Visa</v>
      </c>
      <c r="P656" s="6">
        <f t="shared" si="75"/>
        <v>0.30399666666666664</v>
      </c>
      <c r="Q656">
        <f t="shared" si="70"/>
        <v>1</v>
      </c>
      <c r="R656">
        <f t="shared" si="71"/>
        <v>0</v>
      </c>
      <c r="S656">
        <f>IF(COUNTIFS($B$1:$B$738,B655,$C$1:$C$738,#REF!)&gt;2,1,0)</f>
        <v>0</v>
      </c>
      <c r="T656">
        <f t="shared" si="72"/>
        <v>0</v>
      </c>
      <c r="U656">
        <f t="shared" si="73"/>
        <v>0</v>
      </c>
      <c r="V656">
        <f t="shared" si="74"/>
        <v>1</v>
      </c>
      <c r="W656">
        <f t="shared" si="76"/>
        <v>2</v>
      </c>
      <c r="X656" t="str" cm="1">
        <f t="array" ref="X656">_xlfn.IFS(W656&lt;=1,"Low",W656=2,"Medium",W656&gt;=3,"High")</f>
        <v>Medium</v>
      </c>
    </row>
    <row r="657" spans="1:24" x14ac:dyDescent="0.3">
      <c r="A657" t="s">
        <v>1261</v>
      </c>
      <c r="B657" t="s">
        <v>1247</v>
      </c>
      <c r="C657" s="3">
        <v>45847</v>
      </c>
      <c r="D657" s="8" t="s">
        <v>397</v>
      </c>
      <c r="E657" s="7" t="s">
        <v>368</v>
      </c>
      <c r="F657" s="7" t="s">
        <v>21</v>
      </c>
      <c r="G657" s="7" t="s">
        <v>118</v>
      </c>
      <c r="H657" s="4">
        <v>2748.55</v>
      </c>
      <c r="I657" s="7" t="s">
        <v>32</v>
      </c>
      <c r="J657" s="7" t="s">
        <v>17</v>
      </c>
      <c r="L657" t="str">
        <f>PROPER(TRIM(SUBSTITUTE(_xlfn.XLOOKUP(B657,Cardholders_Reference!A:A,Cardholders_Reference!B:B),","," ")))</f>
        <v>Lindiwe Maseko</v>
      </c>
      <c r="M657" s="5">
        <f>_xlfn.XLOOKUP(B657,Cardholders_Reference!A:A,Cardholders_Reference!G:G)</f>
        <v>15000</v>
      </c>
      <c r="N657" s="7" t="str">
        <f>_xlfn.XLOOKUP(B657,Cardholders_Reference!A:A,Cardholders_Reference!D:D)</f>
        <v>Nedbank</v>
      </c>
      <c r="O657" s="7" t="str">
        <f>_xlfn.XLOOKUP(B657,Cardholders_Reference!A:A,Cardholders_Reference!E:E)</f>
        <v>Visa</v>
      </c>
      <c r="P657" s="6">
        <f t="shared" si="75"/>
        <v>0.18323666666666669</v>
      </c>
      <c r="Q657">
        <f t="shared" si="70"/>
        <v>0</v>
      </c>
      <c r="R657">
        <f t="shared" si="71"/>
        <v>0</v>
      </c>
      <c r="S657">
        <f>IF(COUNTIFS($B$1:$B$738,B656,$C$1:$C$738,#REF!)&gt;2,1,0)</f>
        <v>0</v>
      </c>
      <c r="T657">
        <f t="shared" si="72"/>
        <v>0</v>
      </c>
      <c r="U657">
        <f t="shared" si="73"/>
        <v>0</v>
      </c>
      <c r="V657">
        <f t="shared" si="74"/>
        <v>0</v>
      </c>
      <c r="W657">
        <f t="shared" si="76"/>
        <v>0</v>
      </c>
      <c r="X657" t="str" cm="1">
        <f t="array" ref="X657">_xlfn.IFS(W657&lt;=1,"Low",W657=2,"Medium",W657&gt;=3,"High")</f>
        <v>Low</v>
      </c>
    </row>
    <row r="658" spans="1:24" x14ac:dyDescent="0.3">
      <c r="A658" t="s">
        <v>1262</v>
      </c>
      <c r="B658" t="s">
        <v>1247</v>
      </c>
      <c r="C658" s="3">
        <v>45875</v>
      </c>
      <c r="D658" s="8" t="s">
        <v>1263</v>
      </c>
      <c r="E658" s="7" t="s">
        <v>80</v>
      </c>
      <c r="F658" s="7" t="s">
        <v>81</v>
      </c>
      <c r="G658" s="7" t="s">
        <v>108</v>
      </c>
      <c r="H658" s="4">
        <v>5781.94</v>
      </c>
      <c r="I658" s="7" t="s">
        <v>32</v>
      </c>
      <c r="J658" s="7" t="s">
        <v>17</v>
      </c>
      <c r="L658" t="str">
        <f>PROPER(TRIM(SUBSTITUTE(_xlfn.XLOOKUP(B658,Cardholders_Reference!A:A,Cardholders_Reference!B:B),","," ")))</f>
        <v>Lindiwe Maseko</v>
      </c>
      <c r="M658" s="5">
        <f>_xlfn.XLOOKUP(B658,Cardholders_Reference!A:A,Cardholders_Reference!G:G)</f>
        <v>15000</v>
      </c>
      <c r="N658" s="7" t="str">
        <f>_xlfn.XLOOKUP(B658,Cardholders_Reference!A:A,Cardholders_Reference!D:D)</f>
        <v>Nedbank</v>
      </c>
      <c r="O658" s="7" t="str">
        <f>_xlfn.XLOOKUP(B658,Cardholders_Reference!A:A,Cardholders_Reference!E:E)</f>
        <v>Visa</v>
      </c>
      <c r="P658" s="6">
        <f t="shared" si="75"/>
        <v>0.38546266666666662</v>
      </c>
      <c r="Q658">
        <f t="shared" si="70"/>
        <v>1</v>
      </c>
      <c r="R658">
        <f t="shared" si="71"/>
        <v>0</v>
      </c>
      <c r="S658">
        <f>IF(COUNTIFS($B$1:$B$738,B657,$C$1:$C$738,#REF!)&gt;2,1,0)</f>
        <v>0</v>
      </c>
      <c r="T658">
        <f t="shared" si="72"/>
        <v>0</v>
      </c>
      <c r="U658">
        <f t="shared" si="73"/>
        <v>1</v>
      </c>
      <c r="V658">
        <f t="shared" si="74"/>
        <v>0</v>
      </c>
      <c r="W658">
        <f t="shared" si="76"/>
        <v>2</v>
      </c>
      <c r="X658" t="str" cm="1">
        <f t="array" ref="X658">_xlfn.IFS(W658&lt;=1,"Low",W658=2,"Medium",W658&gt;=3,"High")</f>
        <v>Medium</v>
      </c>
    </row>
    <row r="659" spans="1:24" x14ac:dyDescent="0.3">
      <c r="A659" t="s">
        <v>1264</v>
      </c>
      <c r="B659" t="s">
        <v>1247</v>
      </c>
      <c r="C659" s="3">
        <v>46087</v>
      </c>
      <c r="D659" s="8" t="s">
        <v>38</v>
      </c>
      <c r="E659" s="7" t="s">
        <v>73</v>
      </c>
      <c r="F659" s="7" t="s">
        <v>74</v>
      </c>
      <c r="G659" s="7" t="s">
        <v>108</v>
      </c>
      <c r="H659" s="4">
        <v>888.47</v>
      </c>
      <c r="I659" s="7" t="s">
        <v>95</v>
      </c>
      <c r="J659" s="7" t="s">
        <v>41</v>
      </c>
      <c r="L659" t="str">
        <f>PROPER(TRIM(SUBSTITUTE(_xlfn.XLOOKUP(B659,Cardholders_Reference!A:A,Cardholders_Reference!B:B),","," ")))</f>
        <v>Lindiwe Maseko</v>
      </c>
      <c r="M659" s="5">
        <f>_xlfn.XLOOKUP(B659,Cardholders_Reference!A:A,Cardholders_Reference!G:G)</f>
        <v>15000</v>
      </c>
      <c r="N659" s="7" t="str">
        <f>_xlfn.XLOOKUP(B659,Cardholders_Reference!A:A,Cardholders_Reference!D:D)</f>
        <v>Nedbank</v>
      </c>
      <c r="O659" s="7" t="str">
        <f>_xlfn.XLOOKUP(B659,Cardholders_Reference!A:A,Cardholders_Reference!E:E)</f>
        <v>Visa</v>
      </c>
      <c r="P659" s="6">
        <f t="shared" si="75"/>
        <v>5.9231333333333337E-2</v>
      </c>
      <c r="Q659">
        <f t="shared" si="70"/>
        <v>0</v>
      </c>
      <c r="R659">
        <f t="shared" si="71"/>
        <v>0</v>
      </c>
      <c r="S659">
        <f>IF(COUNTIFS($B$1:$B$738,B658,$C$1:$C$738,#REF!)&gt;2,1,0)</f>
        <v>0</v>
      </c>
      <c r="T659">
        <f t="shared" si="72"/>
        <v>0</v>
      </c>
      <c r="U659">
        <f t="shared" si="73"/>
        <v>0</v>
      </c>
      <c r="V659">
        <f t="shared" si="74"/>
        <v>1</v>
      </c>
      <c r="W659">
        <f t="shared" si="76"/>
        <v>1</v>
      </c>
      <c r="X659" t="str" cm="1">
        <f t="array" ref="X659">_xlfn.IFS(W659&lt;=1,"Low",W659=2,"Medium",W659&gt;=3,"High")</f>
        <v>Low</v>
      </c>
    </row>
    <row r="660" spans="1:24" x14ac:dyDescent="0.3">
      <c r="A660" t="s">
        <v>1265</v>
      </c>
      <c r="B660" t="s">
        <v>1247</v>
      </c>
      <c r="C660" s="3">
        <v>46138</v>
      </c>
      <c r="D660" s="8" t="s">
        <v>1025</v>
      </c>
      <c r="E660" s="7" t="s">
        <v>84</v>
      </c>
      <c r="F660" s="7" t="s">
        <v>61</v>
      </c>
      <c r="G660" s="7" t="s">
        <v>108</v>
      </c>
      <c r="H660" s="4">
        <v>4508.16</v>
      </c>
      <c r="I660" s="7" t="s">
        <v>16</v>
      </c>
      <c r="J660" s="7" t="s">
        <v>17</v>
      </c>
      <c r="L660" t="str">
        <f>PROPER(TRIM(SUBSTITUTE(_xlfn.XLOOKUP(B660,Cardholders_Reference!A:A,Cardholders_Reference!B:B),","," ")))</f>
        <v>Lindiwe Maseko</v>
      </c>
      <c r="M660" s="5">
        <f>_xlfn.XLOOKUP(B660,Cardholders_Reference!A:A,Cardholders_Reference!G:G)</f>
        <v>15000</v>
      </c>
      <c r="N660" s="7" t="str">
        <f>_xlfn.XLOOKUP(B660,Cardholders_Reference!A:A,Cardholders_Reference!D:D)</f>
        <v>Nedbank</v>
      </c>
      <c r="O660" s="7" t="str">
        <f>_xlfn.XLOOKUP(B660,Cardholders_Reference!A:A,Cardholders_Reference!E:E)</f>
        <v>Visa</v>
      </c>
      <c r="P660" s="6">
        <f t="shared" si="75"/>
        <v>0.30054399999999998</v>
      </c>
      <c r="Q660">
        <f t="shared" si="70"/>
        <v>0</v>
      </c>
      <c r="R660">
        <f t="shared" si="71"/>
        <v>0</v>
      </c>
      <c r="S660">
        <f>IF(COUNTIFS($B$1:$B$738,B659,$C$1:$C$738,#REF!)&gt;2,1,0)</f>
        <v>0</v>
      </c>
      <c r="T660">
        <f t="shared" si="72"/>
        <v>0</v>
      </c>
      <c r="U660">
        <f t="shared" si="73"/>
        <v>0</v>
      </c>
      <c r="V660">
        <f t="shared" si="74"/>
        <v>0</v>
      </c>
      <c r="W660">
        <f t="shared" si="76"/>
        <v>0</v>
      </c>
      <c r="X660" t="str" cm="1">
        <f t="array" ref="X660">_xlfn.IFS(W660&lt;=1,"Low",W660=2,"Medium",W660&gt;=3,"High")</f>
        <v>Low</v>
      </c>
    </row>
    <row r="661" spans="1:24" x14ac:dyDescent="0.3">
      <c r="A661" t="s">
        <v>1266</v>
      </c>
      <c r="B661" t="s">
        <v>1267</v>
      </c>
      <c r="C661" s="3">
        <v>45707</v>
      </c>
      <c r="D661" s="8" t="s">
        <v>1268</v>
      </c>
      <c r="E661" s="7" t="s">
        <v>245</v>
      </c>
      <c r="F661" s="7" t="s">
        <v>48</v>
      </c>
      <c r="G661" s="7" t="s">
        <v>250</v>
      </c>
      <c r="H661" s="4">
        <v>563.67999999999995</v>
      </c>
      <c r="I661" s="7" t="s">
        <v>16</v>
      </c>
      <c r="J661" s="7" t="s">
        <v>17</v>
      </c>
      <c r="L661" t="str">
        <f>PROPER(TRIM(SUBSTITUTE(_xlfn.XLOOKUP(B661,Cardholders_Reference!A:A,Cardholders_Reference!B:B),","," ")))</f>
        <v>David Adams</v>
      </c>
      <c r="M661" s="5">
        <f>_xlfn.XLOOKUP(B661,Cardholders_Reference!A:A,Cardholders_Reference!G:G)</f>
        <v>50000</v>
      </c>
      <c r="N661" s="7" t="str">
        <f>_xlfn.XLOOKUP(B661,Cardholders_Reference!A:A,Cardholders_Reference!D:D)</f>
        <v>ABSA</v>
      </c>
      <c r="O661" s="7" t="str">
        <f>_xlfn.XLOOKUP(B661,Cardholders_Reference!A:A,Cardholders_Reference!E:E)</f>
        <v>Visa</v>
      </c>
      <c r="P661" s="6">
        <f t="shared" si="75"/>
        <v>1.1273599999999998E-2</v>
      </c>
      <c r="Q661">
        <f t="shared" si="70"/>
        <v>0</v>
      </c>
      <c r="R661">
        <f t="shared" si="71"/>
        <v>0</v>
      </c>
      <c r="S661">
        <f>IF(COUNTIFS($B$1:$B$738,B660,$C$1:$C$738,#REF!)&gt;2,1,0)</f>
        <v>0</v>
      </c>
      <c r="T661">
        <f t="shared" si="72"/>
        <v>0</v>
      </c>
      <c r="U661">
        <f t="shared" si="73"/>
        <v>0</v>
      </c>
      <c r="V661">
        <f t="shared" si="74"/>
        <v>0</v>
      </c>
      <c r="W661">
        <f t="shared" si="76"/>
        <v>0</v>
      </c>
      <c r="X661" t="str" cm="1">
        <f t="array" ref="X661">_xlfn.IFS(W661&lt;=1,"Low",W661=2,"Medium",W661&gt;=3,"High")</f>
        <v>Low</v>
      </c>
    </row>
    <row r="662" spans="1:24" x14ac:dyDescent="0.3">
      <c r="A662" t="s">
        <v>1269</v>
      </c>
      <c r="B662" t="s">
        <v>1267</v>
      </c>
      <c r="C662" s="3">
        <v>46161</v>
      </c>
      <c r="D662" s="8" t="s">
        <v>1270</v>
      </c>
      <c r="E662" s="7" t="s">
        <v>220</v>
      </c>
      <c r="F662" s="7" t="s">
        <v>91</v>
      </c>
      <c r="G662" s="7" t="s">
        <v>250</v>
      </c>
      <c r="H662" s="4">
        <v>2076.61</v>
      </c>
      <c r="I662" s="7" t="s">
        <v>26</v>
      </c>
      <c r="J662" s="7" t="s">
        <v>17</v>
      </c>
      <c r="L662" t="str">
        <f>PROPER(TRIM(SUBSTITUTE(_xlfn.XLOOKUP(B662,Cardholders_Reference!A:A,Cardholders_Reference!B:B),","," ")))</f>
        <v>David Adams</v>
      </c>
      <c r="M662" s="5">
        <f>_xlfn.XLOOKUP(B662,Cardholders_Reference!A:A,Cardholders_Reference!G:G)</f>
        <v>50000</v>
      </c>
      <c r="N662" s="7" t="str">
        <f>_xlfn.XLOOKUP(B662,Cardholders_Reference!A:A,Cardholders_Reference!D:D)</f>
        <v>ABSA</v>
      </c>
      <c r="O662" s="7" t="str">
        <f>_xlfn.XLOOKUP(B662,Cardholders_Reference!A:A,Cardholders_Reference!E:E)</f>
        <v>Visa</v>
      </c>
      <c r="P662" s="6">
        <f t="shared" si="75"/>
        <v>4.1532200000000005E-2</v>
      </c>
      <c r="Q662">
        <f t="shared" si="70"/>
        <v>0</v>
      </c>
      <c r="R662">
        <f t="shared" si="71"/>
        <v>0</v>
      </c>
      <c r="S662">
        <f>IF(COUNTIFS($B$1:$B$738,B661,$C$1:$C$738,#REF!)&gt;2,1,0)</f>
        <v>0</v>
      </c>
      <c r="T662">
        <f t="shared" si="72"/>
        <v>0</v>
      </c>
      <c r="U662">
        <f t="shared" si="73"/>
        <v>0</v>
      </c>
      <c r="V662">
        <f t="shared" si="74"/>
        <v>1</v>
      </c>
      <c r="W662">
        <f t="shared" si="76"/>
        <v>1</v>
      </c>
      <c r="X662" t="str" cm="1">
        <f t="array" ref="X662">_xlfn.IFS(W662&lt;=1,"Low",W662=2,"Medium",W662&gt;=3,"High")</f>
        <v>Low</v>
      </c>
    </row>
    <row r="663" spans="1:24" x14ac:dyDescent="0.3">
      <c r="A663" t="s">
        <v>1271</v>
      </c>
      <c r="B663" t="s">
        <v>1267</v>
      </c>
      <c r="C663" s="3">
        <v>45948</v>
      </c>
      <c r="D663" s="8" t="s">
        <v>1272</v>
      </c>
      <c r="E663" s="7" t="s">
        <v>60</v>
      </c>
      <c r="F663" s="7" t="s">
        <v>61</v>
      </c>
      <c r="G663" s="7" t="s">
        <v>250</v>
      </c>
      <c r="H663" s="4">
        <v>4516.97</v>
      </c>
      <c r="I663" s="7" t="s">
        <v>95</v>
      </c>
      <c r="J663" s="7" t="s">
        <v>17</v>
      </c>
      <c r="L663" t="str">
        <f>PROPER(TRIM(SUBSTITUTE(_xlfn.XLOOKUP(B663,Cardholders_Reference!A:A,Cardholders_Reference!B:B),","," ")))</f>
        <v>David Adams</v>
      </c>
      <c r="M663" s="5">
        <f>_xlfn.XLOOKUP(B663,Cardholders_Reference!A:A,Cardholders_Reference!G:G)</f>
        <v>50000</v>
      </c>
      <c r="N663" s="7" t="str">
        <f>_xlfn.XLOOKUP(B663,Cardholders_Reference!A:A,Cardholders_Reference!D:D)</f>
        <v>ABSA</v>
      </c>
      <c r="O663" s="7" t="str">
        <f>_xlfn.XLOOKUP(B663,Cardholders_Reference!A:A,Cardholders_Reference!E:E)</f>
        <v>Visa</v>
      </c>
      <c r="P663" s="6">
        <f t="shared" si="75"/>
        <v>9.03394E-2</v>
      </c>
      <c r="Q663">
        <f t="shared" si="70"/>
        <v>0</v>
      </c>
      <c r="R663">
        <f t="shared" si="71"/>
        <v>0</v>
      </c>
      <c r="S663">
        <f>IF(COUNTIFS($B$1:$B$738,B662,$C$1:$C$738,#REF!)&gt;2,1,0)</f>
        <v>0</v>
      </c>
      <c r="T663">
        <f t="shared" si="72"/>
        <v>0</v>
      </c>
      <c r="U663">
        <f t="shared" si="73"/>
        <v>0</v>
      </c>
      <c r="V663">
        <f t="shared" si="74"/>
        <v>1</v>
      </c>
      <c r="W663">
        <f t="shared" si="76"/>
        <v>1</v>
      </c>
      <c r="X663" t="str" cm="1">
        <f t="array" ref="X663">_xlfn.IFS(W663&lt;=1,"Low",W663=2,"Medium",W663&gt;=3,"High")</f>
        <v>Low</v>
      </c>
    </row>
    <row r="664" spans="1:24" x14ac:dyDescent="0.3">
      <c r="A664" t="s">
        <v>1273</v>
      </c>
      <c r="B664" t="s">
        <v>1267</v>
      </c>
      <c r="C664" s="3">
        <v>46028</v>
      </c>
      <c r="D664" s="8" t="s">
        <v>556</v>
      </c>
      <c r="E664" s="7" t="s">
        <v>156</v>
      </c>
      <c r="F664" s="7" t="s">
        <v>36</v>
      </c>
      <c r="G664" s="7" t="s">
        <v>250</v>
      </c>
      <c r="H664" s="4">
        <v>229.89</v>
      </c>
      <c r="I664" s="7" t="s">
        <v>26</v>
      </c>
      <c r="J664" s="7" t="s">
        <v>41</v>
      </c>
      <c r="L664" t="str">
        <f>PROPER(TRIM(SUBSTITUTE(_xlfn.XLOOKUP(B664,Cardholders_Reference!A:A,Cardholders_Reference!B:B),","," ")))</f>
        <v>David Adams</v>
      </c>
      <c r="M664" s="5">
        <f>_xlfn.XLOOKUP(B664,Cardholders_Reference!A:A,Cardholders_Reference!G:G)</f>
        <v>50000</v>
      </c>
      <c r="N664" s="7" t="str">
        <f>_xlfn.XLOOKUP(B664,Cardholders_Reference!A:A,Cardholders_Reference!D:D)</f>
        <v>ABSA</v>
      </c>
      <c r="O664" s="7" t="str">
        <f>_xlfn.XLOOKUP(B664,Cardholders_Reference!A:A,Cardholders_Reference!E:E)</f>
        <v>Visa</v>
      </c>
      <c r="P664" s="6">
        <f t="shared" si="75"/>
        <v>4.5978E-3</v>
      </c>
      <c r="Q664">
        <f t="shared" si="70"/>
        <v>0</v>
      </c>
      <c r="R664">
        <f t="shared" si="71"/>
        <v>0</v>
      </c>
      <c r="S664">
        <f>IF(COUNTIFS($B$1:$B$738,B663,$C$1:$C$738,#REF!)&gt;2,1,0)</f>
        <v>0</v>
      </c>
      <c r="T664">
        <f t="shared" si="72"/>
        <v>0</v>
      </c>
      <c r="U664">
        <f t="shared" si="73"/>
        <v>0</v>
      </c>
      <c r="V664">
        <f t="shared" si="74"/>
        <v>1</v>
      </c>
      <c r="W664">
        <f t="shared" si="76"/>
        <v>1</v>
      </c>
      <c r="X664" t="str" cm="1">
        <f t="array" ref="X664">_xlfn.IFS(W664&lt;=1,"Low",W664=2,"Medium",W664&gt;=3,"High")</f>
        <v>Low</v>
      </c>
    </row>
    <row r="665" spans="1:24" x14ac:dyDescent="0.3">
      <c r="A665" t="s">
        <v>1274</v>
      </c>
      <c r="B665" t="s">
        <v>1267</v>
      </c>
      <c r="C665" s="3">
        <v>45783</v>
      </c>
      <c r="D665" s="8" t="s">
        <v>958</v>
      </c>
      <c r="E665" s="7" t="s">
        <v>24</v>
      </c>
      <c r="F665" s="7" t="s">
        <v>25</v>
      </c>
      <c r="G665" s="7" t="s">
        <v>250</v>
      </c>
      <c r="H665" s="4">
        <v>991.88</v>
      </c>
      <c r="I665" s="7" t="s">
        <v>95</v>
      </c>
      <c r="J665" s="7" t="s">
        <v>41</v>
      </c>
      <c r="L665" t="str">
        <f>PROPER(TRIM(SUBSTITUTE(_xlfn.XLOOKUP(B665,Cardholders_Reference!A:A,Cardholders_Reference!B:B),","," ")))</f>
        <v>David Adams</v>
      </c>
      <c r="M665" s="5">
        <f>_xlfn.XLOOKUP(B665,Cardholders_Reference!A:A,Cardholders_Reference!G:G)</f>
        <v>50000</v>
      </c>
      <c r="N665" s="7" t="str">
        <f>_xlfn.XLOOKUP(B665,Cardholders_Reference!A:A,Cardholders_Reference!D:D)</f>
        <v>ABSA</v>
      </c>
      <c r="O665" s="7" t="str">
        <f>_xlfn.XLOOKUP(B665,Cardholders_Reference!A:A,Cardholders_Reference!E:E)</f>
        <v>Visa</v>
      </c>
      <c r="P665" s="6">
        <f t="shared" si="75"/>
        <v>1.98376E-2</v>
      </c>
      <c r="Q665">
        <f t="shared" si="70"/>
        <v>0</v>
      </c>
      <c r="R665">
        <f t="shared" si="71"/>
        <v>0</v>
      </c>
      <c r="S665">
        <f>IF(COUNTIFS($B$1:$B$738,B664,$C$1:$C$738,#REF!)&gt;2,1,0)</f>
        <v>0</v>
      </c>
      <c r="T665">
        <f t="shared" si="72"/>
        <v>0</v>
      </c>
      <c r="U665">
        <f t="shared" si="73"/>
        <v>0</v>
      </c>
      <c r="V665">
        <f t="shared" si="74"/>
        <v>1</v>
      </c>
      <c r="W665">
        <f t="shared" si="76"/>
        <v>1</v>
      </c>
      <c r="X665" t="str" cm="1">
        <f t="array" ref="X665">_xlfn.IFS(W665&lt;=1,"Low",W665=2,"Medium",W665&gt;=3,"High")</f>
        <v>Low</v>
      </c>
    </row>
    <row r="666" spans="1:24" x14ac:dyDescent="0.3">
      <c r="A666" t="s">
        <v>1275</v>
      </c>
      <c r="B666" t="s">
        <v>1267</v>
      </c>
      <c r="C666" s="3">
        <v>45865</v>
      </c>
      <c r="D666" s="8" t="s">
        <v>677</v>
      </c>
      <c r="E666" s="7" t="s">
        <v>73</v>
      </c>
      <c r="F666" s="7" t="s">
        <v>74</v>
      </c>
      <c r="G666" s="7" t="s">
        <v>250</v>
      </c>
      <c r="H666" s="4">
        <v>623.59</v>
      </c>
      <c r="I666" s="7" t="s">
        <v>95</v>
      </c>
      <c r="J666" s="7" t="s">
        <v>41</v>
      </c>
      <c r="L666" t="str">
        <f>PROPER(TRIM(SUBSTITUTE(_xlfn.XLOOKUP(B666,Cardholders_Reference!A:A,Cardholders_Reference!B:B),","," ")))</f>
        <v>David Adams</v>
      </c>
      <c r="M666" s="5">
        <f>_xlfn.XLOOKUP(B666,Cardholders_Reference!A:A,Cardholders_Reference!G:G)</f>
        <v>50000</v>
      </c>
      <c r="N666" s="7" t="str">
        <f>_xlfn.XLOOKUP(B666,Cardholders_Reference!A:A,Cardholders_Reference!D:D)</f>
        <v>ABSA</v>
      </c>
      <c r="O666" s="7" t="str">
        <f>_xlfn.XLOOKUP(B666,Cardholders_Reference!A:A,Cardholders_Reference!E:E)</f>
        <v>Visa</v>
      </c>
      <c r="P666" s="6">
        <f t="shared" si="75"/>
        <v>1.24718E-2</v>
      </c>
      <c r="Q666">
        <f t="shared" si="70"/>
        <v>0</v>
      </c>
      <c r="R666">
        <f t="shared" si="71"/>
        <v>0</v>
      </c>
      <c r="S666">
        <f>IF(COUNTIFS($B$1:$B$738,B665,$C$1:$C$738,#REF!)&gt;2,1,0)</f>
        <v>0</v>
      </c>
      <c r="T666">
        <f t="shared" si="72"/>
        <v>0</v>
      </c>
      <c r="U666">
        <f t="shared" si="73"/>
        <v>0</v>
      </c>
      <c r="V666">
        <f t="shared" si="74"/>
        <v>1</v>
      </c>
      <c r="W666">
        <f t="shared" si="76"/>
        <v>1</v>
      </c>
      <c r="X666" t="str" cm="1">
        <f t="array" ref="X666">_xlfn.IFS(W666&lt;=1,"Low",W666=2,"Medium",W666&gt;=3,"High")</f>
        <v>Low</v>
      </c>
    </row>
    <row r="667" spans="1:24" x14ac:dyDescent="0.3">
      <c r="A667" t="s">
        <v>1276</v>
      </c>
      <c r="B667" t="s">
        <v>1267</v>
      </c>
      <c r="C667" s="3">
        <v>45925</v>
      </c>
      <c r="D667" s="8" t="s">
        <v>1439</v>
      </c>
      <c r="E667" s="7" t="s">
        <v>97</v>
      </c>
      <c r="F667" s="7" t="s">
        <v>53</v>
      </c>
      <c r="G667" s="7" t="s">
        <v>250</v>
      </c>
      <c r="H667" s="4">
        <v>1598.35</v>
      </c>
      <c r="I667" s="7" t="s">
        <v>32</v>
      </c>
      <c r="J667" s="7" t="s">
        <v>17</v>
      </c>
      <c r="L667" t="str">
        <f>PROPER(TRIM(SUBSTITUTE(_xlfn.XLOOKUP(B667,Cardholders_Reference!A:A,Cardholders_Reference!B:B),","," ")))</f>
        <v>David Adams</v>
      </c>
      <c r="M667" s="5">
        <f>_xlfn.XLOOKUP(B667,Cardholders_Reference!A:A,Cardholders_Reference!G:G)</f>
        <v>50000</v>
      </c>
      <c r="N667" s="7" t="str">
        <f>_xlfn.XLOOKUP(B667,Cardholders_Reference!A:A,Cardholders_Reference!D:D)</f>
        <v>ABSA</v>
      </c>
      <c r="O667" s="7" t="str">
        <f>_xlfn.XLOOKUP(B667,Cardholders_Reference!A:A,Cardholders_Reference!E:E)</f>
        <v>Visa</v>
      </c>
      <c r="P667" s="6">
        <f t="shared" si="75"/>
        <v>3.1966999999999995E-2</v>
      </c>
      <c r="Q667">
        <f t="shared" si="70"/>
        <v>0</v>
      </c>
      <c r="R667">
        <f t="shared" si="71"/>
        <v>1</v>
      </c>
      <c r="S667">
        <f>IF(COUNTIFS($B$1:$B$738,B666,$C$1:$C$738,#REF!)&gt;2,1,0)</f>
        <v>0</v>
      </c>
      <c r="T667">
        <f t="shared" si="72"/>
        <v>0</v>
      </c>
      <c r="U667">
        <f t="shared" si="73"/>
        <v>0</v>
      </c>
      <c r="V667">
        <f t="shared" si="74"/>
        <v>0</v>
      </c>
      <c r="W667">
        <f t="shared" si="76"/>
        <v>1</v>
      </c>
      <c r="X667" t="str" cm="1">
        <f t="array" ref="X667">_xlfn.IFS(W667&lt;=1,"Low",W667=2,"Medium",W667&gt;=3,"High")</f>
        <v>Low</v>
      </c>
    </row>
    <row r="668" spans="1:24" x14ac:dyDescent="0.3">
      <c r="A668" t="s">
        <v>1277</v>
      </c>
      <c r="B668" t="s">
        <v>1267</v>
      </c>
      <c r="C668" s="3">
        <v>45903</v>
      </c>
      <c r="D668" s="8" t="s">
        <v>920</v>
      </c>
      <c r="E668" s="7" t="s">
        <v>90</v>
      </c>
      <c r="F668" s="7" t="s">
        <v>91</v>
      </c>
      <c r="G668" s="7" t="s">
        <v>250</v>
      </c>
      <c r="H668" s="4">
        <v>620.39</v>
      </c>
      <c r="I668" s="7" t="s">
        <v>26</v>
      </c>
      <c r="J668" s="7" t="s">
        <v>17</v>
      </c>
      <c r="L668" t="str">
        <f>PROPER(TRIM(SUBSTITUTE(_xlfn.XLOOKUP(B668,Cardholders_Reference!A:A,Cardholders_Reference!B:B),","," ")))</f>
        <v>David Adams</v>
      </c>
      <c r="M668" s="5">
        <f>_xlfn.XLOOKUP(B668,Cardholders_Reference!A:A,Cardholders_Reference!G:G)</f>
        <v>50000</v>
      </c>
      <c r="N668" s="7" t="str">
        <f>_xlfn.XLOOKUP(B668,Cardholders_Reference!A:A,Cardholders_Reference!D:D)</f>
        <v>ABSA</v>
      </c>
      <c r="O668" s="7" t="str">
        <f>_xlfn.XLOOKUP(B668,Cardholders_Reference!A:A,Cardholders_Reference!E:E)</f>
        <v>Visa</v>
      </c>
      <c r="P668" s="6">
        <f t="shared" si="75"/>
        <v>1.24078E-2</v>
      </c>
      <c r="Q668">
        <f t="shared" si="70"/>
        <v>0</v>
      </c>
      <c r="R668">
        <f t="shared" si="71"/>
        <v>0</v>
      </c>
      <c r="S668">
        <f>IF(COUNTIFS($B$1:$B$738,B667,$C$1:$C$738,#REF!)&gt;2,1,0)</f>
        <v>0</v>
      </c>
      <c r="T668">
        <f t="shared" si="72"/>
        <v>0</v>
      </c>
      <c r="U668">
        <f t="shared" si="73"/>
        <v>0</v>
      </c>
      <c r="V668">
        <f t="shared" si="74"/>
        <v>1</v>
      </c>
      <c r="W668">
        <f t="shared" si="76"/>
        <v>1</v>
      </c>
      <c r="X668" t="str" cm="1">
        <f t="array" ref="X668">_xlfn.IFS(W668&lt;=1,"Low",W668=2,"Medium",W668&gt;=3,"High")</f>
        <v>Low</v>
      </c>
    </row>
    <row r="669" spans="1:24" x14ac:dyDescent="0.3">
      <c r="A669" t="s">
        <v>1278</v>
      </c>
      <c r="B669" t="s">
        <v>1267</v>
      </c>
      <c r="C669" s="3">
        <v>45874</v>
      </c>
      <c r="D669" s="8" t="s">
        <v>408</v>
      </c>
      <c r="E669" s="7" t="s">
        <v>548</v>
      </c>
      <c r="F669" s="7" t="s">
        <v>40</v>
      </c>
      <c r="G669" s="7" t="s">
        <v>22</v>
      </c>
      <c r="H669" s="4">
        <v>198.74</v>
      </c>
      <c r="I669" s="7" t="s">
        <v>16</v>
      </c>
      <c r="J669" s="7" t="s">
        <v>17</v>
      </c>
      <c r="L669" t="str">
        <f>PROPER(TRIM(SUBSTITUTE(_xlfn.XLOOKUP(B669,Cardholders_Reference!A:A,Cardholders_Reference!B:B),","," ")))</f>
        <v>David Adams</v>
      </c>
      <c r="M669" s="5">
        <f>_xlfn.XLOOKUP(B669,Cardholders_Reference!A:A,Cardholders_Reference!G:G)</f>
        <v>50000</v>
      </c>
      <c r="N669" s="7" t="str">
        <f>_xlfn.XLOOKUP(B669,Cardholders_Reference!A:A,Cardholders_Reference!D:D)</f>
        <v>ABSA</v>
      </c>
      <c r="O669" s="7" t="str">
        <f>_xlfn.XLOOKUP(B669,Cardholders_Reference!A:A,Cardholders_Reference!E:E)</f>
        <v>Visa</v>
      </c>
      <c r="P669" s="6">
        <f t="shared" si="75"/>
        <v>3.9748000000000006E-3</v>
      </c>
      <c r="Q669">
        <f t="shared" si="70"/>
        <v>0</v>
      </c>
      <c r="R669">
        <f t="shared" si="71"/>
        <v>0</v>
      </c>
      <c r="S669">
        <f>IF(COUNTIFS($B$1:$B$738,B668,$C$1:$C$738,#REF!)&gt;2,1,0)</f>
        <v>0</v>
      </c>
      <c r="T669">
        <f t="shared" si="72"/>
        <v>0</v>
      </c>
      <c r="U669">
        <f t="shared" si="73"/>
        <v>0</v>
      </c>
      <c r="V669">
        <f t="shared" si="74"/>
        <v>0</v>
      </c>
      <c r="W669">
        <f t="shared" si="76"/>
        <v>0</v>
      </c>
      <c r="X669" t="str" cm="1">
        <f t="array" ref="X669">_xlfn.IFS(W669&lt;=1,"Low",W669=2,"Medium",W669&gt;=3,"High")</f>
        <v>Low</v>
      </c>
    </row>
    <row r="670" spans="1:24" x14ac:dyDescent="0.3">
      <c r="A670" t="s">
        <v>1279</v>
      </c>
      <c r="B670" t="s">
        <v>1267</v>
      </c>
      <c r="C670" s="3">
        <v>45671</v>
      </c>
      <c r="D670" s="8" t="s">
        <v>1280</v>
      </c>
      <c r="E670" s="7" t="s">
        <v>215</v>
      </c>
      <c r="F670" s="7" t="s">
        <v>15</v>
      </c>
      <c r="G670" s="7" t="s">
        <v>250</v>
      </c>
      <c r="H670" s="4">
        <v>795.4</v>
      </c>
      <c r="I670" s="7" t="s">
        <v>32</v>
      </c>
      <c r="J670" s="7" t="s">
        <v>17</v>
      </c>
      <c r="L670" t="str">
        <f>PROPER(TRIM(SUBSTITUTE(_xlfn.XLOOKUP(B670,Cardholders_Reference!A:A,Cardholders_Reference!B:B),","," ")))</f>
        <v>David Adams</v>
      </c>
      <c r="M670" s="5">
        <f>_xlfn.XLOOKUP(B670,Cardholders_Reference!A:A,Cardholders_Reference!G:G)</f>
        <v>50000</v>
      </c>
      <c r="N670" s="7" t="str">
        <f>_xlfn.XLOOKUP(B670,Cardholders_Reference!A:A,Cardholders_Reference!D:D)</f>
        <v>ABSA</v>
      </c>
      <c r="O670" s="7" t="str">
        <f>_xlfn.XLOOKUP(B670,Cardholders_Reference!A:A,Cardholders_Reference!E:E)</f>
        <v>Visa</v>
      </c>
      <c r="P670" s="6">
        <f t="shared" si="75"/>
        <v>1.5907999999999999E-2</v>
      </c>
      <c r="Q670">
        <f t="shared" si="70"/>
        <v>1</v>
      </c>
      <c r="R670">
        <f t="shared" si="71"/>
        <v>0</v>
      </c>
      <c r="S670">
        <f>IF(COUNTIFS($B$1:$B$738,B669,$C$1:$C$738,#REF!)&gt;2,1,0)</f>
        <v>0</v>
      </c>
      <c r="T670">
        <f t="shared" si="72"/>
        <v>0</v>
      </c>
      <c r="U670">
        <f t="shared" si="73"/>
        <v>0</v>
      </c>
      <c r="V670">
        <f t="shared" si="74"/>
        <v>0</v>
      </c>
      <c r="W670">
        <f t="shared" si="76"/>
        <v>1</v>
      </c>
      <c r="X670" t="str" cm="1">
        <f t="array" ref="X670">_xlfn.IFS(W670&lt;=1,"Low",W670=2,"Medium",W670&gt;=3,"High")</f>
        <v>Low</v>
      </c>
    </row>
    <row r="671" spans="1:24" x14ac:dyDescent="0.3">
      <c r="A671" t="s">
        <v>1281</v>
      </c>
      <c r="B671" t="s">
        <v>1282</v>
      </c>
      <c r="C671" s="3">
        <v>46099</v>
      </c>
      <c r="D671" s="8" t="s">
        <v>1146</v>
      </c>
      <c r="E671" s="7" t="s">
        <v>368</v>
      </c>
      <c r="F671" s="7" t="s">
        <v>21</v>
      </c>
      <c r="G671" s="7" t="s">
        <v>108</v>
      </c>
      <c r="H671" s="4">
        <v>408.21</v>
      </c>
      <c r="I671" s="7" t="s">
        <v>26</v>
      </c>
      <c r="J671" s="7" t="s">
        <v>17</v>
      </c>
      <c r="L671" t="str">
        <f>PROPER(TRIM(SUBSTITUTE(_xlfn.XLOOKUP(B671,Cardholders_Reference!A:A,Cardholders_Reference!B:B),","," ")))</f>
        <v>Pieter Fourie</v>
      </c>
      <c r="M671" s="5">
        <f>_xlfn.XLOOKUP(B671,Cardholders_Reference!A:A,Cardholders_Reference!G:G)</f>
        <v>100000</v>
      </c>
      <c r="N671" s="7" t="str">
        <f>_xlfn.XLOOKUP(B671,Cardholders_Reference!A:A,Cardholders_Reference!D:D)</f>
        <v>Capitec</v>
      </c>
      <c r="O671" s="7" t="str">
        <f>_xlfn.XLOOKUP(B671,Cardholders_Reference!A:A,Cardholders_Reference!E:E)</f>
        <v>Visa</v>
      </c>
      <c r="P671" s="6">
        <f t="shared" si="75"/>
        <v>4.0821E-3</v>
      </c>
      <c r="Q671">
        <f t="shared" si="70"/>
        <v>0</v>
      </c>
      <c r="R671">
        <f t="shared" si="71"/>
        <v>0</v>
      </c>
      <c r="S671">
        <f>IF(COUNTIFS($B$1:$B$738,B670,$C$1:$C$738,#REF!)&gt;2,1,0)</f>
        <v>0</v>
      </c>
      <c r="T671">
        <f t="shared" si="72"/>
        <v>0</v>
      </c>
      <c r="U671">
        <f t="shared" si="73"/>
        <v>0</v>
      </c>
      <c r="V671">
        <f t="shared" si="74"/>
        <v>1</v>
      </c>
      <c r="W671">
        <f t="shared" si="76"/>
        <v>1</v>
      </c>
      <c r="X671" t="str" cm="1">
        <f t="array" ref="X671">_xlfn.IFS(W671&lt;=1,"Low",W671=2,"Medium",W671&gt;=3,"High")</f>
        <v>Low</v>
      </c>
    </row>
    <row r="672" spans="1:24" x14ac:dyDescent="0.3">
      <c r="A672" t="s">
        <v>1283</v>
      </c>
      <c r="B672" t="s">
        <v>1282</v>
      </c>
      <c r="C672" s="3">
        <v>45936</v>
      </c>
      <c r="D672" s="8" t="s">
        <v>803</v>
      </c>
      <c r="E672" s="7" t="s">
        <v>331</v>
      </c>
      <c r="F672" s="7" t="s">
        <v>40</v>
      </c>
      <c r="G672" s="7" t="s">
        <v>177</v>
      </c>
      <c r="H672" s="4">
        <v>227.28</v>
      </c>
      <c r="I672" s="7" t="s">
        <v>26</v>
      </c>
      <c r="J672" s="7" t="s">
        <v>17</v>
      </c>
      <c r="K672" t="s">
        <v>141</v>
      </c>
      <c r="L672" t="str">
        <f>PROPER(TRIM(SUBSTITUTE(_xlfn.XLOOKUP(B672,Cardholders_Reference!A:A,Cardholders_Reference!B:B),","," ")))</f>
        <v>Pieter Fourie</v>
      </c>
      <c r="M672" s="5">
        <f>_xlfn.XLOOKUP(B672,Cardholders_Reference!A:A,Cardholders_Reference!G:G)</f>
        <v>100000</v>
      </c>
      <c r="N672" s="7" t="str">
        <f>_xlfn.XLOOKUP(B672,Cardholders_Reference!A:A,Cardholders_Reference!D:D)</f>
        <v>Capitec</v>
      </c>
      <c r="O672" s="7" t="str">
        <f>_xlfn.XLOOKUP(B672,Cardholders_Reference!A:A,Cardholders_Reference!E:E)</f>
        <v>Visa</v>
      </c>
      <c r="P672" s="6">
        <f t="shared" si="75"/>
        <v>2.2728000000000002E-3</v>
      </c>
      <c r="Q672">
        <f t="shared" si="70"/>
        <v>1</v>
      </c>
      <c r="R672">
        <f t="shared" si="71"/>
        <v>0</v>
      </c>
      <c r="S672">
        <f>IF(COUNTIFS($B$1:$B$738,B671,$C$1:$C$738,#REF!)&gt;2,1,0)</f>
        <v>0</v>
      </c>
      <c r="T672">
        <f t="shared" si="72"/>
        <v>0</v>
      </c>
      <c r="U672">
        <f t="shared" si="73"/>
        <v>1</v>
      </c>
      <c r="V672">
        <f t="shared" si="74"/>
        <v>1</v>
      </c>
      <c r="W672">
        <f t="shared" si="76"/>
        <v>3</v>
      </c>
      <c r="X672" t="str" cm="1">
        <f t="array" ref="X672">_xlfn.IFS(W672&lt;=1,"Low",W672=2,"Medium",W672&gt;=3,"High")</f>
        <v>High</v>
      </c>
    </row>
    <row r="673" spans="1:24" x14ac:dyDescent="0.3">
      <c r="A673" t="s">
        <v>1284</v>
      </c>
      <c r="B673" t="s">
        <v>1282</v>
      </c>
      <c r="C673" s="3">
        <v>46139</v>
      </c>
      <c r="D673" s="8" t="s">
        <v>385</v>
      </c>
      <c r="E673" s="7" t="s">
        <v>156</v>
      </c>
      <c r="F673" s="7" t="s">
        <v>36</v>
      </c>
      <c r="G673" s="7" t="s">
        <v>177</v>
      </c>
      <c r="H673" s="4">
        <v>573.6</v>
      </c>
      <c r="I673" s="7" t="s">
        <v>26</v>
      </c>
      <c r="J673" s="7" t="s">
        <v>17</v>
      </c>
      <c r="K673" t="s">
        <v>141</v>
      </c>
      <c r="L673" t="str">
        <f>PROPER(TRIM(SUBSTITUTE(_xlfn.XLOOKUP(B673,Cardholders_Reference!A:A,Cardholders_Reference!B:B),","," ")))</f>
        <v>Pieter Fourie</v>
      </c>
      <c r="M673" s="5">
        <f>_xlfn.XLOOKUP(B673,Cardholders_Reference!A:A,Cardholders_Reference!G:G)</f>
        <v>100000</v>
      </c>
      <c r="N673" s="7" t="str">
        <f>_xlfn.XLOOKUP(B673,Cardholders_Reference!A:A,Cardholders_Reference!D:D)</f>
        <v>Capitec</v>
      </c>
      <c r="O673" s="7" t="str">
        <f>_xlfn.XLOOKUP(B673,Cardholders_Reference!A:A,Cardholders_Reference!E:E)</f>
        <v>Visa</v>
      </c>
      <c r="P673" s="6">
        <f t="shared" si="75"/>
        <v>5.7360000000000006E-3</v>
      </c>
      <c r="Q673">
        <f t="shared" si="70"/>
        <v>0</v>
      </c>
      <c r="R673">
        <f t="shared" si="71"/>
        <v>0</v>
      </c>
      <c r="S673">
        <f>IF(COUNTIFS($B$1:$B$738,B672,$C$1:$C$738,#REF!)&gt;2,1,0)</f>
        <v>0</v>
      </c>
      <c r="T673">
        <f t="shared" si="72"/>
        <v>0</v>
      </c>
      <c r="U673">
        <f t="shared" si="73"/>
        <v>0</v>
      </c>
      <c r="V673">
        <f t="shared" si="74"/>
        <v>1</v>
      </c>
      <c r="W673">
        <f t="shared" si="76"/>
        <v>1</v>
      </c>
      <c r="X673" t="str" cm="1">
        <f t="array" ref="X673">_xlfn.IFS(W673&lt;=1,"Low",W673=2,"Medium",W673&gt;=3,"High")</f>
        <v>Low</v>
      </c>
    </row>
    <row r="674" spans="1:24" x14ac:dyDescent="0.3">
      <c r="A674" t="s">
        <v>1285</v>
      </c>
      <c r="B674" t="s">
        <v>1282</v>
      </c>
      <c r="C674" s="3">
        <v>45770</v>
      </c>
      <c r="D674" s="8" t="s">
        <v>1286</v>
      </c>
      <c r="E674" s="7" t="s">
        <v>340</v>
      </c>
      <c r="F674" s="7" t="s">
        <v>65</v>
      </c>
      <c r="G674" s="7" t="s">
        <v>177</v>
      </c>
      <c r="H674" s="4">
        <v>613.04</v>
      </c>
      <c r="I674" s="7" t="s">
        <v>26</v>
      </c>
      <c r="J674" s="7" t="s">
        <v>41</v>
      </c>
      <c r="L674" t="str">
        <f>PROPER(TRIM(SUBSTITUTE(_xlfn.XLOOKUP(B674,Cardholders_Reference!A:A,Cardholders_Reference!B:B),","," ")))</f>
        <v>Pieter Fourie</v>
      </c>
      <c r="M674" s="5">
        <f>_xlfn.XLOOKUP(B674,Cardholders_Reference!A:A,Cardholders_Reference!G:G)</f>
        <v>100000</v>
      </c>
      <c r="N674" s="7" t="str">
        <f>_xlfn.XLOOKUP(B674,Cardholders_Reference!A:A,Cardholders_Reference!D:D)</f>
        <v>Capitec</v>
      </c>
      <c r="O674" s="7" t="str">
        <f>_xlfn.XLOOKUP(B674,Cardholders_Reference!A:A,Cardholders_Reference!E:E)</f>
        <v>Visa</v>
      </c>
      <c r="P674" s="6">
        <f t="shared" si="75"/>
        <v>6.1303999999999994E-3</v>
      </c>
      <c r="Q674">
        <f t="shared" si="70"/>
        <v>0</v>
      </c>
      <c r="R674">
        <f t="shared" si="71"/>
        <v>0</v>
      </c>
      <c r="S674">
        <f>IF(COUNTIFS($B$1:$B$738,B673,$C$1:$C$738,#REF!)&gt;2,1,0)</f>
        <v>0</v>
      </c>
      <c r="T674">
        <f t="shared" si="72"/>
        <v>0</v>
      </c>
      <c r="U674">
        <f t="shared" si="73"/>
        <v>0</v>
      </c>
      <c r="V674">
        <f t="shared" si="74"/>
        <v>1</v>
      </c>
      <c r="W674">
        <f t="shared" si="76"/>
        <v>1</v>
      </c>
      <c r="X674" t="str" cm="1">
        <f t="array" ref="X674">_xlfn.IFS(W674&lt;=1,"Low",W674=2,"Medium",W674&gt;=3,"High")</f>
        <v>Low</v>
      </c>
    </row>
    <row r="675" spans="1:24" x14ac:dyDescent="0.3">
      <c r="A675" t="s">
        <v>1287</v>
      </c>
      <c r="B675" t="s">
        <v>1282</v>
      </c>
      <c r="C675" s="3">
        <v>46155</v>
      </c>
      <c r="D675" s="8" t="s">
        <v>1288</v>
      </c>
      <c r="E675" s="7" t="s">
        <v>340</v>
      </c>
      <c r="F675" s="7" t="s">
        <v>65</v>
      </c>
      <c r="G675" s="7" t="s">
        <v>177</v>
      </c>
      <c r="H675" s="4">
        <v>4568.74</v>
      </c>
      <c r="I675" s="7" t="s">
        <v>16</v>
      </c>
      <c r="J675" s="7" t="s">
        <v>17</v>
      </c>
      <c r="L675" t="str">
        <f>PROPER(TRIM(SUBSTITUTE(_xlfn.XLOOKUP(B675,Cardholders_Reference!A:A,Cardholders_Reference!B:B),","," ")))</f>
        <v>Pieter Fourie</v>
      </c>
      <c r="M675" s="5">
        <f>_xlfn.XLOOKUP(B675,Cardholders_Reference!A:A,Cardholders_Reference!G:G)</f>
        <v>100000</v>
      </c>
      <c r="N675" s="7" t="str">
        <f>_xlfn.XLOOKUP(B675,Cardholders_Reference!A:A,Cardholders_Reference!D:D)</f>
        <v>Capitec</v>
      </c>
      <c r="O675" s="7" t="str">
        <f>_xlfn.XLOOKUP(B675,Cardholders_Reference!A:A,Cardholders_Reference!E:E)</f>
        <v>Visa</v>
      </c>
      <c r="P675" s="6">
        <f t="shared" si="75"/>
        <v>4.5687399999999996E-2</v>
      </c>
      <c r="Q675">
        <f t="shared" si="70"/>
        <v>0</v>
      </c>
      <c r="R675">
        <f t="shared" si="71"/>
        <v>0</v>
      </c>
      <c r="S675">
        <f>IF(COUNTIFS($B$1:$B$738,B674,$C$1:$C$738,#REF!)&gt;2,1,0)</f>
        <v>0</v>
      </c>
      <c r="T675">
        <f t="shared" si="72"/>
        <v>0</v>
      </c>
      <c r="U675">
        <f t="shared" si="73"/>
        <v>1</v>
      </c>
      <c r="V675">
        <f t="shared" si="74"/>
        <v>0</v>
      </c>
      <c r="W675">
        <f t="shared" si="76"/>
        <v>1</v>
      </c>
      <c r="X675" t="str" cm="1">
        <f t="array" ref="X675">_xlfn.IFS(W675&lt;=1,"Low",W675=2,"Medium",W675&gt;=3,"High")</f>
        <v>Low</v>
      </c>
    </row>
    <row r="676" spans="1:24" x14ac:dyDescent="0.3">
      <c r="A676" t="s">
        <v>1289</v>
      </c>
      <c r="B676" t="s">
        <v>1282</v>
      </c>
      <c r="C676" s="3">
        <v>46175</v>
      </c>
      <c r="D676" s="8" t="s">
        <v>1290</v>
      </c>
      <c r="E676" s="7" t="s">
        <v>331</v>
      </c>
      <c r="F676" s="7" t="s">
        <v>40</v>
      </c>
      <c r="G676" s="7" t="s">
        <v>177</v>
      </c>
      <c r="H676" s="4">
        <v>250.61</v>
      </c>
      <c r="I676" s="7" t="s">
        <v>95</v>
      </c>
      <c r="J676" s="7" t="s">
        <v>17</v>
      </c>
      <c r="L676" t="str">
        <f>PROPER(TRIM(SUBSTITUTE(_xlfn.XLOOKUP(B676,Cardholders_Reference!A:A,Cardholders_Reference!B:B),","," ")))</f>
        <v>Pieter Fourie</v>
      </c>
      <c r="M676" s="5">
        <f>_xlfn.XLOOKUP(B676,Cardholders_Reference!A:A,Cardholders_Reference!G:G)</f>
        <v>100000</v>
      </c>
      <c r="N676" s="7" t="str">
        <f>_xlfn.XLOOKUP(B676,Cardholders_Reference!A:A,Cardholders_Reference!D:D)</f>
        <v>Capitec</v>
      </c>
      <c r="O676" s="7" t="str">
        <f>_xlfn.XLOOKUP(B676,Cardholders_Reference!A:A,Cardholders_Reference!E:E)</f>
        <v>Visa</v>
      </c>
      <c r="P676" s="6">
        <f t="shared" si="75"/>
        <v>2.5061000000000003E-3</v>
      </c>
      <c r="Q676">
        <f t="shared" si="70"/>
        <v>0</v>
      </c>
      <c r="R676">
        <f t="shared" si="71"/>
        <v>0</v>
      </c>
      <c r="S676">
        <f>IF(COUNTIFS($B$1:$B$738,B675,$C$1:$C$738,#REF!)&gt;2,1,0)</f>
        <v>0</v>
      </c>
      <c r="T676">
        <f t="shared" si="72"/>
        <v>0</v>
      </c>
      <c r="U676">
        <f t="shared" si="73"/>
        <v>1</v>
      </c>
      <c r="V676">
        <f t="shared" si="74"/>
        <v>1</v>
      </c>
      <c r="W676">
        <f t="shared" si="76"/>
        <v>2</v>
      </c>
      <c r="X676" t="str" cm="1">
        <f t="array" ref="X676">_xlfn.IFS(W676&lt;=1,"Low",W676=2,"Medium",W676&gt;=3,"High")</f>
        <v>Medium</v>
      </c>
    </row>
    <row r="677" spans="1:24" x14ac:dyDescent="0.3">
      <c r="A677" t="s">
        <v>1291</v>
      </c>
      <c r="B677" t="s">
        <v>1282</v>
      </c>
      <c r="C677" s="3">
        <v>45783</v>
      </c>
      <c r="D677" s="8" t="s">
        <v>1292</v>
      </c>
      <c r="E677" s="7" t="s">
        <v>308</v>
      </c>
      <c r="F677" s="7" t="s">
        <v>91</v>
      </c>
      <c r="G677" s="7" t="s">
        <v>177</v>
      </c>
      <c r="H677" s="4">
        <v>1550.38</v>
      </c>
      <c r="I677" s="7" t="s">
        <v>26</v>
      </c>
      <c r="J677" s="7" t="s">
        <v>17</v>
      </c>
      <c r="L677" t="str">
        <f>PROPER(TRIM(SUBSTITUTE(_xlfn.XLOOKUP(B677,Cardholders_Reference!A:A,Cardholders_Reference!B:B),","," ")))</f>
        <v>Pieter Fourie</v>
      </c>
      <c r="M677" s="5">
        <f>_xlfn.XLOOKUP(B677,Cardholders_Reference!A:A,Cardholders_Reference!G:G)</f>
        <v>100000</v>
      </c>
      <c r="N677" s="7" t="str">
        <f>_xlfn.XLOOKUP(B677,Cardholders_Reference!A:A,Cardholders_Reference!D:D)</f>
        <v>Capitec</v>
      </c>
      <c r="O677" s="7" t="str">
        <f>_xlfn.XLOOKUP(B677,Cardholders_Reference!A:A,Cardholders_Reference!E:E)</f>
        <v>Visa</v>
      </c>
      <c r="P677" s="6">
        <f t="shared" si="75"/>
        <v>1.5503800000000002E-2</v>
      </c>
      <c r="Q677">
        <f t="shared" si="70"/>
        <v>0</v>
      </c>
      <c r="R677">
        <f t="shared" si="71"/>
        <v>0</v>
      </c>
      <c r="S677">
        <f>IF(COUNTIFS($B$1:$B$738,B676,$C$1:$C$738,#REF!)&gt;2,1,0)</f>
        <v>0</v>
      </c>
      <c r="T677">
        <f t="shared" si="72"/>
        <v>0</v>
      </c>
      <c r="U677">
        <f t="shared" si="73"/>
        <v>0</v>
      </c>
      <c r="V677">
        <f t="shared" si="74"/>
        <v>1</v>
      </c>
      <c r="W677">
        <f t="shared" si="76"/>
        <v>1</v>
      </c>
      <c r="X677" t="str" cm="1">
        <f t="array" ref="X677">_xlfn.IFS(W677&lt;=1,"Low",W677=2,"Medium",W677&gt;=3,"High")</f>
        <v>Low</v>
      </c>
    </row>
    <row r="678" spans="1:24" x14ac:dyDescent="0.3">
      <c r="A678" t="s">
        <v>1293</v>
      </c>
      <c r="B678" t="s">
        <v>1282</v>
      </c>
      <c r="C678" s="3">
        <v>45767</v>
      </c>
      <c r="D678" s="8" t="s">
        <v>1294</v>
      </c>
      <c r="E678" s="7" t="s">
        <v>35</v>
      </c>
      <c r="F678" s="7" t="s">
        <v>36</v>
      </c>
      <c r="G678" s="7" t="s">
        <v>177</v>
      </c>
      <c r="H678" s="4">
        <v>518.63</v>
      </c>
      <c r="I678" s="7" t="s">
        <v>32</v>
      </c>
      <c r="J678" s="7" t="s">
        <v>17</v>
      </c>
      <c r="L678" t="str">
        <f>PROPER(TRIM(SUBSTITUTE(_xlfn.XLOOKUP(B678,Cardholders_Reference!A:A,Cardholders_Reference!B:B),","," ")))</f>
        <v>Pieter Fourie</v>
      </c>
      <c r="M678" s="5">
        <f>_xlfn.XLOOKUP(B678,Cardholders_Reference!A:A,Cardholders_Reference!G:G)</f>
        <v>100000</v>
      </c>
      <c r="N678" s="7" t="str">
        <f>_xlfn.XLOOKUP(B678,Cardholders_Reference!A:A,Cardholders_Reference!D:D)</f>
        <v>Capitec</v>
      </c>
      <c r="O678" s="7" t="str">
        <f>_xlfn.XLOOKUP(B678,Cardholders_Reference!A:A,Cardholders_Reference!E:E)</f>
        <v>Visa</v>
      </c>
      <c r="P678" s="6">
        <f t="shared" si="75"/>
        <v>5.1862999999999996E-3</v>
      </c>
      <c r="Q678">
        <f t="shared" si="70"/>
        <v>0</v>
      </c>
      <c r="R678">
        <f t="shared" si="71"/>
        <v>0</v>
      </c>
      <c r="S678">
        <f>IF(COUNTIFS($B$1:$B$738,B677,$C$1:$C$738,#REF!)&gt;2,1,0)</f>
        <v>0</v>
      </c>
      <c r="T678">
        <f t="shared" si="72"/>
        <v>0</v>
      </c>
      <c r="U678">
        <f t="shared" si="73"/>
        <v>0</v>
      </c>
      <c r="V678">
        <f t="shared" si="74"/>
        <v>0</v>
      </c>
      <c r="W678">
        <f t="shared" si="76"/>
        <v>0</v>
      </c>
      <c r="X678" t="str" cm="1">
        <f t="array" ref="X678">_xlfn.IFS(W678&lt;=1,"Low",W678=2,"Medium",W678&gt;=3,"High")</f>
        <v>Low</v>
      </c>
    </row>
    <row r="679" spans="1:24" x14ac:dyDescent="0.3">
      <c r="A679" t="s">
        <v>1295</v>
      </c>
      <c r="B679" t="s">
        <v>1282</v>
      </c>
      <c r="C679" s="3">
        <v>45691</v>
      </c>
      <c r="D679" s="8" t="s">
        <v>1111</v>
      </c>
      <c r="E679" s="7" t="s">
        <v>31</v>
      </c>
      <c r="F679" s="7" t="s">
        <v>25</v>
      </c>
      <c r="G679" s="7" t="s">
        <v>177</v>
      </c>
      <c r="H679" s="4">
        <v>1139.68</v>
      </c>
      <c r="I679" s="7" t="s">
        <v>95</v>
      </c>
      <c r="J679" s="7" t="s">
        <v>41</v>
      </c>
      <c r="L679" t="str">
        <f>PROPER(TRIM(SUBSTITUTE(_xlfn.XLOOKUP(B679,Cardholders_Reference!A:A,Cardholders_Reference!B:B),","," ")))</f>
        <v>Pieter Fourie</v>
      </c>
      <c r="M679" s="5">
        <f>_xlfn.XLOOKUP(B679,Cardholders_Reference!A:A,Cardholders_Reference!G:G)</f>
        <v>100000</v>
      </c>
      <c r="N679" s="7" t="str">
        <f>_xlfn.XLOOKUP(B679,Cardholders_Reference!A:A,Cardholders_Reference!D:D)</f>
        <v>Capitec</v>
      </c>
      <c r="O679" s="7" t="str">
        <f>_xlfn.XLOOKUP(B679,Cardholders_Reference!A:A,Cardholders_Reference!E:E)</f>
        <v>Visa</v>
      </c>
      <c r="P679" s="6">
        <f t="shared" si="75"/>
        <v>1.13968E-2</v>
      </c>
      <c r="Q679">
        <f t="shared" si="70"/>
        <v>0</v>
      </c>
      <c r="R679">
        <f t="shared" si="71"/>
        <v>0</v>
      </c>
      <c r="S679">
        <f>IF(COUNTIFS($B$1:$B$738,B678,$C$1:$C$738,#REF!)&gt;2,1,0)</f>
        <v>0</v>
      </c>
      <c r="T679">
        <f t="shared" si="72"/>
        <v>0</v>
      </c>
      <c r="U679">
        <f t="shared" si="73"/>
        <v>0</v>
      </c>
      <c r="V679">
        <f t="shared" si="74"/>
        <v>1</v>
      </c>
      <c r="W679">
        <f t="shared" si="76"/>
        <v>1</v>
      </c>
      <c r="X679" t="str" cm="1">
        <f t="array" ref="X679">_xlfn.IFS(W679&lt;=1,"Low",W679=2,"Medium",W679&gt;=3,"High")</f>
        <v>Low</v>
      </c>
    </row>
    <row r="680" spans="1:24" x14ac:dyDescent="0.3">
      <c r="A680" t="s">
        <v>1296</v>
      </c>
      <c r="B680" t="s">
        <v>1282</v>
      </c>
      <c r="C680" s="3">
        <v>45779</v>
      </c>
      <c r="D680" s="8" t="s">
        <v>167</v>
      </c>
      <c r="E680" s="7" t="s">
        <v>80</v>
      </c>
      <c r="F680" s="7" t="s">
        <v>81</v>
      </c>
      <c r="G680" s="7" t="s">
        <v>118</v>
      </c>
      <c r="H680" s="4">
        <v>9240.84</v>
      </c>
      <c r="I680" s="7" t="s">
        <v>16</v>
      </c>
      <c r="J680" s="7" t="s">
        <v>17</v>
      </c>
      <c r="L680" t="str">
        <f>PROPER(TRIM(SUBSTITUTE(_xlfn.XLOOKUP(B680,Cardholders_Reference!A:A,Cardholders_Reference!B:B),","," ")))</f>
        <v>Pieter Fourie</v>
      </c>
      <c r="M680" s="5">
        <f>_xlfn.XLOOKUP(B680,Cardholders_Reference!A:A,Cardholders_Reference!G:G)</f>
        <v>100000</v>
      </c>
      <c r="N680" s="7" t="str">
        <f>_xlfn.XLOOKUP(B680,Cardholders_Reference!A:A,Cardholders_Reference!D:D)</f>
        <v>Capitec</v>
      </c>
      <c r="O680" s="7" t="str">
        <f>_xlfn.XLOOKUP(B680,Cardholders_Reference!A:A,Cardholders_Reference!E:E)</f>
        <v>Visa</v>
      </c>
      <c r="P680" s="6">
        <f t="shared" si="75"/>
        <v>9.2408400000000002E-2</v>
      </c>
      <c r="Q680">
        <f t="shared" si="70"/>
        <v>0</v>
      </c>
      <c r="R680">
        <f t="shared" si="71"/>
        <v>0</v>
      </c>
      <c r="S680">
        <f>IF(COUNTIFS($B$1:$B$738,B679,$C$1:$C$738,#REF!)&gt;2,1,0)</f>
        <v>0</v>
      </c>
      <c r="T680">
        <f t="shared" si="72"/>
        <v>0</v>
      </c>
      <c r="U680">
        <f t="shared" si="73"/>
        <v>0</v>
      </c>
      <c r="V680">
        <f t="shared" si="74"/>
        <v>0</v>
      </c>
      <c r="W680">
        <f t="shared" si="76"/>
        <v>0</v>
      </c>
      <c r="X680" t="str" cm="1">
        <f t="array" ref="X680">_xlfn.IFS(W680&lt;=1,"Low",W680=2,"Medium",W680&gt;=3,"High")</f>
        <v>Low</v>
      </c>
    </row>
    <row r="681" spans="1:24" x14ac:dyDescent="0.3">
      <c r="A681" t="s">
        <v>1297</v>
      </c>
      <c r="B681" t="s">
        <v>1282</v>
      </c>
      <c r="C681" s="3">
        <v>45758</v>
      </c>
      <c r="D681" s="8" t="s">
        <v>1108</v>
      </c>
      <c r="E681" s="7" t="s">
        <v>77</v>
      </c>
      <c r="F681" s="7" t="s">
        <v>15</v>
      </c>
      <c r="G681" s="7" t="s">
        <v>177</v>
      </c>
      <c r="H681" s="4">
        <v>3243.18</v>
      </c>
      <c r="I681" s="7" t="s">
        <v>16</v>
      </c>
      <c r="J681" s="7" t="s">
        <v>17</v>
      </c>
      <c r="L681" t="str">
        <f>PROPER(TRIM(SUBSTITUTE(_xlfn.XLOOKUP(B681,Cardholders_Reference!A:A,Cardholders_Reference!B:B),","," ")))</f>
        <v>Pieter Fourie</v>
      </c>
      <c r="M681" s="5">
        <f>_xlfn.XLOOKUP(B681,Cardholders_Reference!A:A,Cardholders_Reference!G:G)</f>
        <v>100000</v>
      </c>
      <c r="N681" s="7" t="str">
        <f>_xlfn.XLOOKUP(B681,Cardholders_Reference!A:A,Cardholders_Reference!D:D)</f>
        <v>Capitec</v>
      </c>
      <c r="O681" s="7" t="str">
        <f>_xlfn.XLOOKUP(B681,Cardholders_Reference!A:A,Cardholders_Reference!E:E)</f>
        <v>Visa</v>
      </c>
      <c r="P681" s="6">
        <f t="shared" si="75"/>
        <v>3.2431799999999997E-2</v>
      </c>
      <c r="Q681">
        <f t="shared" si="70"/>
        <v>1</v>
      </c>
      <c r="R681">
        <f t="shared" si="71"/>
        <v>0</v>
      </c>
      <c r="S681">
        <f>IF(COUNTIFS($B$1:$B$738,B680,$C$1:$C$738,#REF!)&gt;2,1,0)</f>
        <v>0</v>
      </c>
      <c r="T681">
        <f t="shared" si="72"/>
        <v>0</v>
      </c>
      <c r="U681">
        <f t="shared" si="73"/>
        <v>0</v>
      </c>
      <c r="V681">
        <f t="shared" si="74"/>
        <v>0</v>
      </c>
      <c r="W681">
        <f t="shared" si="76"/>
        <v>1</v>
      </c>
      <c r="X681" t="str" cm="1">
        <f t="array" ref="X681">_xlfn.IFS(W681&lt;=1,"Low",W681=2,"Medium",W681&gt;=3,"High")</f>
        <v>Low</v>
      </c>
    </row>
    <row r="682" spans="1:24" x14ac:dyDescent="0.3">
      <c r="A682" t="s">
        <v>1298</v>
      </c>
      <c r="B682" t="s">
        <v>1282</v>
      </c>
      <c r="C682" s="3">
        <v>45892</v>
      </c>
      <c r="D682" s="8" t="s">
        <v>1299</v>
      </c>
      <c r="E682" s="7" t="s">
        <v>220</v>
      </c>
      <c r="F682" s="7" t="s">
        <v>91</v>
      </c>
      <c r="G682" s="7" t="s">
        <v>192</v>
      </c>
      <c r="H682" s="4">
        <v>2476.1</v>
      </c>
      <c r="I682" s="7" t="s">
        <v>95</v>
      </c>
      <c r="J682" s="7" t="s">
        <v>41</v>
      </c>
      <c r="L682" t="str">
        <f>PROPER(TRIM(SUBSTITUTE(_xlfn.XLOOKUP(B682,Cardholders_Reference!A:A,Cardholders_Reference!B:B),","," ")))</f>
        <v>Pieter Fourie</v>
      </c>
      <c r="M682" s="5">
        <f>_xlfn.XLOOKUP(B682,Cardholders_Reference!A:A,Cardholders_Reference!G:G)</f>
        <v>100000</v>
      </c>
      <c r="N682" s="7" t="str">
        <f>_xlfn.XLOOKUP(B682,Cardholders_Reference!A:A,Cardholders_Reference!D:D)</f>
        <v>Capitec</v>
      </c>
      <c r="O682" s="7" t="str">
        <f>_xlfn.XLOOKUP(B682,Cardholders_Reference!A:A,Cardholders_Reference!E:E)</f>
        <v>Visa</v>
      </c>
      <c r="P682" s="6">
        <f t="shared" si="75"/>
        <v>2.4760999999999998E-2</v>
      </c>
      <c r="Q682">
        <f t="shared" si="70"/>
        <v>0</v>
      </c>
      <c r="R682">
        <f t="shared" si="71"/>
        <v>0</v>
      </c>
      <c r="S682">
        <f>IF(COUNTIFS($B$1:$B$738,B681,$C$1:$C$738,#REF!)&gt;2,1,0)</f>
        <v>0</v>
      </c>
      <c r="T682">
        <f t="shared" si="72"/>
        <v>0</v>
      </c>
      <c r="U682">
        <f t="shared" si="73"/>
        <v>0</v>
      </c>
      <c r="V682">
        <f t="shared" si="74"/>
        <v>1</v>
      </c>
      <c r="W682">
        <f t="shared" si="76"/>
        <v>1</v>
      </c>
      <c r="X682" t="str" cm="1">
        <f t="array" ref="X682">_xlfn.IFS(W682&lt;=1,"Low",W682=2,"Medium",W682&gt;=3,"High")</f>
        <v>Low</v>
      </c>
    </row>
    <row r="683" spans="1:24" x14ac:dyDescent="0.3">
      <c r="A683" t="s">
        <v>1300</v>
      </c>
      <c r="B683" t="s">
        <v>1282</v>
      </c>
      <c r="C683" s="3">
        <v>45997</v>
      </c>
      <c r="D683" s="8" t="s">
        <v>1050</v>
      </c>
      <c r="E683" s="7" t="s">
        <v>39</v>
      </c>
      <c r="F683" s="7" t="s">
        <v>40</v>
      </c>
      <c r="G683" s="7" t="s">
        <v>177</v>
      </c>
      <c r="H683" s="4">
        <v>106.99</v>
      </c>
      <c r="I683" s="7" t="s">
        <v>16</v>
      </c>
      <c r="J683" s="7" t="s">
        <v>17</v>
      </c>
      <c r="K683" t="s">
        <v>762</v>
      </c>
      <c r="L683" t="str">
        <f>PROPER(TRIM(SUBSTITUTE(_xlfn.XLOOKUP(B683,Cardholders_Reference!A:A,Cardholders_Reference!B:B),","," ")))</f>
        <v>Pieter Fourie</v>
      </c>
      <c r="M683" s="5">
        <f>_xlfn.XLOOKUP(B683,Cardholders_Reference!A:A,Cardholders_Reference!G:G)</f>
        <v>100000</v>
      </c>
      <c r="N683" s="7" t="str">
        <f>_xlfn.XLOOKUP(B683,Cardholders_Reference!A:A,Cardholders_Reference!D:D)</f>
        <v>Capitec</v>
      </c>
      <c r="O683" s="7" t="str">
        <f>_xlfn.XLOOKUP(B683,Cardholders_Reference!A:A,Cardholders_Reference!E:E)</f>
        <v>Visa</v>
      </c>
      <c r="P683" s="6">
        <f t="shared" si="75"/>
        <v>1.0698999999999999E-3</v>
      </c>
      <c r="Q683">
        <f t="shared" si="70"/>
        <v>1</v>
      </c>
      <c r="R683">
        <f t="shared" si="71"/>
        <v>0</v>
      </c>
      <c r="S683">
        <f>IF(COUNTIFS($B$1:$B$738,B682,$C$1:$C$738,#REF!)&gt;2,1,0)</f>
        <v>0</v>
      </c>
      <c r="T683">
        <f t="shared" si="72"/>
        <v>0</v>
      </c>
      <c r="U683">
        <f t="shared" si="73"/>
        <v>0</v>
      </c>
      <c r="V683">
        <f t="shared" si="74"/>
        <v>0</v>
      </c>
      <c r="W683">
        <f t="shared" si="76"/>
        <v>1</v>
      </c>
      <c r="X683" t="str" cm="1">
        <f t="array" ref="X683">_xlfn.IFS(W683&lt;=1,"Low",W683=2,"Medium",W683&gt;=3,"High")</f>
        <v>Low</v>
      </c>
    </row>
    <row r="684" spans="1:24" x14ac:dyDescent="0.3">
      <c r="A684" t="s">
        <v>1301</v>
      </c>
      <c r="B684" t="s">
        <v>1302</v>
      </c>
      <c r="C684" s="3">
        <v>45851</v>
      </c>
      <c r="D684" s="8" t="s">
        <v>1303</v>
      </c>
      <c r="E684" s="7" t="s">
        <v>140</v>
      </c>
      <c r="F684" s="7" t="s">
        <v>53</v>
      </c>
      <c r="G684" s="7" t="s">
        <v>49</v>
      </c>
      <c r="H684" s="4">
        <v>219.04</v>
      </c>
      <c r="I684" s="7" t="s">
        <v>32</v>
      </c>
      <c r="J684" s="7" t="s">
        <v>17</v>
      </c>
      <c r="L684" t="str">
        <f>PROPER(TRIM(SUBSTITUTE(_xlfn.XLOOKUP(B684,Cardholders_Reference!A:A,Cardholders_Reference!B:B),","," ")))</f>
        <v>David Sithole</v>
      </c>
      <c r="M684" s="5">
        <f>_xlfn.XLOOKUP(B684,Cardholders_Reference!A:A,Cardholders_Reference!G:G)</f>
        <v>25000</v>
      </c>
      <c r="N684" s="7" t="str">
        <f>_xlfn.XLOOKUP(B684,Cardholders_Reference!A:A,Cardholders_Reference!D:D)</f>
        <v>Standard Bank</v>
      </c>
      <c r="O684" s="7" t="str">
        <f>_xlfn.XLOOKUP(B684,Cardholders_Reference!A:A,Cardholders_Reference!E:E)</f>
        <v>Visa</v>
      </c>
      <c r="P684" s="6">
        <f t="shared" si="75"/>
        <v>8.7615999999999996E-3</v>
      </c>
      <c r="Q684">
        <f t="shared" si="70"/>
        <v>0</v>
      </c>
      <c r="R684">
        <f t="shared" si="71"/>
        <v>0</v>
      </c>
      <c r="S684">
        <f>IF(COUNTIFS($B$1:$B$738,B683,$C$1:$C$738,#REF!)&gt;2,1,0)</f>
        <v>0</v>
      </c>
      <c r="T684">
        <f t="shared" si="72"/>
        <v>0</v>
      </c>
      <c r="U684">
        <f t="shared" si="73"/>
        <v>0</v>
      </c>
      <c r="V684">
        <f t="shared" si="74"/>
        <v>0</v>
      </c>
      <c r="W684">
        <f t="shared" si="76"/>
        <v>0</v>
      </c>
      <c r="X684" t="str" cm="1">
        <f t="array" ref="X684">_xlfn.IFS(W684&lt;=1,"Low",W684=2,"Medium",W684&gt;=3,"High")</f>
        <v>Low</v>
      </c>
    </row>
    <row r="685" spans="1:24" x14ac:dyDescent="0.3">
      <c r="A685" t="s">
        <v>1304</v>
      </c>
      <c r="B685" t="s">
        <v>1302</v>
      </c>
      <c r="C685" s="3">
        <v>45718</v>
      </c>
      <c r="D685" s="8" t="s">
        <v>742</v>
      </c>
      <c r="E685" s="7" t="s">
        <v>14</v>
      </c>
      <c r="F685" s="7" t="s">
        <v>15</v>
      </c>
      <c r="G685" s="7" t="s">
        <v>49</v>
      </c>
      <c r="H685" s="4">
        <v>4038.69</v>
      </c>
      <c r="I685" s="7" t="s">
        <v>26</v>
      </c>
      <c r="J685" s="7" t="s">
        <v>17</v>
      </c>
      <c r="L685" t="str">
        <f>PROPER(TRIM(SUBSTITUTE(_xlfn.XLOOKUP(B685,Cardholders_Reference!A:A,Cardholders_Reference!B:B),","," ")))</f>
        <v>David Sithole</v>
      </c>
      <c r="M685" s="5">
        <f>_xlfn.XLOOKUP(B685,Cardholders_Reference!A:A,Cardholders_Reference!G:G)</f>
        <v>25000</v>
      </c>
      <c r="N685" s="7" t="str">
        <f>_xlfn.XLOOKUP(B685,Cardholders_Reference!A:A,Cardholders_Reference!D:D)</f>
        <v>Standard Bank</v>
      </c>
      <c r="O685" s="7" t="str">
        <f>_xlfn.XLOOKUP(B685,Cardholders_Reference!A:A,Cardholders_Reference!E:E)</f>
        <v>Visa</v>
      </c>
      <c r="P685" s="6">
        <f t="shared" si="75"/>
        <v>0.16154760000000001</v>
      </c>
      <c r="Q685">
        <f t="shared" si="70"/>
        <v>1</v>
      </c>
      <c r="R685">
        <f t="shared" si="71"/>
        <v>0</v>
      </c>
      <c r="S685">
        <f>IF(COUNTIFS($B$1:$B$738,B684,$C$1:$C$738,#REF!)&gt;2,1,0)</f>
        <v>0</v>
      </c>
      <c r="T685">
        <f t="shared" si="72"/>
        <v>0</v>
      </c>
      <c r="U685">
        <f t="shared" si="73"/>
        <v>0</v>
      </c>
      <c r="V685">
        <f t="shared" si="74"/>
        <v>1</v>
      </c>
      <c r="W685">
        <f t="shared" si="76"/>
        <v>2</v>
      </c>
      <c r="X685" t="str" cm="1">
        <f t="array" ref="X685">_xlfn.IFS(W685&lt;=1,"Low",W685=2,"Medium",W685&gt;=3,"High")</f>
        <v>Medium</v>
      </c>
    </row>
    <row r="686" spans="1:24" x14ac:dyDescent="0.3">
      <c r="A686" t="s">
        <v>1305</v>
      </c>
      <c r="B686" t="s">
        <v>1302</v>
      </c>
      <c r="C686" s="3">
        <v>45948</v>
      </c>
      <c r="D686" s="8" t="s">
        <v>522</v>
      </c>
      <c r="E686" s="7" t="s">
        <v>114</v>
      </c>
      <c r="F686" s="7" t="s">
        <v>81</v>
      </c>
      <c r="G686" s="7" t="s">
        <v>145</v>
      </c>
      <c r="H686" s="4">
        <v>3971.38</v>
      </c>
      <c r="I686" s="7" t="s">
        <v>26</v>
      </c>
      <c r="J686" s="7" t="s">
        <v>17</v>
      </c>
      <c r="L686" t="str">
        <f>PROPER(TRIM(SUBSTITUTE(_xlfn.XLOOKUP(B686,Cardholders_Reference!A:A,Cardholders_Reference!B:B),","," ")))</f>
        <v>David Sithole</v>
      </c>
      <c r="M686" s="5">
        <f>_xlfn.XLOOKUP(B686,Cardholders_Reference!A:A,Cardholders_Reference!G:G)</f>
        <v>25000</v>
      </c>
      <c r="N686" s="7" t="str">
        <f>_xlfn.XLOOKUP(B686,Cardholders_Reference!A:A,Cardholders_Reference!D:D)</f>
        <v>Standard Bank</v>
      </c>
      <c r="O686" s="7" t="str">
        <f>_xlfn.XLOOKUP(B686,Cardholders_Reference!A:A,Cardholders_Reference!E:E)</f>
        <v>Visa</v>
      </c>
      <c r="P686" s="6">
        <f t="shared" si="75"/>
        <v>0.1588552</v>
      </c>
      <c r="Q686">
        <f t="shared" si="70"/>
        <v>1</v>
      </c>
      <c r="R686">
        <f t="shared" si="71"/>
        <v>0</v>
      </c>
      <c r="S686">
        <f>IF(COUNTIFS($B$1:$B$738,B685,$C$1:$C$738,#REF!)&gt;2,1,0)</f>
        <v>0</v>
      </c>
      <c r="T686">
        <f t="shared" si="72"/>
        <v>0</v>
      </c>
      <c r="U686">
        <f t="shared" si="73"/>
        <v>0</v>
      </c>
      <c r="V686">
        <f t="shared" si="74"/>
        <v>1</v>
      </c>
      <c r="W686">
        <f t="shared" si="76"/>
        <v>2</v>
      </c>
      <c r="X686" t="str" cm="1">
        <f t="array" ref="X686">_xlfn.IFS(W686&lt;=1,"Low",W686=2,"Medium",W686&gt;=3,"High")</f>
        <v>Medium</v>
      </c>
    </row>
    <row r="687" spans="1:24" x14ac:dyDescent="0.3">
      <c r="A687" t="s">
        <v>1306</v>
      </c>
      <c r="B687" t="s">
        <v>1302</v>
      </c>
      <c r="C687" s="3">
        <v>46092</v>
      </c>
      <c r="D687" s="8" t="s">
        <v>258</v>
      </c>
      <c r="E687" s="7" t="s">
        <v>377</v>
      </c>
      <c r="F687" s="7" t="s">
        <v>74</v>
      </c>
      <c r="G687" s="7" t="s">
        <v>145</v>
      </c>
      <c r="H687" s="4">
        <v>51.31</v>
      </c>
      <c r="I687" s="7" t="s">
        <v>16</v>
      </c>
      <c r="J687" s="7" t="s">
        <v>17</v>
      </c>
      <c r="L687" t="str">
        <f>PROPER(TRIM(SUBSTITUTE(_xlfn.XLOOKUP(B687,Cardholders_Reference!A:A,Cardholders_Reference!B:B),","," ")))</f>
        <v>David Sithole</v>
      </c>
      <c r="M687" s="5">
        <f>_xlfn.XLOOKUP(B687,Cardholders_Reference!A:A,Cardholders_Reference!G:G)</f>
        <v>25000</v>
      </c>
      <c r="N687" s="7" t="str">
        <f>_xlfn.XLOOKUP(B687,Cardholders_Reference!A:A,Cardholders_Reference!D:D)</f>
        <v>Standard Bank</v>
      </c>
      <c r="O687" s="7" t="str">
        <f>_xlfn.XLOOKUP(B687,Cardholders_Reference!A:A,Cardholders_Reference!E:E)</f>
        <v>Visa</v>
      </c>
      <c r="P687" s="6">
        <f t="shared" si="75"/>
        <v>2.0524000000000002E-3</v>
      </c>
      <c r="Q687">
        <f t="shared" si="70"/>
        <v>1</v>
      </c>
      <c r="R687">
        <f t="shared" si="71"/>
        <v>0</v>
      </c>
      <c r="S687">
        <f>IF(COUNTIFS($B$1:$B$738,B686,$C$1:$C$738,#REF!)&gt;2,1,0)</f>
        <v>0</v>
      </c>
      <c r="T687">
        <f t="shared" si="72"/>
        <v>0</v>
      </c>
      <c r="U687">
        <f t="shared" si="73"/>
        <v>0</v>
      </c>
      <c r="V687">
        <f t="shared" si="74"/>
        <v>0</v>
      </c>
      <c r="W687">
        <f t="shared" si="76"/>
        <v>1</v>
      </c>
      <c r="X687" t="str" cm="1">
        <f t="array" ref="X687">_xlfn.IFS(W687&lt;=1,"Low",W687=2,"Medium",W687&gt;=3,"High")</f>
        <v>Low</v>
      </c>
    </row>
    <row r="688" spans="1:24" x14ac:dyDescent="0.3">
      <c r="A688" t="s">
        <v>1307</v>
      </c>
      <c r="B688" t="s">
        <v>1302</v>
      </c>
      <c r="C688" s="3">
        <v>45732</v>
      </c>
      <c r="D688" s="8" t="s">
        <v>1308</v>
      </c>
      <c r="E688" s="7" t="s">
        <v>114</v>
      </c>
      <c r="F688" s="7" t="s">
        <v>81</v>
      </c>
      <c r="G688" s="7" t="s">
        <v>49</v>
      </c>
      <c r="H688" s="4">
        <v>1706.89</v>
      </c>
      <c r="I688" s="7" t="s">
        <v>16</v>
      </c>
      <c r="J688" s="7" t="s">
        <v>17</v>
      </c>
      <c r="L688" t="str">
        <f>PROPER(TRIM(SUBSTITUTE(_xlfn.XLOOKUP(B688,Cardholders_Reference!A:A,Cardholders_Reference!B:B),","," ")))</f>
        <v>David Sithole</v>
      </c>
      <c r="M688" s="5">
        <f>_xlfn.XLOOKUP(B688,Cardholders_Reference!A:A,Cardholders_Reference!G:G)</f>
        <v>25000</v>
      </c>
      <c r="N688" s="7" t="str">
        <f>_xlfn.XLOOKUP(B688,Cardholders_Reference!A:A,Cardholders_Reference!D:D)</f>
        <v>Standard Bank</v>
      </c>
      <c r="O688" s="7" t="str">
        <f>_xlfn.XLOOKUP(B688,Cardholders_Reference!A:A,Cardholders_Reference!E:E)</f>
        <v>Visa</v>
      </c>
      <c r="P688" s="6">
        <f t="shared" si="75"/>
        <v>6.8275600000000006E-2</v>
      </c>
      <c r="Q688">
        <f t="shared" si="70"/>
        <v>1</v>
      </c>
      <c r="R688">
        <f t="shared" si="71"/>
        <v>0</v>
      </c>
      <c r="S688">
        <f>IF(COUNTIFS($B$1:$B$738,B687,$C$1:$C$738,#REF!)&gt;2,1,0)</f>
        <v>0</v>
      </c>
      <c r="T688">
        <f t="shared" si="72"/>
        <v>0</v>
      </c>
      <c r="U688">
        <f t="shared" si="73"/>
        <v>0</v>
      </c>
      <c r="V688">
        <f t="shared" si="74"/>
        <v>0</v>
      </c>
      <c r="W688">
        <f t="shared" si="76"/>
        <v>1</v>
      </c>
      <c r="X688" t="str" cm="1">
        <f t="array" ref="X688">_xlfn.IFS(W688&lt;=1,"Low",W688=2,"Medium",W688&gt;=3,"High")</f>
        <v>Low</v>
      </c>
    </row>
    <row r="689" spans="1:24" x14ac:dyDescent="0.3">
      <c r="A689" t="s">
        <v>1309</v>
      </c>
      <c r="B689" t="s">
        <v>1302</v>
      </c>
      <c r="C689" s="3">
        <v>45994</v>
      </c>
      <c r="D689" s="8" t="s">
        <v>1310</v>
      </c>
      <c r="E689" s="7" t="s">
        <v>140</v>
      </c>
      <c r="F689" s="7" t="s">
        <v>53</v>
      </c>
      <c r="G689" s="7" t="s">
        <v>49</v>
      </c>
      <c r="H689" s="4">
        <v>1052.3900000000001</v>
      </c>
      <c r="I689" s="7" t="s">
        <v>95</v>
      </c>
      <c r="J689" s="7" t="s">
        <v>17</v>
      </c>
      <c r="L689" t="str">
        <f>PROPER(TRIM(SUBSTITUTE(_xlfn.XLOOKUP(B689,Cardholders_Reference!A:A,Cardholders_Reference!B:B),","," ")))</f>
        <v>David Sithole</v>
      </c>
      <c r="M689" s="5">
        <f>_xlfn.XLOOKUP(B689,Cardholders_Reference!A:A,Cardholders_Reference!G:G)</f>
        <v>25000</v>
      </c>
      <c r="N689" s="7" t="str">
        <f>_xlfn.XLOOKUP(B689,Cardholders_Reference!A:A,Cardholders_Reference!D:D)</f>
        <v>Standard Bank</v>
      </c>
      <c r="O689" s="7" t="str">
        <f>_xlfn.XLOOKUP(B689,Cardholders_Reference!A:A,Cardholders_Reference!E:E)</f>
        <v>Visa</v>
      </c>
      <c r="P689" s="6">
        <f t="shared" si="75"/>
        <v>4.2095600000000004E-2</v>
      </c>
      <c r="Q689">
        <f t="shared" si="70"/>
        <v>1</v>
      </c>
      <c r="R689">
        <f t="shared" si="71"/>
        <v>0</v>
      </c>
      <c r="S689">
        <f>IF(COUNTIFS($B$1:$B$738,B688,$C$1:$C$738,#REF!)&gt;2,1,0)</f>
        <v>0</v>
      </c>
      <c r="T689">
        <f t="shared" si="72"/>
        <v>0</v>
      </c>
      <c r="U689">
        <f t="shared" si="73"/>
        <v>0</v>
      </c>
      <c r="V689">
        <f t="shared" si="74"/>
        <v>1</v>
      </c>
      <c r="W689">
        <f t="shared" si="76"/>
        <v>2</v>
      </c>
      <c r="X689" t="str" cm="1">
        <f t="array" ref="X689">_xlfn.IFS(W689&lt;=1,"Low",W689=2,"Medium",W689&gt;=3,"High")</f>
        <v>Medium</v>
      </c>
    </row>
    <row r="690" spans="1:24" x14ac:dyDescent="0.3">
      <c r="A690" t="s">
        <v>1311</v>
      </c>
      <c r="B690" t="s">
        <v>1302</v>
      </c>
      <c r="C690" s="3">
        <v>45760</v>
      </c>
      <c r="D690" s="8" t="s">
        <v>158</v>
      </c>
      <c r="E690" s="7" t="s">
        <v>215</v>
      </c>
      <c r="F690" s="7" t="s">
        <v>15</v>
      </c>
      <c r="G690" s="7" t="s">
        <v>108</v>
      </c>
      <c r="H690" s="4">
        <v>856.81</v>
      </c>
      <c r="I690" s="7" t="s">
        <v>16</v>
      </c>
      <c r="J690" s="7" t="s">
        <v>17</v>
      </c>
      <c r="L690" t="str">
        <f>PROPER(TRIM(SUBSTITUTE(_xlfn.XLOOKUP(B690,Cardholders_Reference!A:A,Cardholders_Reference!B:B),","," ")))</f>
        <v>David Sithole</v>
      </c>
      <c r="M690" s="5">
        <f>_xlfn.XLOOKUP(B690,Cardholders_Reference!A:A,Cardholders_Reference!G:G)</f>
        <v>25000</v>
      </c>
      <c r="N690" s="7" t="str">
        <f>_xlfn.XLOOKUP(B690,Cardholders_Reference!A:A,Cardholders_Reference!D:D)</f>
        <v>Standard Bank</v>
      </c>
      <c r="O690" s="7" t="str">
        <f>_xlfn.XLOOKUP(B690,Cardholders_Reference!A:A,Cardholders_Reference!E:E)</f>
        <v>Visa</v>
      </c>
      <c r="P690" s="6">
        <f t="shared" si="75"/>
        <v>3.4272399999999995E-2</v>
      </c>
      <c r="Q690">
        <f t="shared" si="70"/>
        <v>1</v>
      </c>
      <c r="R690">
        <f t="shared" si="71"/>
        <v>0</v>
      </c>
      <c r="S690">
        <f>IF(COUNTIFS($B$1:$B$738,B689,$C$1:$C$738,#REF!)&gt;2,1,0)</f>
        <v>0</v>
      </c>
      <c r="T690">
        <f t="shared" si="72"/>
        <v>0</v>
      </c>
      <c r="U690">
        <f t="shared" si="73"/>
        <v>0</v>
      </c>
      <c r="V690">
        <f t="shared" si="74"/>
        <v>0</v>
      </c>
      <c r="W690">
        <f t="shared" si="76"/>
        <v>1</v>
      </c>
      <c r="X690" t="str" cm="1">
        <f t="array" ref="X690">_xlfn.IFS(W690&lt;=1,"Low",W690=2,"Medium",W690&gt;=3,"High")</f>
        <v>Low</v>
      </c>
    </row>
    <row r="691" spans="1:24" x14ac:dyDescent="0.3">
      <c r="A691" t="s">
        <v>1312</v>
      </c>
      <c r="B691" t="s">
        <v>1302</v>
      </c>
      <c r="C691" s="3">
        <v>45843</v>
      </c>
      <c r="D691" s="8" t="s">
        <v>556</v>
      </c>
      <c r="E691" s="7" t="s">
        <v>14</v>
      </c>
      <c r="F691" s="7" t="s">
        <v>15</v>
      </c>
      <c r="G691" s="7" t="s">
        <v>177</v>
      </c>
      <c r="H691" s="4">
        <v>638.57000000000005</v>
      </c>
      <c r="I691" s="7" t="s">
        <v>95</v>
      </c>
      <c r="J691" s="7" t="s">
        <v>17</v>
      </c>
      <c r="L691" t="str">
        <f>PROPER(TRIM(SUBSTITUTE(_xlfn.XLOOKUP(B691,Cardholders_Reference!A:A,Cardholders_Reference!B:B),","," ")))</f>
        <v>David Sithole</v>
      </c>
      <c r="M691" s="5">
        <f>_xlfn.XLOOKUP(B691,Cardholders_Reference!A:A,Cardholders_Reference!G:G)</f>
        <v>25000</v>
      </c>
      <c r="N691" s="7" t="str">
        <f>_xlfn.XLOOKUP(B691,Cardholders_Reference!A:A,Cardholders_Reference!D:D)</f>
        <v>Standard Bank</v>
      </c>
      <c r="O691" s="7" t="str">
        <f>_xlfn.XLOOKUP(B691,Cardholders_Reference!A:A,Cardholders_Reference!E:E)</f>
        <v>Visa</v>
      </c>
      <c r="P691" s="6">
        <f t="shared" si="75"/>
        <v>2.5542800000000001E-2</v>
      </c>
      <c r="Q691">
        <f t="shared" si="70"/>
        <v>1</v>
      </c>
      <c r="R691">
        <f t="shared" si="71"/>
        <v>0</v>
      </c>
      <c r="S691">
        <f>IF(COUNTIFS($B$1:$B$738,B690,$C$1:$C$738,#REF!)&gt;2,1,0)</f>
        <v>0</v>
      </c>
      <c r="T691">
        <f t="shared" si="72"/>
        <v>0</v>
      </c>
      <c r="U691">
        <f t="shared" si="73"/>
        <v>0</v>
      </c>
      <c r="V691">
        <f t="shared" si="74"/>
        <v>1</v>
      </c>
      <c r="W691">
        <f t="shared" si="76"/>
        <v>2</v>
      </c>
      <c r="X691" t="str" cm="1">
        <f t="array" ref="X691">_xlfn.IFS(W691&lt;=1,"Low",W691=2,"Medium",W691&gt;=3,"High")</f>
        <v>Medium</v>
      </c>
    </row>
    <row r="692" spans="1:24" x14ac:dyDescent="0.3">
      <c r="A692" t="s">
        <v>1313</v>
      </c>
      <c r="B692" t="s">
        <v>1302</v>
      </c>
      <c r="C692" s="3">
        <v>45816</v>
      </c>
      <c r="D692" s="8" t="s">
        <v>1314</v>
      </c>
      <c r="E692" s="7" t="s">
        <v>140</v>
      </c>
      <c r="F692" s="7" t="s">
        <v>53</v>
      </c>
      <c r="G692" s="7" t="s">
        <v>145</v>
      </c>
      <c r="H692" s="4">
        <v>1497.06</v>
      </c>
      <c r="I692" s="7" t="s">
        <v>26</v>
      </c>
      <c r="J692" s="7" t="s">
        <v>17</v>
      </c>
      <c r="L692" t="str">
        <f>PROPER(TRIM(SUBSTITUTE(_xlfn.XLOOKUP(B692,Cardholders_Reference!A:A,Cardholders_Reference!B:B),","," ")))</f>
        <v>David Sithole</v>
      </c>
      <c r="M692" s="5">
        <f>_xlfn.XLOOKUP(B692,Cardholders_Reference!A:A,Cardholders_Reference!G:G)</f>
        <v>25000</v>
      </c>
      <c r="N692" s="7" t="str">
        <f>_xlfn.XLOOKUP(B692,Cardholders_Reference!A:A,Cardholders_Reference!D:D)</f>
        <v>Standard Bank</v>
      </c>
      <c r="O692" s="7" t="str">
        <f>_xlfn.XLOOKUP(B692,Cardholders_Reference!A:A,Cardholders_Reference!E:E)</f>
        <v>Visa</v>
      </c>
      <c r="P692" s="6">
        <f t="shared" si="75"/>
        <v>5.9882399999999995E-2</v>
      </c>
      <c r="Q692">
        <f t="shared" si="70"/>
        <v>1</v>
      </c>
      <c r="R692">
        <f t="shared" si="71"/>
        <v>0</v>
      </c>
      <c r="S692">
        <f>IF(COUNTIFS($B$1:$B$738,B691,$C$1:$C$738,#REF!)&gt;2,1,0)</f>
        <v>0</v>
      </c>
      <c r="T692">
        <f t="shared" si="72"/>
        <v>0</v>
      </c>
      <c r="U692">
        <f t="shared" si="73"/>
        <v>0</v>
      </c>
      <c r="V692">
        <f t="shared" si="74"/>
        <v>1</v>
      </c>
      <c r="W692">
        <f t="shared" si="76"/>
        <v>2</v>
      </c>
      <c r="X692" t="str" cm="1">
        <f t="array" ref="X692">_xlfn.IFS(W692&lt;=1,"Low",W692=2,"Medium",W692&gt;=3,"High")</f>
        <v>Medium</v>
      </c>
    </row>
    <row r="693" spans="1:24" x14ac:dyDescent="0.3">
      <c r="A693" t="s">
        <v>1315</v>
      </c>
      <c r="B693" t="s">
        <v>1302</v>
      </c>
      <c r="C693" s="3">
        <v>45949</v>
      </c>
      <c r="D693" s="8" t="s">
        <v>750</v>
      </c>
      <c r="E693" s="7" t="s">
        <v>548</v>
      </c>
      <c r="F693" s="7" t="s">
        <v>40</v>
      </c>
      <c r="G693" s="7" t="s">
        <v>22</v>
      </c>
      <c r="H693" s="4">
        <v>297.58</v>
      </c>
      <c r="I693" s="7" t="s">
        <v>32</v>
      </c>
      <c r="J693" s="7" t="s">
        <v>17</v>
      </c>
      <c r="L693" t="str">
        <f>PROPER(TRIM(SUBSTITUTE(_xlfn.XLOOKUP(B693,Cardholders_Reference!A:A,Cardholders_Reference!B:B),","," ")))</f>
        <v>David Sithole</v>
      </c>
      <c r="M693" s="5">
        <f>_xlfn.XLOOKUP(B693,Cardholders_Reference!A:A,Cardholders_Reference!G:G)</f>
        <v>25000</v>
      </c>
      <c r="N693" s="7" t="str">
        <f>_xlfn.XLOOKUP(B693,Cardholders_Reference!A:A,Cardholders_Reference!D:D)</f>
        <v>Standard Bank</v>
      </c>
      <c r="O693" s="7" t="str">
        <f>_xlfn.XLOOKUP(B693,Cardholders_Reference!A:A,Cardholders_Reference!E:E)</f>
        <v>Visa</v>
      </c>
      <c r="P693" s="6">
        <f t="shared" si="75"/>
        <v>1.1903199999999999E-2</v>
      </c>
      <c r="Q693">
        <f t="shared" si="70"/>
        <v>1</v>
      </c>
      <c r="R693">
        <f t="shared" si="71"/>
        <v>0</v>
      </c>
      <c r="S693">
        <f>IF(COUNTIFS($B$1:$B$738,B692,$C$1:$C$738,#REF!)&gt;2,1,0)</f>
        <v>0</v>
      </c>
      <c r="T693">
        <f t="shared" si="72"/>
        <v>0</v>
      </c>
      <c r="U693">
        <f t="shared" si="73"/>
        <v>0</v>
      </c>
      <c r="V693">
        <f t="shared" si="74"/>
        <v>0</v>
      </c>
      <c r="W693">
        <f t="shared" si="76"/>
        <v>1</v>
      </c>
      <c r="X693" t="str" cm="1">
        <f t="array" ref="X693">_xlfn.IFS(W693&lt;=1,"Low",W693=2,"Medium",W693&gt;=3,"High")</f>
        <v>Low</v>
      </c>
    </row>
    <row r="694" spans="1:24" x14ac:dyDescent="0.3">
      <c r="A694" t="s">
        <v>1316</v>
      </c>
      <c r="B694" t="s">
        <v>1302</v>
      </c>
      <c r="C694" s="3">
        <v>46636</v>
      </c>
      <c r="D694" s="8" t="s">
        <v>1439</v>
      </c>
      <c r="E694" s="7" t="s">
        <v>47</v>
      </c>
      <c r="F694" s="7" t="s">
        <v>48</v>
      </c>
      <c r="G694" s="7" t="s">
        <v>49</v>
      </c>
      <c r="H694" s="4">
        <v>2103.6799999999998</v>
      </c>
      <c r="I694" s="7" t="s">
        <v>26</v>
      </c>
      <c r="J694" s="7" t="s">
        <v>17</v>
      </c>
      <c r="L694" t="str">
        <f>PROPER(TRIM(SUBSTITUTE(_xlfn.XLOOKUP(B694,Cardholders_Reference!A:A,Cardholders_Reference!B:B),","," ")))</f>
        <v>David Sithole</v>
      </c>
      <c r="M694" s="5">
        <f>_xlfn.XLOOKUP(B694,Cardholders_Reference!A:A,Cardholders_Reference!G:G)</f>
        <v>25000</v>
      </c>
      <c r="N694" s="7" t="str">
        <f>_xlfn.XLOOKUP(B694,Cardholders_Reference!A:A,Cardholders_Reference!D:D)</f>
        <v>Standard Bank</v>
      </c>
      <c r="O694" s="7" t="str">
        <f>_xlfn.XLOOKUP(B694,Cardholders_Reference!A:A,Cardholders_Reference!E:E)</f>
        <v>Visa</v>
      </c>
      <c r="P694" s="6">
        <f t="shared" si="75"/>
        <v>8.4147199999999991E-2</v>
      </c>
      <c r="Q694">
        <f t="shared" si="70"/>
        <v>1</v>
      </c>
      <c r="R694">
        <f t="shared" si="71"/>
        <v>1</v>
      </c>
      <c r="S694">
        <f>IF(COUNTIFS($B$1:$B$738,B693,$C$1:$C$738,#REF!)&gt;2,1,0)</f>
        <v>0</v>
      </c>
      <c r="T694">
        <f t="shared" si="72"/>
        <v>0</v>
      </c>
      <c r="U694">
        <f t="shared" si="73"/>
        <v>0</v>
      </c>
      <c r="V694">
        <f t="shared" si="74"/>
        <v>1</v>
      </c>
      <c r="W694">
        <f t="shared" si="76"/>
        <v>3</v>
      </c>
      <c r="X694" t="str" cm="1">
        <f t="array" ref="X694">_xlfn.IFS(W694&lt;=1,"Low",W694=2,"Medium",W694&gt;=3,"High")</f>
        <v>High</v>
      </c>
    </row>
    <row r="695" spans="1:24" x14ac:dyDescent="0.3">
      <c r="A695" t="s">
        <v>1317</v>
      </c>
      <c r="B695" t="s">
        <v>1318</v>
      </c>
      <c r="C695" s="3">
        <v>45665</v>
      </c>
      <c r="D695" s="8" t="s">
        <v>1319</v>
      </c>
      <c r="E695" s="7" t="s">
        <v>156</v>
      </c>
      <c r="F695" s="7" t="s">
        <v>36</v>
      </c>
      <c r="G695" s="7" t="s">
        <v>250</v>
      </c>
      <c r="H695" s="4">
        <v>130.84</v>
      </c>
      <c r="I695" s="7" t="s">
        <v>32</v>
      </c>
      <c r="J695" s="7" t="s">
        <v>17</v>
      </c>
      <c r="L695" t="str">
        <f>PROPER(TRIM(SUBSTITUTE(_xlfn.XLOOKUP(B695,Cardholders_Reference!A:A,Cardholders_Reference!B:B),","," ")))</f>
        <v>Naledi Mahlangu</v>
      </c>
      <c r="M695" s="5">
        <f>_xlfn.XLOOKUP(B695,Cardholders_Reference!A:A,Cardholders_Reference!G:G)</f>
        <v>60000</v>
      </c>
      <c r="N695" s="7" t="str">
        <f>_xlfn.XLOOKUP(B695,Cardholders_Reference!A:A,Cardholders_Reference!D:D)</f>
        <v>Standard Bank</v>
      </c>
      <c r="O695" s="7" t="str">
        <f>_xlfn.XLOOKUP(B695,Cardholders_Reference!A:A,Cardholders_Reference!E:E)</f>
        <v>Mastercard</v>
      </c>
      <c r="P695" s="6">
        <f t="shared" si="75"/>
        <v>2.1806666666666667E-3</v>
      </c>
      <c r="Q695">
        <f t="shared" si="70"/>
        <v>1</v>
      </c>
      <c r="R695">
        <f t="shared" si="71"/>
        <v>0</v>
      </c>
      <c r="S695">
        <f>IF(COUNTIFS($B$1:$B$738,B694,$C$1:$C$738,#REF!)&gt;2,1,0)</f>
        <v>0</v>
      </c>
      <c r="T695">
        <f t="shared" si="72"/>
        <v>0</v>
      </c>
      <c r="U695">
        <f t="shared" si="73"/>
        <v>0</v>
      </c>
      <c r="V695">
        <f t="shared" si="74"/>
        <v>0</v>
      </c>
      <c r="W695">
        <f t="shared" si="76"/>
        <v>1</v>
      </c>
      <c r="X695" t="str" cm="1">
        <f t="array" ref="X695">_xlfn.IFS(W695&lt;=1,"Low",W695=2,"Medium",W695&gt;=3,"High")</f>
        <v>Low</v>
      </c>
    </row>
    <row r="696" spans="1:24" x14ac:dyDescent="0.3">
      <c r="A696" t="s">
        <v>1320</v>
      </c>
      <c r="B696" t="s">
        <v>1318</v>
      </c>
      <c r="C696" s="3">
        <v>45918</v>
      </c>
      <c r="D696" s="8" t="s">
        <v>702</v>
      </c>
      <c r="E696" s="7" t="s">
        <v>52</v>
      </c>
      <c r="F696" s="7" t="s">
        <v>53</v>
      </c>
      <c r="G696" s="7" t="s">
        <v>177</v>
      </c>
      <c r="H696" s="4">
        <v>1276.99</v>
      </c>
      <c r="I696" s="7" t="s">
        <v>95</v>
      </c>
      <c r="J696" s="7" t="s">
        <v>17</v>
      </c>
      <c r="L696" t="str">
        <f>PROPER(TRIM(SUBSTITUTE(_xlfn.XLOOKUP(B696,Cardholders_Reference!A:A,Cardholders_Reference!B:B),","," ")))</f>
        <v>Naledi Mahlangu</v>
      </c>
      <c r="M696" s="5">
        <f>_xlfn.XLOOKUP(B696,Cardholders_Reference!A:A,Cardholders_Reference!G:G)</f>
        <v>60000</v>
      </c>
      <c r="N696" s="7" t="str">
        <f>_xlfn.XLOOKUP(B696,Cardholders_Reference!A:A,Cardholders_Reference!D:D)</f>
        <v>Standard Bank</v>
      </c>
      <c r="O696" s="7" t="str">
        <f>_xlfn.XLOOKUP(B696,Cardholders_Reference!A:A,Cardholders_Reference!E:E)</f>
        <v>Mastercard</v>
      </c>
      <c r="P696" s="6">
        <f t="shared" si="75"/>
        <v>2.1283166666666666E-2</v>
      </c>
      <c r="Q696">
        <f t="shared" si="70"/>
        <v>1</v>
      </c>
      <c r="R696">
        <f t="shared" si="71"/>
        <v>0</v>
      </c>
      <c r="S696">
        <f>IF(COUNTIFS($B$1:$B$738,B695,$C$1:$C$738,#REF!)&gt;2,1,0)</f>
        <v>0</v>
      </c>
      <c r="T696">
        <f t="shared" si="72"/>
        <v>0</v>
      </c>
      <c r="U696">
        <f t="shared" si="73"/>
        <v>0</v>
      </c>
      <c r="V696">
        <f t="shared" si="74"/>
        <v>1</v>
      </c>
      <c r="W696">
        <f t="shared" si="76"/>
        <v>2</v>
      </c>
      <c r="X696" t="str" cm="1">
        <f t="array" ref="X696">_xlfn.IFS(W696&lt;=1,"Low",W696=2,"Medium",W696&gt;=3,"High")</f>
        <v>Medium</v>
      </c>
    </row>
    <row r="697" spans="1:24" x14ac:dyDescent="0.3">
      <c r="A697" t="s">
        <v>1321</v>
      </c>
      <c r="B697" t="s">
        <v>1318</v>
      </c>
      <c r="C697" s="3">
        <v>45871</v>
      </c>
      <c r="D697" s="8" t="s">
        <v>513</v>
      </c>
      <c r="E697" s="7" t="s">
        <v>140</v>
      </c>
      <c r="F697" s="7" t="s">
        <v>53</v>
      </c>
      <c r="G697" s="7" t="s">
        <v>192</v>
      </c>
      <c r="H697" s="4">
        <v>591.27</v>
      </c>
      <c r="I697" s="7" t="s">
        <v>95</v>
      </c>
      <c r="J697" s="7" t="s">
        <v>17</v>
      </c>
      <c r="L697" t="str">
        <f>PROPER(TRIM(SUBSTITUTE(_xlfn.XLOOKUP(B697,Cardholders_Reference!A:A,Cardholders_Reference!B:B),","," ")))</f>
        <v>Naledi Mahlangu</v>
      </c>
      <c r="M697" s="5">
        <f>_xlfn.XLOOKUP(B697,Cardholders_Reference!A:A,Cardholders_Reference!G:G)</f>
        <v>60000</v>
      </c>
      <c r="N697" s="7" t="str">
        <f>_xlfn.XLOOKUP(B697,Cardholders_Reference!A:A,Cardholders_Reference!D:D)</f>
        <v>Standard Bank</v>
      </c>
      <c r="O697" s="7" t="str">
        <f>_xlfn.XLOOKUP(B697,Cardholders_Reference!A:A,Cardholders_Reference!E:E)</f>
        <v>Mastercard</v>
      </c>
      <c r="P697" s="6">
        <f t="shared" si="75"/>
        <v>9.8545000000000004E-3</v>
      </c>
      <c r="Q697">
        <f t="shared" si="70"/>
        <v>0</v>
      </c>
      <c r="R697">
        <f t="shared" si="71"/>
        <v>0</v>
      </c>
      <c r="S697">
        <f>IF(COUNTIFS($B$1:$B$738,B696,$C$1:$C$738,#REF!)&gt;2,1,0)</f>
        <v>0</v>
      </c>
      <c r="T697">
        <f t="shared" si="72"/>
        <v>0</v>
      </c>
      <c r="U697">
        <f t="shared" si="73"/>
        <v>0</v>
      </c>
      <c r="V697">
        <f t="shared" si="74"/>
        <v>1</v>
      </c>
      <c r="W697">
        <f t="shared" si="76"/>
        <v>1</v>
      </c>
      <c r="X697" t="str" cm="1">
        <f t="array" ref="X697">_xlfn.IFS(W697&lt;=1,"Low",W697=2,"Medium",W697&gt;=3,"High")</f>
        <v>Low</v>
      </c>
    </row>
    <row r="698" spans="1:24" x14ac:dyDescent="0.3">
      <c r="A698" t="s">
        <v>1322</v>
      </c>
      <c r="B698" t="s">
        <v>1318</v>
      </c>
      <c r="C698" s="3">
        <v>46481</v>
      </c>
      <c r="D698" s="8" t="s">
        <v>1122</v>
      </c>
      <c r="E698" s="7" t="s">
        <v>242</v>
      </c>
      <c r="F698" s="7" t="s">
        <v>15</v>
      </c>
      <c r="G698" s="7" t="s">
        <v>177</v>
      </c>
      <c r="H698" s="4">
        <v>4346.45</v>
      </c>
      <c r="I698" s="7" t="s">
        <v>16</v>
      </c>
      <c r="J698" s="7" t="s">
        <v>17</v>
      </c>
      <c r="L698" t="str">
        <f>PROPER(TRIM(SUBSTITUTE(_xlfn.XLOOKUP(B698,Cardholders_Reference!A:A,Cardholders_Reference!B:B),","," ")))</f>
        <v>Naledi Mahlangu</v>
      </c>
      <c r="M698" s="5">
        <f>_xlfn.XLOOKUP(B698,Cardholders_Reference!A:A,Cardholders_Reference!G:G)</f>
        <v>60000</v>
      </c>
      <c r="N698" s="7" t="str">
        <f>_xlfn.XLOOKUP(B698,Cardholders_Reference!A:A,Cardholders_Reference!D:D)</f>
        <v>Standard Bank</v>
      </c>
      <c r="O698" s="7" t="str">
        <f>_xlfn.XLOOKUP(B698,Cardholders_Reference!A:A,Cardholders_Reference!E:E)</f>
        <v>Mastercard</v>
      </c>
      <c r="P698" s="6">
        <f t="shared" si="75"/>
        <v>7.2440833333333329E-2</v>
      </c>
      <c r="Q698">
        <f t="shared" si="70"/>
        <v>1</v>
      </c>
      <c r="R698">
        <f t="shared" si="71"/>
        <v>0</v>
      </c>
      <c r="S698">
        <f>IF(COUNTIFS($B$1:$B$738,B697,$C$1:$C$738,#REF!)&gt;2,1,0)</f>
        <v>0</v>
      </c>
      <c r="T698">
        <f t="shared" si="72"/>
        <v>0</v>
      </c>
      <c r="U698">
        <f t="shared" si="73"/>
        <v>0</v>
      </c>
      <c r="V698">
        <f t="shared" si="74"/>
        <v>0</v>
      </c>
      <c r="W698">
        <f t="shared" si="76"/>
        <v>1</v>
      </c>
      <c r="X698" t="str" cm="1">
        <f t="array" ref="X698">_xlfn.IFS(W698&lt;=1,"Low",W698=2,"Medium",W698&gt;=3,"High")</f>
        <v>Low</v>
      </c>
    </row>
    <row r="699" spans="1:24" x14ac:dyDescent="0.3">
      <c r="A699" t="s">
        <v>1323</v>
      </c>
      <c r="B699" t="s">
        <v>1318</v>
      </c>
      <c r="C699" s="3">
        <v>45790</v>
      </c>
      <c r="D699" s="8" t="s">
        <v>1324</v>
      </c>
      <c r="E699" s="7" t="s">
        <v>170</v>
      </c>
      <c r="F699" s="7" t="s">
        <v>91</v>
      </c>
      <c r="G699" s="7" t="s">
        <v>177</v>
      </c>
      <c r="H699" s="4">
        <v>3304.51</v>
      </c>
      <c r="I699" s="7" t="s">
        <v>26</v>
      </c>
      <c r="J699" s="7" t="s">
        <v>17</v>
      </c>
      <c r="L699" t="str">
        <f>PROPER(TRIM(SUBSTITUTE(_xlfn.XLOOKUP(B699,Cardholders_Reference!A:A,Cardholders_Reference!B:B),","," ")))</f>
        <v>Naledi Mahlangu</v>
      </c>
      <c r="M699" s="5">
        <f>_xlfn.XLOOKUP(B699,Cardholders_Reference!A:A,Cardholders_Reference!G:G)</f>
        <v>60000</v>
      </c>
      <c r="N699" s="7" t="str">
        <f>_xlfn.XLOOKUP(B699,Cardholders_Reference!A:A,Cardholders_Reference!D:D)</f>
        <v>Standard Bank</v>
      </c>
      <c r="O699" s="7" t="str">
        <f>_xlfn.XLOOKUP(B699,Cardholders_Reference!A:A,Cardholders_Reference!E:E)</f>
        <v>Mastercard</v>
      </c>
      <c r="P699" s="6">
        <f t="shared" si="75"/>
        <v>5.5075166666666668E-2</v>
      </c>
      <c r="Q699">
        <f t="shared" si="70"/>
        <v>0</v>
      </c>
      <c r="R699">
        <f t="shared" si="71"/>
        <v>0</v>
      </c>
      <c r="S699">
        <f>IF(COUNTIFS($B$1:$B$738,B698,$C$1:$C$738,#REF!)&gt;2,1,0)</f>
        <v>0</v>
      </c>
      <c r="T699">
        <f t="shared" si="72"/>
        <v>0</v>
      </c>
      <c r="U699">
        <f t="shared" si="73"/>
        <v>0</v>
      </c>
      <c r="V699">
        <f t="shared" si="74"/>
        <v>1</v>
      </c>
      <c r="W699">
        <f t="shared" si="76"/>
        <v>1</v>
      </c>
      <c r="X699" t="str" cm="1">
        <f t="array" ref="X699">_xlfn.IFS(W699&lt;=1,"Low",W699=2,"Medium",W699&gt;=3,"High")</f>
        <v>Low</v>
      </c>
    </row>
    <row r="700" spans="1:24" x14ac:dyDescent="0.3">
      <c r="A700" t="s">
        <v>1325</v>
      </c>
      <c r="B700" t="s">
        <v>1318</v>
      </c>
      <c r="C700" s="3">
        <v>45749</v>
      </c>
      <c r="D700" s="8" t="s">
        <v>483</v>
      </c>
      <c r="E700" s="7" t="s">
        <v>97</v>
      </c>
      <c r="F700" s="7" t="s">
        <v>53</v>
      </c>
      <c r="G700" s="7" t="s">
        <v>177</v>
      </c>
      <c r="H700" s="4">
        <v>1774.04</v>
      </c>
      <c r="I700" s="7" t="s">
        <v>26</v>
      </c>
      <c r="J700" s="7" t="s">
        <v>17</v>
      </c>
      <c r="L700" t="str">
        <f>PROPER(TRIM(SUBSTITUTE(_xlfn.XLOOKUP(B700,Cardholders_Reference!A:A,Cardholders_Reference!B:B),","," ")))</f>
        <v>Naledi Mahlangu</v>
      </c>
      <c r="M700" s="5">
        <f>_xlfn.XLOOKUP(B700,Cardholders_Reference!A:A,Cardholders_Reference!G:G)</f>
        <v>60000</v>
      </c>
      <c r="N700" s="7" t="str">
        <f>_xlfn.XLOOKUP(B700,Cardholders_Reference!A:A,Cardholders_Reference!D:D)</f>
        <v>Standard Bank</v>
      </c>
      <c r="O700" s="7" t="str">
        <f>_xlfn.XLOOKUP(B700,Cardholders_Reference!A:A,Cardholders_Reference!E:E)</f>
        <v>Mastercard</v>
      </c>
      <c r="P700" s="6">
        <f t="shared" si="75"/>
        <v>2.9567333333333334E-2</v>
      </c>
      <c r="Q700">
        <f t="shared" si="70"/>
        <v>0</v>
      </c>
      <c r="R700">
        <f t="shared" si="71"/>
        <v>0</v>
      </c>
      <c r="S700">
        <f>IF(COUNTIFS($B$1:$B$738,B699,$C$1:$C$738,#REF!)&gt;2,1,0)</f>
        <v>0</v>
      </c>
      <c r="T700">
        <f t="shared" si="72"/>
        <v>0</v>
      </c>
      <c r="U700">
        <f t="shared" si="73"/>
        <v>0</v>
      </c>
      <c r="V700">
        <f t="shared" si="74"/>
        <v>1</v>
      </c>
      <c r="W700">
        <f t="shared" si="76"/>
        <v>1</v>
      </c>
      <c r="X700" t="str" cm="1">
        <f t="array" ref="X700">_xlfn.IFS(W700&lt;=1,"Low",W700=2,"Medium",W700&gt;=3,"High")</f>
        <v>Low</v>
      </c>
    </row>
    <row r="701" spans="1:24" x14ac:dyDescent="0.3">
      <c r="A701" t="s">
        <v>1326</v>
      </c>
      <c r="B701" t="s">
        <v>1318</v>
      </c>
      <c r="C701" s="3">
        <v>45670</v>
      </c>
      <c r="D701" s="8" t="s">
        <v>381</v>
      </c>
      <c r="E701" s="7" t="s">
        <v>14</v>
      </c>
      <c r="F701" s="7" t="s">
        <v>15</v>
      </c>
      <c r="G701" s="7" t="s">
        <v>177</v>
      </c>
      <c r="H701" s="4">
        <v>1766.62</v>
      </c>
      <c r="I701" s="7" t="s">
        <v>16</v>
      </c>
      <c r="J701" s="7" t="s">
        <v>17</v>
      </c>
      <c r="L701" t="str">
        <f>PROPER(TRIM(SUBSTITUTE(_xlfn.XLOOKUP(B701,Cardholders_Reference!A:A,Cardholders_Reference!B:B),","," ")))</f>
        <v>Naledi Mahlangu</v>
      </c>
      <c r="M701" s="5">
        <f>_xlfn.XLOOKUP(B701,Cardholders_Reference!A:A,Cardholders_Reference!G:G)</f>
        <v>60000</v>
      </c>
      <c r="N701" s="7" t="str">
        <f>_xlfn.XLOOKUP(B701,Cardholders_Reference!A:A,Cardholders_Reference!D:D)</f>
        <v>Standard Bank</v>
      </c>
      <c r="O701" s="7" t="str">
        <f>_xlfn.XLOOKUP(B701,Cardholders_Reference!A:A,Cardholders_Reference!E:E)</f>
        <v>Mastercard</v>
      </c>
      <c r="P701" s="6">
        <f t="shared" si="75"/>
        <v>2.9443666666666663E-2</v>
      </c>
      <c r="Q701">
        <f t="shared" si="70"/>
        <v>0</v>
      </c>
      <c r="R701">
        <f t="shared" si="71"/>
        <v>0</v>
      </c>
      <c r="S701">
        <f>IF(COUNTIFS($B$1:$B$738,B700,$C$1:$C$738,#REF!)&gt;2,1,0)</f>
        <v>0</v>
      </c>
      <c r="T701">
        <f t="shared" si="72"/>
        <v>0</v>
      </c>
      <c r="U701">
        <f t="shared" si="73"/>
        <v>0</v>
      </c>
      <c r="V701">
        <f t="shared" si="74"/>
        <v>0</v>
      </c>
      <c r="W701">
        <f t="shared" si="76"/>
        <v>0</v>
      </c>
      <c r="X701" t="str" cm="1">
        <f t="array" ref="X701">_xlfn.IFS(W701&lt;=1,"Low",W701=2,"Medium",W701&gt;=3,"High")</f>
        <v>Low</v>
      </c>
    </row>
    <row r="702" spans="1:24" x14ac:dyDescent="0.3">
      <c r="A702" t="s">
        <v>1327</v>
      </c>
      <c r="B702" t="s">
        <v>1318</v>
      </c>
      <c r="C702" s="3">
        <v>46187</v>
      </c>
      <c r="D702" s="8" t="s">
        <v>627</v>
      </c>
      <c r="E702" s="7" t="s">
        <v>57</v>
      </c>
      <c r="F702" s="7" t="s">
        <v>36</v>
      </c>
      <c r="G702" s="7" t="s">
        <v>177</v>
      </c>
      <c r="H702" s="4">
        <v>557.98</v>
      </c>
      <c r="I702" s="7" t="s">
        <v>16</v>
      </c>
      <c r="J702" s="7" t="s">
        <v>41</v>
      </c>
      <c r="L702" t="str">
        <f>PROPER(TRIM(SUBSTITUTE(_xlfn.XLOOKUP(B702,Cardholders_Reference!A:A,Cardholders_Reference!B:B),","," ")))</f>
        <v>Naledi Mahlangu</v>
      </c>
      <c r="M702" s="5">
        <f>_xlfn.XLOOKUP(B702,Cardholders_Reference!A:A,Cardholders_Reference!G:G)</f>
        <v>60000</v>
      </c>
      <c r="N702" s="7" t="str">
        <f>_xlfn.XLOOKUP(B702,Cardholders_Reference!A:A,Cardholders_Reference!D:D)</f>
        <v>Standard Bank</v>
      </c>
      <c r="O702" s="7" t="str">
        <f>_xlfn.XLOOKUP(B702,Cardholders_Reference!A:A,Cardholders_Reference!E:E)</f>
        <v>Mastercard</v>
      </c>
      <c r="P702" s="6">
        <f t="shared" si="75"/>
        <v>9.2996666666666662E-3</v>
      </c>
      <c r="Q702">
        <f t="shared" si="70"/>
        <v>0</v>
      </c>
      <c r="R702">
        <f t="shared" si="71"/>
        <v>0</v>
      </c>
      <c r="S702">
        <f>IF(COUNTIFS($B$1:$B$738,B701,$C$1:$C$738,#REF!)&gt;2,1,0)</f>
        <v>0</v>
      </c>
      <c r="T702">
        <f t="shared" si="72"/>
        <v>0</v>
      </c>
      <c r="U702">
        <f t="shared" si="73"/>
        <v>0</v>
      </c>
      <c r="V702">
        <f t="shared" si="74"/>
        <v>0</v>
      </c>
      <c r="W702">
        <f t="shared" si="76"/>
        <v>0</v>
      </c>
      <c r="X702" t="str" cm="1">
        <f t="array" ref="X702">_xlfn.IFS(W702&lt;=1,"Low",W702=2,"Medium",W702&gt;=3,"High")</f>
        <v>Low</v>
      </c>
    </row>
    <row r="703" spans="1:24" x14ac:dyDescent="0.3">
      <c r="A703" t="s">
        <v>1328</v>
      </c>
      <c r="B703" t="s">
        <v>1318</v>
      </c>
      <c r="C703" s="3">
        <v>46084</v>
      </c>
      <c r="D703" s="8" t="s">
        <v>571</v>
      </c>
      <c r="E703" s="7" t="s">
        <v>220</v>
      </c>
      <c r="F703" s="7" t="s">
        <v>91</v>
      </c>
      <c r="G703" s="7" t="s">
        <v>177</v>
      </c>
      <c r="H703" s="4">
        <v>3246.76</v>
      </c>
      <c r="I703" s="7" t="s">
        <v>16</v>
      </c>
      <c r="J703" s="7" t="s">
        <v>17</v>
      </c>
      <c r="L703" t="str">
        <f>PROPER(TRIM(SUBSTITUTE(_xlfn.XLOOKUP(B703,Cardholders_Reference!A:A,Cardholders_Reference!B:B),","," ")))</f>
        <v>Naledi Mahlangu</v>
      </c>
      <c r="M703" s="5">
        <f>_xlfn.XLOOKUP(B703,Cardholders_Reference!A:A,Cardholders_Reference!G:G)</f>
        <v>60000</v>
      </c>
      <c r="N703" s="7" t="str">
        <f>_xlfn.XLOOKUP(B703,Cardholders_Reference!A:A,Cardholders_Reference!D:D)</f>
        <v>Standard Bank</v>
      </c>
      <c r="O703" s="7" t="str">
        <f>_xlfn.XLOOKUP(B703,Cardholders_Reference!A:A,Cardholders_Reference!E:E)</f>
        <v>Mastercard</v>
      </c>
      <c r="P703" s="6">
        <f t="shared" si="75"/>
        <v>5.411266666666667E-2</v>
      </c>
      <c r="Q703">
        <f t="shared" si="70"/>
        <v>0</v>
      </c>
      <c r="R703">
        <f t="shared" si="71"/>
        <v>0</v>
      </c>
      <c r="S703">
        <f>IF(COUNTIFS($B$1:$B$738,B702,$C$1:$C$738,#REF!)&gt;2,1,0)</f>
        <v>0</v>
      </c>
      <c r="T703">
        <f t="shared" si="72"/>
        <v>0</v>
      </c>
      <c r="U703">
        <f t="shared" si="73"/>
        <v>0</v>
      </c>
      <c r="V703">
        <f t="shared" si="74"/>
        <v>0</v>
      </c>
      <c r="W703">
        <f t="shared" si="76"/>
        <v>0</v>
      </c>
      <c r="X703" t="str" cm="1">
        <f t="array" ref="X703">_xlfn.IFS(W703&lt;=1,"Low",W703=2,"Medium",W703&gt;=3,"High")</f>
        <v>Low</v>
      </c>
    </row>
    <row r="704" spans="1:24" x14ac:dyDescent="0.3">
      <c r="A704" t="s">
        <v>1329</v>
      </c>
      <c r="B704" t="s">
        <v>1318</v>
      </c>
      <c r="C704" s="3">
        <v>45998</v>
      </c>
      <c r="D704" s="8" t="s">
        <v>1294</v>
      </c>
      <c r="E704" s="7" t="s">
        <v>156</v>
      </c>
      <c r="F704" s="7" t="s">
        <v>36</v>
      </c>
      <c r="G704" s="7" t="s">
        <v>177</v>
      </c>
      <c r="H704" s="4">
        <v>100.08</v>
      </c>
      <c r="I704" s="7" t="s">
        <v>32</v>
      </c>
      <c r="J704" s="7" t="s">
        <v>17</v>
      </c>
      <c r="L704" t="str">
        <f>PROPER(TRIM(SUBSTITUTE(_xlfn.XLOOKUP(B704,Cardholders_Reference!A:A,Cardholders_Reference!B:B),","," ")))</f>
        <v>Naledi Mahlangu</v>
      </c>
      <c r="M704" s="5">
        <f>_xlfn.XLOOKUP(B704,Cardholders_Reference!A:A,Cardholders_Reference!G:G)</f>
        <v>60000</v>
      </c>
      <c r="N704" s="7" t="str">
        <f>_xlfn.XLOOKUP(B704,Cardholders_Reference!A:A,Cardholders_Reference!D:D)</f>
        <v>Standard Bank</v>
      </c>
      <c r="O704" s="7" t="str">
        <f>_xlfn.XLOOKUP(B704,Cardholders_Reference!A:A,Cardholders_Reference!E:E)</f>
        <v>Mastercard</v>
      </c>
      <c r="P704" s="6">
        <f t="shared" si="75"/>
        <v>1.668E-3</v>
      </c>
      <c r="Q704">
        <f t="shared" si="70"/>
        <v>0</v>
      </c>
      <c r="R704">
        <f t="shared" si="71"/>
        <v>0</v>
      </c>
      <c r="S704">
        <f>IF(COUNTIFS($B$1:$B$738,B703,$C$1:$C$738,#REF!)&gt;2,1,0)</f>
        <v>0</v>
      </c>
      <c r="T704">
        <f t="shared" si="72"/>
        <v>0</v>
      </c>
      <c r="U704">
        <f t="shared" si="73"/>
        <v>0</v>
      </c>
      <c r="V704">
        <f t="shared" si="74"/>
        <v>0</v>
      </c>
      <c r="W704">
        <f t="shared" si="76"/>
        <v>0</v>
      </c>
      <c r="X704" t="str" cm="1">
        <f t="array" ref="X704">_xlfn.IFS(W704&lt;=1,"Low",W704=2,"Medium",W704&gt;=3,"High")</f>
        <v>Low</v>
      </c>
    </row>
    <row r="705" spans="1:24" x14ac:dyDescent="0.3">
      <c r="A705" t="s">
        <v>1330</v>
      </c>
      <c r="B705" t="s">
        <v>1318</v>
      </c>
      <c r="C705" s="3">
        <v>46017</v>
      </c>
      <c r="D705" s="8" t="s">
        <v>1331</v>
      </c>
      <c r="E705" s="7" t="s">
        <v>215</v>
      </c>
      <c r="F705" s="7" t="s">
        <v>15</v>
      </c>
      <c r="G705" s="7" t="s">
        <v>250</v>
      </c>
      <c r="H705" s="4">
        <v>3873.5</v>
      </c>
      <c r="I705" s="7" t="s">
        <v>95</v>
      </c>
      <c r="J705" s="7" t="s">
        <v>17</v>
      </c>
      <c r="L705" t="str">
        <f>PROPER(TRIM(SUBSTITUTE(_xlfn.XLOOKUP(B705,Cardholders_Reference!A:A,Cardholders_Reference!B:B),","," ")))</f>
        <v>Naledi Mahlangu</v>
      </c>
      <c r="M705" s="5">
        <f>_xlfn.XLOOKUP(B705,Cardholders_Reference!A:A,Cardholders_Reference!G:G)</f>
        <v>60000</v>
      </c>
      <c r="N705" s="7" t="str">
        <f>_xlfn.XLOOKUP(B705,Cardholders_Reference!A:A,Cardholders_Reference!D:D)</f>
        <v>Standard Bank</v>
      </c>
      <c r="O705" s="7" t="str">
        <f>_xlfn.XLOOKUP(B705,Cardholders_Reference!A:A,Cardholders_Reference!E:E)</f>
        <v>Mastercard</v>
      </c>
      <c r="P705" s="6">
        <f t="shared" si="75"/>
        <v>6.4558333333333329E-2</v>
      </c>
      <c r="Q705">
        <f t="shared" si="70"/>
        <v>0</v>
      </c>
      <c r="R705">
        <f t="shared" si="71"/>
        <v>0</v>
      </c>
      <c r="S705">
        <f>IF(COUNTIFS($B$1:$B$738,B704,$C$1:$C$738,#REF!)&gt;2,1,0)</f>
        <v>0</v>
      </c>
      <c r="T705">
        <f t="shared" si="72"/>
        <v>0</v>
      </c>
      <c r="U705">
        <f t="shared" si="73"/>
        <v>0</v>
      </c>
      <c r="V705">
        <f t="shared" si="74"/>
        <v>1</v>
      </c>
      <c r="W705">
        <f t="shared" si="76"/>
        <v>1</v>
      </c>
      <c r="X705" t="str" cm="1">
        <f t="array" ref="X705">_xlfn.IFS(W705&lt;=1,"Low",W705=2,"Medium",W705&gt;=3,"High")</f>
        <v>Low</v>
      </c>
    </row>
    <row r="706" spans="1:24" x14ac:dyDescent="0.3">
      <c r="A706" t="s">
        <v>1332</v>
      </c>
      <c r="B706" t="s">
        <v>1318</v>
      </c>
      <c r="C706" s="3">
        <v>46299</v>
      </c>
      <c r="D706" s="8" t="s">
        <v>1333</v>
      </c>
      <c r="E706" s="7" t="s">
        <v>368</v>
      </c>
      <c r="F706" s="7" t="s">
        <v>21</v>
      </c>
      <c r="G706" s="7" t="s">
        <v>177</v>
      </c>
      <c r="H706" s="4">
        <v>1362.34</v>
      </c>
      <c r="I706" s="7" t="s">
        <v>26</v>
      </c>
      <c r="J706" s="7" t="s">
        <v>17</v>
      </c>
      <c r="L706" t="str">
        <f>PROPER(TRIM(SUBSTITUTE(_xlfn.XLOOKUP(B706,Cardholders_Reference!A:A,Cardholders_Reference!B:B),","," ")))</f>
        <v>Naledi Mahlangu</v>
      </c>
      <c r="M706" s="5">
        <f>_xlfn.XLOOKUP(B706,Cardholders_Reference!A:A,Cardholders_Reference!G:G)</f>
        <v>60000</v>
      </c>
      <c r="N706" s="7" t="str">
        <f>_xlfn.XLOOKUP(B706,Cardholders_Reference!A:A,Cardholders_Reference!D:D)</f>
        <v>Standard Bank</v>
      </c>
      <c r="O706" s="7" t="str">
        <f>_xlfn.XLOOKUP(B706,Cardholders_Reference!A:A,Cardholders_Reference!E:E)</f>
        <v>Mastercard</v>
      </c>
      <c r="P706" s="6">
        <f t="shared" si="75"/>
        <v>2.2705666666666666E-2</v>
      </c>
      <c r="Q706">
        <f t="shared" ref="Q706:Q739" si="77">IF(COUNTIFS($B$1:$B$738,B705,$G$1:$G$738,G705)/COUNTIF($B$1:$B$738,B705)&lt;0.5,1,0)</f>
        <v>1</v>
      </c>
      <c r="R706">
        <f t="shared" ref="R706:R739" si="78">IF(D706="Unknown",1,IF(OR(TIMEVALUE(D706)&lt;TIME(5,0,0),TIMEVALUE(D706)&gt;=TIME(23,0,0)),1,0))</f>
        <v>0</v>
      </c>
      <c r="S706">
        <f>IF(COUNTIFS($B$1:$B$738,B705,$C$1:$C$738,#REF!)&gt;2,1,0)</f>
        <v>0</v>
      </c>
      <c r="T706">
        <f t="shared" ref="T706:T739" si="79">IF(P705&gt;0.4,1,0)</f>
        <v>0</v>
      </c>
      <c r="U706">
        <f t="shared" ref="U706:U739" si="80">IF(OR(F705="Gambling",F705="ATM Withdrawal"),1,0)</f>
        <v>0</v>
      </c>
      <c r="V706">
        <f t="shared" ref="V706:V739" si="81">IF(OR(I706="Card Not Present (Phone)",I706="Online"),1,0)</f>
        <v>1</v>
      </c>
      <c r="W706">
        <f t="shared" si="76"/>
        <v>2</v>
      </c>
      <c r="X706" t="str" cm="1">
        <f t="array" ref="X706">_xlfn.IFS(W706&lt;=1,"Low",W706=2,"Medium",W706&gt;=3,"High")</f>
        <v>Medium</v>
      </c>
    </row>
    <row r="707" spans="1:24" x14ac:dyDescent="0.3">
      <c r="A707" t="s">
        <v>1334</v>
      </c>
      <c r="B707" t="s">
        <v>1318</v>
      </c>
      <c r="C707" s="3">
        <v>45714</v>
      </c>
      <c r="D707" s="8" t="s">
        <v>513</v>
      </c>
      <c r="E707" s="7" t="s">
        <v>44</v>
      </c>
      <c r="F707" s="7" t="s">
        <v>25</v>
      </c>
      <c r="G707" s="7" t="s">
        <v>192</v>
      </c>
      <c r="H707" s="4">
        <v>555.67999999999995</v>
      </c>
      <c r="I707" s="7" t="s">
        <v>26</v>
      </c>
      <c r="J707" s="7" t="s">
        <v>17</v>
      </c>
      <c r="L707" t="str">
        <f>PROPER(TRIM(SUBSTITUTE(_xlfn.XLOOKUP(B707,Cardholders_Reference!A:A,Cardholders_Reference!B:B),","," ")))</f>
        <v>Naledi Mahlangu</v>
      </c>
      <c r="M707" s="5">
        <f>_xlfn.XLOOKUP(B707,Cardholders_Reference!A:A,Cardholders_Reference!G:G)</f>
        <v>60000</v>
      </c>
      <c r="N707" s="7" t="str">
        <f>_xlfn.XLOOKUP(B707,Cardholders_Reference!A:A,Cardholders_Reference!D:D)</f>
        <v>Standard Bank</v>
      </c>
      <c r="O707" s="7" t="str">
        <f>_xlfn.XLOOKUP(B707,Cardholders_Reference!A:A,Cardholders_Reference!E:E)</f>
        <v>Mastercard</v>
      </c>
      <c r="P707" s="6">
        <f t="shared" ref="P707:P739" si="82">H707/M707</f>
        <v>9.2613333333333332E-3</v>
      </c>
      <c r="Q707">
        <f t="shared" si="77"/>
        <v>0</v>
      </c>
      <c r="R707">
        <f t="shared" si="78"/>
        <v>0</v>
      </c>
      <c r="S707">
        <f>IF(COUNTIFS($B$1:$B$738,B706,$C$1:$C$738,#REF!)&gt;2,1,0)</f>
        <v>0</v>
      </c>
      <c r="T707">
        <f t="shared" si="79"/>
        <v>0</v>
      </c>
      <c r="U707">
        <f t="shared" si="80"/>
        <v>1</v>
      </c>
      <c r="V707">
        <f t="shared" si="81"/>
        <v>1</v>
      </c>
      <c r="W707">
        <f t="shared" ref="W707:W739" si="83">SUM(Q707:V707)</f>
        <v>2</v>
      </c>
      <c r="X707" t="str" cm="1">
        <f t="array" ref="X707">_xlfn.IFS(W707&lt;=1,"Low",W707=2,"Medium",W707&gt;=3,"High")</f>
        <v>Medium</v>
      </c>
    </row>
    <row r="708" spans="1:24" x14ac:dyDescent="0.3">
      <c r="A708" t="s">
        <v>1335</v>
      </c>
      <c r="B708" t="s">
        <v>1318</v>
      </c>
      <c r="C708" s="3">
        <v>45667</v>
      </c>
      <c r="D708" s="8" t="s">
        <v>1336</v>
      </c>
      <c r="E708" s="7" t="s">
        <v>77</v>
      </c>
      <c r="F708" s="7" t="s">
        <v>15</v>
      </c>
      <c r="G708" s="7" t="s">
        <v>177</v>
      </c>
      <c r="H708" s="4">
        <v>3291.46</v>
      </c>
      <c r="I708" s="7" t="s">
        <v>16</v>
      </c>
      <c r="J708" s="7" t="s">
        <v>17</v>
      </c>
      <c r="L708" t="str">
        <f>PROPER(TRIM(SUBSTITUTE(_xlfn.XLOOKUP(B708,Cardholders_Reference!A:A,Cardholders_Reference!B:B),","," ")))</f>
        <v>Naledi Mahlangu</v>
      </c>
      <c r="M708" s="5">
        <f>_xlfn.XLOOKUP(B708,Cardholders_Reference!A:A,Cardholders_Reference!G:G)</f>
        <v>60000</v>
      </c>
      <c r="N708" s="7" t="str">
        <f>_xlfn.XLOOKUP(B708,Cardholders_Reference!A:A,Cardholders_Reference!D:D)</f>
        <v>Standard Bank</v>
      </c>
      <c r="O708" s="7" t="str">
        <f>_xlfn.XLOOKUP(B708,Cardholders_Reference!A:A,Cardholders_Reference!E:E)</f>
        <v>Mastercard</v>
      </c>
      <c r="P708" s="6">
        <f t="shared" si="82"/>
        <v>5.4857666666666666E-2</v>
      </c>
      <c r="Q708">
        <f t="shared" si="77"/>
        <v>1</v>
      </c>
      <c r="R708">
        <f t="shared" si="78"/>
        <v>0</v>
      </c>
      <c r="S708">
        <f>IF(COUNTIFS($B$1:$B$738,B707,$C$1:$C$738,#REF!)&gt;2,1,0)</f>
        <v>0</v>
      </c>
      <c r="T708">
        <f t="shared" si="79"/>
        <v>0</v>
      </c>
      <c r="U708">
        <f t="shared" si="80"/>
        <v>0</v>
      </c>
      <c r="V708">
        <f t="shared" si="81"/>
        <v>0</v>
      </c>
      <c r="W708">
        <f t="shared" si="83"/>
        <v>1</v>
      </c>
      <c r="X708" t="str" cm="1">
        <f t="array" ref="X708">_xlfn.IFS(W708&lt;=1,"Low",W708=2,"Medium",W708&gt;=3,"High")</f>
        <v>Low</v>
      </c>
    </row>
    <row r="709" spans="1:24" x14ac:dyDescent="0.3">
      <c r="A709" t="s">
        <v>1337</v>
      </c>
      <c r="B709" t="s">
        <v>1318</v>
      </c>
      <c r="C709" s="3">
        <v>45993</v>
      </c>
      <c r="D709" s="8" t="s">
        <v>692</v>
      </c>
      <c r="E709" s="7" t="s">
        <v>64</v>
      </c>
      <c r="F709" s="7" t="s">
        <v>65</v>
      </c>
      <c r="G709" s="7" t="s">
        <v>177</v>
      </c>
      <c r="H709" s="4">
        <v>1070.8900000000001</v>
      </c>
      <c r="I709" s="7" t="s">
        <v>26</v>
      </c>
      <c r="J709" s="7" t="s">
        <v>17</v>
      </c>
      <c r="L709" t="str">
        <f>PROPER(TRIM(SUBSTITUTE(_xlfn.XLOOKUP(B709,Cardholders_Reference!A:A,Cardholders_Reference!B:B),","," ")))</f>
        <v>Naledi Mahlangu</v>
      </c>
      <c r="M709" s="5">
        <f>_xlfn.XLOOKUP(B709,Cardholders_Reference!A:A,Cardholders_Reference!G:G)</f>
        <v>60000</v>
      </c>
      <c r="N709" s="7" t="str">
        <f>_xlfn.XLOOKUP(B709,Cardholders_Reference!A:A,Cardholders_Reference!D:D)</f>
        <v>Standard Bank</v>
      </c>
      <c r="O709" s="7" t="str">
        <f>_xlfn.XLOOKUP(B709,Cardholders_Reference!A:A,Cardholders_Reference!E:E)</f>
        <v>Mastercard</v>
      </c>
      <c r="P709" s="6">
        <f t="shared" si="82"/>
        <v>1.7848166666666668E-2</v>
      </c>
      <c r="Q709">
        <f t="shared" si="77"/>
        <v>0</v>
      </c>
      <c r="R709">
        <f t="shared" si="78"/>
        <v>0</v>
      </c>
      <c r="S709">
        <f>IF(COUNTIFS($B$1:$B$738,B708,$C$1:$C$738,#REF!)&gt;2,1,0)</f>
        <v>0</v>
      </c>
      <c r="T709">
        <f t="shared" si="79"/>
        <v>0</v>
      </c>
      <c r="U709">
        <f t="shared" si="80"/>
        <v>0</v>
      </c>
      <c r="V709">
        <f t="shared" si="81"/>
        <v>1</v>
      </c>
      <c r="W709">
        <f t="shared" si="83"/>
        <v>1</v>
      </c>
      <c r="X709" t="str" cm="1">
        <f t="array" ref="X709">_xlfn.IFS(W709&lt;=1,"Low",W709=2,"Medium",W709&gt;=3,"High")</f>
        <v>Low</v>
      </c>
    </row>
    <row r="710" spans="1:24" x14ac:dyDescent="0.3">
      <c r="A710" t="s">
        <v>1338</v>
      </c>
      <c r="B710" t="s">
        <v>1339</v>
      </c>
      <c r="C710" s="3">
        <v>46075</v>
      </c>
      <c r="D710" s="8" t="s">
        <v>1340</v>
      </c>
      <c r="E710" s="7" t="s">
        <v>486</v>
      </c>
      <c r="F710" s="7" t="s">
        <v>21</v>
      </c>
      <c r="G710" s="7" t="s">
        <v>264</v>
      </c>
      <c r="H710" s="4">
        <v>2119.21</v>
      </c>
      <c r="I710" s="7" t="s">
        <v>16</v>
      </c>
      <c r="J710" s="7" t="s">
        <v>41</v>
      </c>
      <c r="L710" t="str">
        <f>PROPER(TRIM(SUBSTITUTE(_xlfn.XLOOKUP(B710,Cardholders_Reference!A:A,Cardholders_Reference!B:B),","," ")))</f>
        <v>Andries Khumalo</v>
      </c>
      <c r="M710" s="5">
        <f>_xlfn.XLOOKUP(B710,Cardholders_Reference!A:A,Cardholders_Reference!G:G)</f>
        <v>15000</v>
      </c>
      <c r="N710" s="7" t="str">
        <f>_xlfn.XLOOKUP(B710,Cardholders_Reference!A:A,Cardholders_Reference!D:D)</f>
        <v>Standard Bank</v>
      </c>
      <c r="O710" s="7" t="str">
        <f>_xlfn.XLOOKUP(B710,Cardholders_Reference!A:A,Cardholders_Reference!E:E)</f>
        <v>Mastercard</v>
      </c>
      <c r="P710" s="6">
        <f t="shared" si="82"/>
        <v>0.14128066666666667</v>
      </c>
      <c r="Q710">
        <f t="shared" si="77"/>
        <v>0</v>
      </c>
      <c r="R710">
        <f t="shared" si="78"/>
        <v>0</v>
      </c>
      <c r="S710">
        <f>IF(COUNTIFS($B$1:$B$738,B709,$C$1:$C$738,#REF!)&gt;2,1,0)</f>
        <v>0</v>
      </c>
      <c r="T710">
        <f t="shared" si="79"/>
        <v>0</v>
      </c>
      <c r="U710">
        <f t="shared" si="80"/>
        <v>1</v>
      </c>
      <c r="V710">
        <f t="shared" si="81"/>
        <v>0</v>
      </c>
      <c r="W710">
        <f t="shared" si="83"/>
        <v>1</v>
      </c>
      <c r="X710" t="str" cm="1">
        <f t="array" ref="X710">_xlfn.IFS(W710&lt;=1,"Low",W710=2,"Medium",W710&gt;=3,"High")</f>
        <v>Low</v>
      </c>
    </row>
    <row r="711" spans="1:24" x14ac:dyDescent="0.3">
      <c r="A711" t="s">
        <v>1341</v>
      </c>
      <c r="B711" t="s">
        <v>1339</v>
      </c>
      <c r="C711" s="3">
        <v>46038</v>
      </c>
      <c r="D711" s="8" t="s">
        <v>260</v>
      </c>
      <c r="E711" s="7" t="s">
        <v>140</v>
      </c>
      <c r="F711" s="7" t="s">
        <v>53</v>
      </c>
      <c r="G711" s="7" t="s">
        <v>108</v>
      </c>
      <c r="H711" s="4">
        <v>1704.55</v>
      </c>
      <c r="I711" s="7" t="s">
        <v>32</v>
      </c>
      <c r="J711" s="7" t="s">
        <v>17</v>
      </c>
      <c r="L711" t="str">
        <f>PROPER(TRIM(SUBSTITUTE(_xlfn.XLOOKUP(B711,Cardholders_Reference!A:A,Cardholders_Reference!B:B),","," ")))</f>
        <v>Andries Khumalo</v>
      </c>
      <c r="M711" s="5">
        <f>_xlfn.XLOOKUP(B711,Cardholders_Reference!A:A,Cardholders_Reference!G:G)</f>
        <v>15000</v>
      </c>
      <c r="N711" s="7" t="str">
        <f>_xlfn.XLOOKUP(B711,Cardholders_Reference!A:A,Cardholders_Reference!D:D)</f>
        <v>Standard Bank</v>
      </c>
      <c r="O711" s="7" t="str">
        <f>_xlfn.XLOOKUP(B711,Cardholders_Reference!A:A,Cardholders_Reference!E:E)</f>
        <v>Mastercard</v>
      </c>
      <c r="P711" s="6">
        <f t="shared" si="82"/>
        <v>0.11363666666666666</v>
      </c>
      <c r="Q711">
        <f t="shared" si="77"/>
        <v>1</v>
      </c>
      <c r="R711">
        <f t="shared" si="78"/>
        <v>0</v>
      </c>
      <c r="S711">
        <f>IF(COUNTIFS($B$1:$B$738,B710,$C$1:$C$738,#REF!)&gt;2,1,0)</f>
        <v>0</v>
      </c>
      <c r="T711">
        <f t="shared" si="79"/>
        <v>0</v>
      </c>
      <c r="U711">
        <f t="shared" si="80"/>
        <v>1</v>
      </c>
      <c r="V711">
        <f t="shared" si="81"/>
        <v>0</v>
      </c>
      <c r="W711">
        <f t="shared" si="83"/>
        <v>2</v>
      </c>
      <c r="X711" t="str" cm="1">
        <f t="array" ref="X711">_xlfn.IFS(W711&lt;=1,"Low",W711=2,"Medium",W711&gt;=3,"High")</f>
        <v>Medium</v>
      </c>
    </row>
    <row r="712" spans="1:24" x14ac:dyDescent="0.3">
      <c r="A712" t="s">
        <v>1342</v>
      </c>
      <c r="B712" t="s">
        <v>1339</v>
      </c>
      <c r="C712" s="3">
        <v>45865</v>
      </c>
      <c r="D712" s="8" t="s">
        <v>838</v>
      </c>
      <c r="E712" s="7" t="s">
        <v>368</v>
      </c>
      <c r="F712" s="7" t="s">
        <v>21</v>
      </c>
      <c r="G712" s="7" t="s">
        <v>108</v>
      </c>
      <c r="H712" s="4">
        <v>1941.8</v>
      </c>
      <c r="I712" s="7" t="s">
        <v>26</v>
      </c>
      <c r="J712" s="7" t="s">
        <v>41</v>
      </c>
      <c r="L712" t="str">
        <f>PROPER(TRIM(SUBSTITUTE(_xlfn.XLOOKUP(B712,Cardholders_Reference!A:A,Cardholders_Reference!B:B),","," ")))</f>
        <v>Andries Khumalo</v>
      </c>
      <c r="M712" s="5">
        <f>_xlfn.XLOOKUP(B712,Cardholders_Reference!A:A,Cardholders_Reference!G:G)</f>
        <v>15000</v>
      </c>
      <c r="N712" s="7" t="str">
        <f>_xlfn.XLOOKUP(B712,Cardholders_Reference!A:A,Cardholders_Reference!D:D)</f>
        <v>Standard Bank</v>
      </c>
      <c r="O712" s="7" t="str">
        <f>_xlfn.XLOOKUP(B712,Cardholders_Reference!A:A,Cardholders_Reference!E:E)</f>
        <v>Mastercard</v>
      </c>
      <c r="P712" s="6">
        <f t="shared" si="82"/>
        <v>0.12945333333333334</v>
      </c>
      <c r="Q712">
        <f t="shared" si="77"/>
        <v>0</v>
      </c>
      <c r="R712">
        <f t="shared" si="78"/>
        <v>0</v>
      </c>
      <c r="S712">
        <f>IF(COUNTIFS($B$1:$B$738,B711,$C$1:$C$738,#REF!)&gt;2,1,0)</f>
        <v>0</v>
      </c>
      <c r="T712">
        <f t="shared" si="79"/>
        <v>0</v>
      </c>
      <c r="U712">
        <f t="shared" si="80"/>
        <v>0</v>
      </c>
      <c r="V712">
        <f t="shared" si="81"/>
        <v>1</v>
      </c>
      <c r="W712">
        <f t="shared" si="83"/>
        <v>1</v>
      </c>
      <c r="X712" t="str" cm="1">
        <f t="array" ref="X712">_xlfn.IFS(W712&lt;=1,"Low",W712=2,"Medium",W712&gt;=3,"High")</f>
        <v>Low</v>
      </c>
    </row>
    <row r="713" spans="1:24" x14ac:dyDescent="0.3">
      <c r="A713" t="s">
        <v>1343</v>
      </c>
      <c r="B713" t="s">
        <v>1339</v>
      </c>
      <c r="C713" s="3">
        <v>46107</v>
      </c>
      <c r="D713" s="8" t="s">
        <v>681</v>
      </c>
      <c r="E713" s="7" t="s">
        <v>368</v>
      </c>
      <c r="F713" s="7" t="s">
        <v>21</v>
      </c>
      <c r="G713" s="7" t="s">
        <v>118</v>
      </c>
      <c r="H713" s="4">
        <v>2319.7800000000002</v>
      </c>
      <c r="I713" s="7" t="s">
        <v>95</v>
      </c>
      <c r="J713" s="7" t="s">
        <v>17</v>
      </c>
      <c r="L713" t="str">
        <f>PROPER(TRIM(SUBSTITUTE(_xlfn.XLOOKUP(B713,Cardholders_Reference!A:A,Cardholders_Reference!B:B),","," ")))</f>
        <v>Andries Khumalo</v>
      </c>
      <c r="M713" s="5">
        <f>_xlfn.XLOOKUP(B713,Cardholders_Reference!A:A,Cardholders_Reference!G:G)</f>
        <v>15000</v>
      </c>
      <c r="N713" s="7" t="str">
        <f>_xlfn.XLOOKUP(B713,Cardholders_Reference!A:A,Cardholders_Reference!D:D)</f>
        <v>Standard Bank</v>
      </c>
      <c r="O713" s="7" t="str">
        <f>_xlfn.XLOOKUP(B713,Cardholders_Reference!A:A,Cardholders_Reference!E:E)</f>
        <v>Mastercard</v>
      </c>
      <c r="P713" s="6">
        <f t="shared" si="82"/>
        <v>0.15465200000000001</v>
      </c>
      <c r="Q713">
        <f t="shared" si="77"/>
        <v>0</v>
      </c>
      <c r="R713">
        <f t="shared" si="78"/>
        <v>0</v>
      </c>
      <c r="S713">
        <f>IF(COUNTIFS($B$1:$B$738,B712,$C$1:$C$738,#REF!)&gt;2,1,0)</f>
        <v>0</v>
      </c>
      <c r="T713">
        <f t="shared" si="79"/>
        <v>0</v>
      </c>
      <c r="U713">
        <f t="shared" si="80"/>
        <v>1</v>
      </c>
      <c r="V713">
        <f t="shared" si="81"/>
        <v>1</v>
      </c>
      <c r="W713">
        <f t="shared" si="83"/>
        <v>2</v>
      </c>
      <c r="X713" t="str" cm="1">
        <f t="array" ref="X713">_xlfn.IFS(W713&lt;=1,"Low",W713=2,"Medium",W713&gt;=3,"High")</f>
        <v>Medium</v>
      </c>
    </row>
    <row r="714" spans="1:24" x14ac:dyDescent="0.3">
      <c r="A714" t="s">
        <v>1344</v>
      </c>
      <c r="B714" t="s">
        <v>1339</v>
      </c>
      <c r="C714" s="3">
        <v>45848</v>
      </c>
      <c r="D714" s="8" t="s">
        <v>1345</v>
      </c>
      <c r="E714" s="7" t="s">
        <v>80</v>
      </c>
      <c r="F714" s="7" t="s">
        <v>81</v>
      </c>
      <c r="G714" s="7" t="s">
        <v>108</v>
      </c>
      <c r="H714" s="4">
        <v>2981.3</v>
      </c>
      <c r="I714" s="7" t="s">
        <v>95</v>
      </c>
      <c r="J714" s="7" t="s">
        <v>17</v>
      </c>
      <c r="L714" t="str">
        <f>PROPER(TRIM(SUBSTITUTE(_xlfn.XLOOKUP(B714,Cardholders_Reference!A:A,Cardholders_Reference!B:B),","," ")))</f>
        <v>Andries Khumalo</v>
      </c>
      <c r="M714" s="5">
        <f>_xlfn.XLOOKUP(B714,Cardholders_Reference!A:A,Cardholders_Reference!G:G)</f>
        <v>15000</v>
      </c>
      <c r="N714" s="7" t="str">
        <f>_xlfn.XLOOKUP(B714,Cardholders_Reference!A:A,Cardholders_Reference!D:D)</f>
        <v>Standard Bank</v>
      </c>
      <c r="O714" s="7" t="str">
        <f>_xlfn.XLOOKUP(B714,Cardholders_Reference!A:A,Cardholders_Reference!E:E)</f>
        <v>Mastercard</v>
      </c>
      <c r="P714" s="6">
        <f t="shared" si="82"/>
        <v>0.19875333333333334</v>
      </c>
      <c r="Q714">
        <f t="shared" si="77"/>
        <v>1</v>
      </c>
      <c r="R714">
        <f t="shared" si="78"/>
        <v>0</v>
      </c>
      <c r="S714">
        <f>IF(COUNTIFS($B$1:$B$738,B713,$C$1:$C$738,#REF!)&gt;2,1,0)</f>
        <v>0</v>
      </c>
      <c r="T714">
        <f t="shared" si="79"/>
        <v>0</v>
      </c>
      <c r="U714">
        <f t="shared" si="80"/>
        <v>1</v>
      </c>
      <c r="V714">
        <f t="shared" si="81"/>
        <v>1</v>
      </c>
      <c r="W714">
        <f t="shared" si="83"/>
        <v>3</v>
      </c>
      <c r="X714" t="str" cm="1">
        <f t="array" ref="X714">_xlfn.IFS(W714&lt;=1,"Low",W714=2,"Medium",W714&gt;=3,"High")</f>
        <v>High</v>
      </c>
    </row>
    <row r="715" spans="1:24" x14ac:dyDescent="0.3">
      <c r="A715" t="s">
        <v>1346</v>
      </c>
      <c r="B715" t="s">
        <v>1339</v>
      </c>
      <c r="C715" s="3">
        <v>46042</v>
      </c>
      <c r="D715" s="8" t="s">
        <v>1347</v>
      </c>
      <c r="E715" s="7" t="s">
        <v>126</v>
      </c>
      <c r="F715" s="7" t="s">
        <v>53</v>
      </c>
      <c r="G715" s="7" t="s">
        <v>118</v>
      </c>
      <c r="H715" s="4">
        <v>278.51</v>
      </c>
      <c r="I715" s="7" t="s">
        <v>16</v>
      </c>
      <c r="J715" s="7" t="s">
        <v>17</v>
      </c>
      <c r="L715" t="str">
        <f>PROPER(TRIM(SUBSTITUTE(_xlfn.XLOOKUP(B715,Cardholders_Reference!A:A,Cardholders_Reference!B:B),","," ")))</f>
        <v>Andries Khumalo</v>
      </c>
      <c r="M715" s="5">
        <f>_xlfn.XLOOKUP(B715,Cardholders_Reference!A:A,Cardholders_Reference!G:G)</f>
        <v>15000</v>
      </c>
      <c r="N715" s="7" t="str">
        <f>_xlfn.XLOOKUP(B715,Cardholders_Reference!A:A,Cardholders_Reference!D:D)</f>
        <v>Standard Bank</v>
      </c>
      <c r="O715" s="7" t="str">
        <f>_xlfn.XLOOKUP(B715,Cardholders_Reference!A:A,Cardholders_Reference!E:E)</f>
        <v>Mastercard</v>
      </c>
      <c r="P715" s="6">
        <f t="shared" si="82"/>
        <v>1.8567333333333332E-2</v>
      </c>
      <c r="Q715">
        <f t="shared" si="77"/>
        <v>0</v>
      </c>
      <c r="R715">
        <f t="shared" si="78"/>
        <v>0</v>
      </c>
      <c r="S715">
        <f>IF(COUNTIFS($B$1:$B$738,B714,$C$1:$C$738,#REF!)&gt;2,1,0)</f>
        <v>0</v>
      </c>
      <c r="T715">
        <f t="shared" si="79"/>
        <v>0</v>
      </c>
      <c r="U715">
        <f t="shared" si="80"/>
        <v>0</v>
      </c>
      <c r="V715">
        <f t="shared" si="81"/>
        <v>0</v>
      </c>
      <c r="W715">
        <f t="shared" si="83"/>
        <v>0</v>
      </c>
      <c r="X715" t="str" cm="1">
        <f t="array" ref="X715">_xlfn.IFS(W715&lt;=1,"Low",W715=2,"Medium",W715&gt;=3,"High")</f>
        <v>Low</v>
      </c>
    </row>
    <row r="716" spans="1:24" x14ac:dyDescent="0.3">
      <c r="A716" t="s">
        <v>1348</v>
      </c>
      <c r="B716" t="s">
        <v>1339</v>
      </c>
      <c r="C716" s="3">
        <v>46121</v>
      </c>
      <c r="D716" s="8" t="s">
        <v>579</v>
      </c>
      <c r="E716" s="7" t="s">
        <v>245</v>
      </c>
      <c r="F716" s="7" t="s">
        <v>48</v>
      </c>
      <c r="G716" s="7" t="s">
        <v>108</v>
      </c>
      <c r="H716" s="4">
        <v>2093.94</v>
      </c>
      <c r="I716" s="7" t="s">
        <v>16</v>
      </c>
      <c r="J716" s="7" t="s">
        <v>17</v>
      </c>
      <c r="L716" t="str">
        <f>PROPER(TRIM(SUBSTITUTE(_xlfn.XLOOKUP(B716,Cardholders_Reference!A:A,Cardholders_Reference!B:B),","," ")))</f>
        <v>Andries Khumalo</v>
      </c>
      <c r="M716" s="5">
        <f>_xlfn.XLOOKUP(B716,Cardholders_Reference!A:A,Cardholders_Reference!G:G)</f>
        <v>15000</v>
      </c>
      <c r="N716" s="7" t="str">
        <f>_xlfn.XLOOKUP(B716,Cardholders_Reference!A:A,Cardholders_Reference!D:D)</f>
        <v>Standard Bank</v>
      </c>
      <c r="O716" s="7" t="str">
        <f>_xlfn.XLOOKUP(B716,Cardholders_Reference!A:A,Cardholders_Reference!E:E)</f>
        <v>Mastercard</v>
      </c>
      <c r="P716" s="6">
        <f t="shared" si="82"/>
        <v>0.139596</v>
      </c>
      <c r="Q716">
        <f t="shared" si="77"/>
        <v>1</v>
      </c>
      <c r="R716">
        <f t="shared" si="78"/>
        <v>0</v>
      </c>
      <c r="S716">
        <f>IF(COUNTIFS($B$1:$B$738,B715,$C$1:$C$738,#REF!)&gt;2,1,0)</f>
        <v>0</v>
      </c>
      <c r="T716">
        <f t="shared" si="79"/>
        <v>0</v>
      </c>
      <c r="U716">
        <f t="shared" si="80"/>
        <v>0</v>
      </c>
      <c r="V716">
        <f t="shared" si="81"/>
        <v>0</v>
      </c>
      <c r="W716">
        <f t="shared" si="83"/>
        <v>1</v>
      </c>
      <c r="X716" t="str" cm="1">
        <f t="array" ref="X716">_xlfn.IFS(W716&lt;=1,"Low",W716=2,"Medium",W716&gt;=3,"High")</f>
        <v>Low</v>
      </c>
    </row>
    <row r="717" spans="1:24" x14ac:dyDescent="0.3">
      <c r="A717" t="s">
        <v>1349</v>
      </c>
      <c r="B717" t="s">
        <v>1339</v>
      </c>
      <c r="C717" s="3">
        <v>45885</v>
      </c>
      <c r="D717" s="8" t="s">
        <v>249</v>
      </c>
      <c r="E717" s="7" t="s">
        <v>77</v>
      </c>
      <c r="F717" s="7" t="s">
        <v>15</v>
      </c>
      <c r="G717" s="7" t="s">
        <v>108</v>
      </c>
      <c r="H717" s="4">
        <v>4382.08</v>
      </c>
      <c r="I717" s="7" t="s">
        <v>26</v>
      </c>
      <c r="J717" s="7" t="s">
        <v>41</v>
      </c>
      <c r="L717" t="str">
        <f>PROPER(TRIM(SUBSTITUTE(_xlfn.XLOOKUP(B717,Cardholders_Reference!A:A,Cardholders_Reference!B:B),","," ")))</f>
        <v>Andries Khumalo</v>
      </c>
      <c r="M717" s="5">
        <f>_xlfn.XLOOKUP(B717,Cardholders_Reference!A:A,Cardholders_Reference!G:G)</f>
        <v>15000</v>
      </c>
      <c r="N717" s="7" t="str">
        <f>_xlfn.XLOOKUP(B717,Cardholders_Reference!A:A,Cardholders_Reference!D:D)</f>
        <v>Standard Bank</v>
      </c>
      <c r="O717" s="7" t="str">
        <f>_xlfn.XLOOKUP(B717,Cardholders_Reference!A:A,Cardholders_Reference!E:E)</f>
        <v>Mastercard</v>
      </c>
      <c r="P717" s="6">
        <f t="shared" si="82"/>
        <v>0.29213866666666666</v>
      </c>
      <c r="Q717">
        <f t="shared" si="77"/>
        <v>0</v>
      </c>
      <c r="R717">
        <f t="shared" si="78"/>
        <v>0</v>
      </c>
      <c r="S717">
        <f>IF(COUNTIFS($B$1:$B$738,B716,$C$1:$C$738,#REF!)&gt;2,1,0)</f>
        <v>0</v>
      </c>
      <c r="T717">
        <f t="shared" si="79"/>
        <v>0</v>
      </c>
      <c r="U717">
        <f t="shared" si="80"/>
        <v>0</v>
      </c>
      <c r="V717">
        <f t="shared" si="81"/>
        <v>1</v>
      </c>
      <c r="W717">
        <f t="shared" si="83"/>
        <v>1</v>
      </c>
      <c r="X717" t="str" cm="1">
        <f t="array" ref="X717">_xlfn.IFS(W717&lt;=1,"Low",W717=2,"Medium",W717&gt;=3,"High")</f>
        <v>Low</v>
      </c>
    </row>
    <row r="718" spans="1:24" x14ac:dyDescent="0.3">
      <c r="A718" t="s">
        <v>1350</v>
      </c>
      <c r="B718" t="s">
        <v>1339</v>
      </c>
      <c r="C718" s="3">
        <v>45881</v>
      </c>
      <c r="D718" s="8" t="s">
        <v>1351</v>
      </c>
      <c r="E718" s="7" t="s">
        <v>14</v>
      </c>
      <c r="F718" s="7" t="s">
        <v>15</v>
      </c>
      <c r="G718" s="7" t="s">
        <v>250</v>
      </c>
      <c r="H718" s="4">
        <v>1496.81</v>
      </c>
      <c r="I718" s="7" t="s">
        <v>95</v>
      </c>
      <c r="J718" s="7" t="s">
        <v>17</v>
      </c>
      <c r="K718" t="s">
        <v>183</v>
      </c>
      <c r="L718" t="str">
        <f>PROPER(TRIM(SUBSTITUTE(_xlfn.XLOOKUP(B718,Cardholders_Reference!A:A,Cardholders_Reference!B:B),","," ")))</f>
        <v>Andries Khumalo</v>
      </c>
      <c r="M718" s="5">
        <f>_xlfn.XLOOKUP(B718,Cardholders_Reference!A:A,Cardholders_Reference!G:G)</f>
        <v>15000</v>
      </c>
      <c r="N718" s="7" t="str">
        <f>_xlfn.XLOOKUP(B718,Cardholders_Reference!A:A,Cardholders_Reference!D:D)</f>
        <v>Standard Bank</v>
      </c>
      <c r="O718" s="7" t="str">
        <f>_xlfn.XLOOKUP(B718,Cardholders_Reference!A:A,Cardholders_Reference!E:E)</f>
        <v>Mastercard</v>
      </c>
      <c r="P718" s="6">
        <f t="shared" si="82"/>
        <v>9.9787333333333325E-2</v>
      </c>
      <c r="Q718">
        <f t="shared" si="77"/>
        <v>0</v>
      </c>
      <c r="R718">
        <f t="shared" si="78"/>
        <v>0</v>
      </c>
      <c r="S718">
        <f>IF(COUNTIFS($B$1:$B$738,B717,$C$1:$C$738,#REF!)&gt;2,1,0)</f>
        <v>0</v>
      </c>
      <c r="T718">
        <f t="shared" si="79"/>
        <v>0</v>
      </c>
      <c r="U718">
        <f t="shared" si="80"/>
        <v>0</v>
      </c>
      <c r="V718">
        <f t="shared" si="81"/>
        <v>1</v>
      </c>
      <c r="W718">
        <f t="shared" si="83"/>
        <v>1</v>
      </c>
      <c r="X718" t="str" cm="1">
        <f t="array" ref="X718">_xlfn.IFS(W718&lt;=1,"Low",W718=2,"Medium",W718&gt;=3,"High")</f>
        <v>Low</v>
      </c>
    </row>
    <row r="719" spans="1:24" x14ac:dyDescent="0.3">
      <c r="A719" t="s">
        <v>1352</v>
      </c>
      <c r="B719" t="s">
        <v>1339</v>
      </c>
      <c r="C719" s="3">
        <v>46146</v>
      </c>
      <c r="D719" s="8" t="s">
        <v>1122</v>
      </c>
      <c r="E719" s="7" t="s">
        <v>129</v>
      </c>
      <c r="F719" s="7" t="s">
        <v>25</v>
      </c>
      <c r="G719" s="7" t="s">
        <v>118</v>
      </c>
      <c r="H719" s="4">
        <v>702.21</v>
      </c>
      <c r="I719" s="7" t="s">
        <v>16</v>
      </c>
      <c r="J719" s="7" t="s">
        <v>17</v>
      </c>
      <c r="L719" t="str">
        <f>PROPER(TRIM(SUBSTITUTE(_xlfn.XLOOKUP(B719,Cardholders_Reference!A:A,Cardholders_Reference!B:B),","," ")))</f>
        <v>Andries Khumalo</v>
      </c>
      <c r="M719" s="5">
        <f>_xlfn.XLOOKUP(B719,Cardholders_Reference!A:A,Cardholders_Reference!G:G)</f>
        <v>15000</v>
      </c>
      <c r="N719" s="7" t="str">
        <f>_xlfn.XLOOKUP(B719,Cardholders_Reference!A:A,Cardholders_Reference!D:D)</f>
        <v>Standard Bank</v>
      </c>
      <c r="O719" s="7" t="str">
        <f>_xlfn.XLOOKUP(B719,Cardholders_Reference!A:A,Cardholders_Reference!E:E)</f>
        <v>Mastercard</v>
      </c>
      <c r="P719" s="6">
        <f t="shared" si="82"/>
        <v>4.6814000000000001E-2</v>
      </c>
      <c r="Q719">
        <f t="shared" si="77"/>
        <v>1</v>
      </c>
      <c r="R719">
        <f t="shared" si="78"/>
        <v>0</v>
      </c>
      <c r="S719">
        <f>IF(COUNTIFS($B$1:$B$738,B718,$C$1:$C$738,#REF!)&gt;2,1,0)</f>
        <v>0</v>
      </c>
      <c r="T719">
        <f t="shared" si="79"/>
        <v>0</v>
      </c>
      <c r="U719">
        <f t="shared" si="80"/>
        <v>0</v>
      </c>
      <c r="V719">
        <f t="shared" si="81"/>
        <v>0</v>
      </c>
      <c r="W719">
        <f t="shared" si="83"/>
        <v>1</v>
      </c>
      <c r="X719" t="str" cm="1">
        <f t="array" ref="X719">_xlfn.IFS(W719&lt;=1,"Low",W719=2,"Medium",W719&gt;=3,"High")</f>
        <v>Low</v>
      </c>
    </row>
    <row r="720" spans="1:24" x14ac:dyDescent="0.3">
      <c r="A720" t="s">
        <v>1353</v>
      </c>
      <c r="B720" t="s">
        <v>1002</v>
      </c>
      <c r="C720" s="3">
        <v>45705</v>
      </c>
      <c r="D720" s="8" t="s">
        <v>1354</v>
      </c>
      <c r="E720" s="7" t="s">
        <v>215</v>
      </c>
      <c r="F720" s="7" t="s">
        <v>15</v>
      </c>
      <c r="G720" s="7" t="s">
        <v>145</v>
      </c>
      <c r="H720" s="4">
        <v>1</v>
      </c>
      <c r="I720" s="7" t="s">
        <v>95</v>
      </c>
      <c r="J720" s="7" t="s">
        <v>41</v>
      </c>
      <c r="L720" t="str">
        <f>PROPER(TRIM(SUBSTITUTE(_xlfn.XLOOKUP(B720,Cardholders_Reference!A:A,Cardholders_Reference!B:B),","," ")))</f>
        <v>Sanele Adams</v>
      </c>
      <c r="M720" s="5">
        <f>_xlfn.XLOOKUP(B720,Cardholders_Reference!A:A,Cardholders_Reference!G:G)</f>
        <v>80000</v>
      </c>
      <c r="N720" s="7" t="str">
        <f>_xlfn.XLOOKUP(B720,Cardholders_Reference!A:A,Cardholders_Reference!D:D)</f>
        <v>Capitec</v>
      </c>
      <c r="O720" s="7" t="str">
        <f>_xlfn.XLOOKUP(B720,Cardholders_Reference!A:A,Cardholders_Reference!E:E)</f>
        <v>Visa</v>
      </c>
      <c r="P720" s="6">
        <f t="shared" si="82"/>
        <v>1.2500000000000001E-5</v>
      </c>
      <c r="Q720">
        <f t="shared" si="77"/>
        <v>1</v>
      </c>
      <c r="R720">
        <f t="shared" si="78"/>
        <v>0</v>
      </c>
      <c r="S720">
        <f>IF(COUNTIFS($B$1:$B$738,B719,$C$1:$C$738,#REF!)&gt;2,1,0)</f>
        <v>0</v>
      </c>
      <c r="T720">
        <f t="shared" si="79"/>
        <v>0</v>
      </c>
      <c r="U720">
        <f t="shared" si="80"/>
        <v>0</v>
      </c>
      <c r="V720">
        <f t="shared" si="81"/>
        <v>1</v>
      </c>
      <c r="W720">
        <f t="shared" si="83"/>
        <v>2</v>
      </c>
      <c r="X720" t="str" cm="1">
        <f t="array" ref="X720">_xlfn.IFS(W720&lt;=1,"Low",W720=2,"Medium",W720&gt;=3,"High")</f>
        <v>Medium</v>
      </c>
    </row>
    <row r="721" spans="1:24" x14ac:dyDescent="0.3">
      <c r="A721" t="s">
        <v>1355</v>
      </c>
      <c r="B721" t="s">
        <v>1002</v>
      </c>
      <c r="C721" s="3">
        <v>45705</v>
      </c>
      <c r="D721" s="8" t="s">
        <v>1356</v>
      </c>
      <c r="E721" s="7" t="s">
        <v>77</v>
      </c>
      <c r="F721" s="7" t="s">
        <v>15</v>
      </c>
      <c r="G721" s="7" t="s">
        <v>49</v>
      </c>
      <c r="H721" s="4">
        <v>1</v>
      </c>
      <c r="I721" s="7" t="s">
        <v>95</v>
      </c>
      <c r="J721" s="7" t="s">
        <v>17</v>
      </c>
      <c r="L721" t="str">
        <f>PROPER(TRIM(SUBSTITUTE(_xlfn.XLOOKUP(B721,Cardholders_Reference!A:A,Cardholders_Reference!B:B),","," ")))</f>
        <v>Sanele Adams</v>
      </c>
      <c r="M721" s="5">
        <f>_xlfn.XLOOKUP(B721,Cardholders_Reference!A:A,Cardholders_Reference!G:G)</f>
        <v>80000</v>
      </c>
      <c r="N721" s="7" t="str">
        <f>_xlfn.XLOOKUP(B721,Cardholders_Reference!A:A,Cardholders_Reference!D:D)</f>
        <v>Capitec</v>
      </c>
      <c r="O721" s="7" t="str">
        <f>_xlfn.XLOOKUP(B721,Cardholders_Reference!A:A,Cardholders_Reference!E:E)</f>
        <v>Visa</v>
      </c>
      <c r="P721" s="6">
        <f t="shared" si="82"/>
        <v>1.2500000000000001E-5</v>
      </c>
      <c r="Q721">
        <f t="shared" si="77"/>
        <v>1</v>
      </c>
      <c r="R721">
        <f t="shared" si="78"/>
        <v>0</v>
      </c>
      <c r="S721">
        <f>IF(COUNTIFS($B$1:$B$738,B720,$C$1:$C$738,#REF!)&gt;2,1,0)</f>
        <v>0</v>
      </c>
      <c r="T721">
        <f t="shared" si="79"/>
        <v>0</v>
      </c>
      <c r="U721">
        <f t="shared" si="80"/>
        <v>0</v>
      </c>
      <c r="V721">
        <f t="shared" si="81"/>
        <v>1</v>
      </c>
      <c r="W721">
        <f t="shared" si="83"/>
        <v>2</v>
      </c>
      <c r="X721" t="str" cm="1">
        <f t="array" ref="X721">_xlfn.IFS(W721&lt;=1,"Low",W721=2,"Medium",W721&gt;=3,"High")</f>
        <v>Medium</v>
      </c>
    </row>
    <row r="722" spans="1:24" x14ac:dyDescent="0.3">
      <c r="A722" t="s">
        <v>1357</v>
      </c>
      <c r="B722" t="s">
        <v>1002</v>
      </c>
      <c r="C722" s="3">
        <v>45705</v>
      </c>
      <c r="D722" s="8" t="s">
        <v>1358</v>
      </c>
      <c r="E722" s="7" t="s">
        <v>77</v>
      </c>
      <c r="F722" s="7" t="s">
        <v>15</v>
      </c>
      <c r="G722" s="7" t="s">
        <v>49</v>
      </c>
      <c r="H722" s="4">
        <v>5</v>
      </c>
      <c r="I722" s="7" t="s">
        <v>95</v>
      </c>
      <c r="J722" s="7" t="s">
        <v>17</v>
      </c>
      <c r="L722" t="str">
        <f>PROPER(TRIM(SUBSTITUTE(_xlfn.XLOOKUP(B722,Cardholders_Reference!A:A,Cardholders_Reference!B:B),","," ")))</f>
        <v>Sanele Adams</v>
      </c>
      <c r="M722" s="5">
        <f>_xlfn.XLOOKUP(B722,Cardholders_Reference!A:A,Cardholders_Reference!G:G)</f>
        <v>80000</v>
      </c>
      <c r="N722" s="7" t="str">
        <f>_xlfn.XLOOKUP(B722,Cardholders_Reference!A:A,Cardholders_Reference!D:D)</f>
        <v>Capitec</v>
      </c>
      <c r="O722" s="7" t="str">
        <f>_xlfn.XLOOKUP(B722,Cardholders_Reference!A:A,Cardholders_Reference!E:E)</f>
        <v>Visa</v>
      </c>
      <c r="P722" s="6">
        <f t="shared" si="82"/>
        <v>6.2500000000000001E-5</v>
      </c>
      <c r="Q722">
        <f t="shared" si="77"/>
        <v>0</v>
      </c>
      <c r="R722">
        <f t="shared" si="78"/>
        <v>0</v>
      </c>
      <c r="S722">
        <f>IF(COUNTIFS($B$1:$B$738,B721,$C$1:$C$738,#REF!)&gt;2,1,0)</f>
        <v>0</v>
      </c>
      <c r="T722">
        <f t="shared" si="79"/>
        <v>0</v>
      </c>
      <c r="U722">
        <f t="shared" si="80"/>
        <v>0</v>
      </c>
      <c r="V722">
        <f t="shared" si="81"/>
        <v>1</v>
      </c>
      <c r="W722">
        <f t="shared" si="83"/>
        <v>1</v>
      </c>
      <c r="X722" t="str" cm="1">
        <f t="array" ref="X722">_xlfn.IFS(W722&lt;=1,"Low",W722=2,"Medium",W722&gt;=3,"High")</f>
        <v>Low</v>
      </c>
    </row>
    <row r="723" spans="1:24" x14ac:dyDescent="0.3">
      <c r="A723" t="s">
        <v>1359</v>
      </c>
      <c r="B723" t="s">
        <v>1002</v>
      </c>
      <c r="C723" s="3">
        <v>45705</v>
      </c>
      <c r="D723" s="8" t="s">
        <v>1360</v>
      </c>
      <c r="E723" s="7" t="s">
        <v>215</v>
      </c>
      <c r="F723" s="7" t="s">
        <v>15</v>
      </c>
      <c r="G723" s="7" t="s">
        <v>49</v>
      </c>
      <c r="H723" s="4">
        <v>1</v>
      </c>
      <c r="I723" s="7" t="s">
        <v>95</v>
      </c>
      <c r="J723" s="7" t="s">
        <v>41</v>
      </c>
      <c r="L723" t="str">
        <f>PROPER(TRIM(SUBSTITUTE(_xlfn.XLOOKUP(B723,Cardholders_Reference!A:A,Cardholders_Reference!B:B),","," ")))</f>
        <v>Sanele Adams</v>
      </c>
      <c r="M723" s="5">
        <f>_xlfn.XLOOKUP(B723,Cardholders_Reference!A:A,Cardholders_Reference!G:G)</f>
        <v>80000</v>
      </c>
      <c r="N723" s="7" t="str">
        <f>_xlfn.XLOOKUP(B723,Cardholders_Reference!A:A,Cardholders_Reference!D:D)</f>
        <v>Capitec</v>
      </c>
      <c r="O723" s="7" t="str">
        <f>_xlfn.XLOOKUP(B723,Cardholders_Reference!A:A,Cardholders_Reference!E:E)</f>
        <v>Visa</v>
      </c>
      <c r="P723" s="6">
        <f t="shared" si="82"/>
        <v>1.2500000000000001E-5</v>
      </c>
      <c r="Q723">
        <f t="shared" si="77"/>
        <v>0</v>
      </c>
      <c r="R723">
        <f t="shared" si="78"/>
        <v>0</v>
      </c>
      <c r="S723">
        <f>IF(COUNTIFS($B$1:$B$738,B722,$C$1:$C$738,#REF!)&gt;2,1,0)</f>
        <v>0</v>
      </c>
      <c r="T723">
        <f t="shared" si="79"/>
        <v>0</v>
      </c>
      <c r="U723">
        <f t="shared" si="80"/>
        <v>0</v>
      </c>
      <c r="V723">
        <f t="shared" si="81"/>
        <v>1</v>
      </c>
      <c r="W723">
        <f t="shared" si="83"/>
        <v>1</v>
      </c>
      <c r="X723" t="str" cm="1">
        <f t="array" ref="X723">_xlfn.IFS(W723&lt;=1,"Low",W723=2,"Medium",W723&gt;=3,"High")</f>
        <v>Low</v>
      </c>
    </row>
    <row r="724" spans="1:24" x14ac:dyDescent="0.3">
      <c r="A724" t="s">
        <v>1361</v>
      </c>
      <c r="B724" t="s">
        <v>1002</v>
      </c>
      <c r="C724" s="3">
        <v>45705</v>
      </c>
      <c r="D724" s="8" t="s">
        <v>1362</v>
      </c>
      <c r="E724" s="7" t="s">
        <v>242</v>
      </c>
      <c r="F724" s="7" t="s">
        <v>15</v>
      </c>
      <c r="G724" s="7" t="s">
        <v>145</v>
      </c>
      <c r="H724" s="4">
        <v>10</v>
      </c>
      <c r="I724" s="7" t="s">
        <v>95</v>
      </c>
      <c r="J724" s="7" t="s">
        <v>41</v>
      </c>
      <c r="L724" t="str">
        <f>PROPER(TRIM(SUBSTITUTE(_xlfn.XLOOKUP(B724,Cardholders_Reference!A:A,Cardholders_Reference!B:B),","," ")))</f>
        <v>Sanele Adams</v>
      </c>
      <c r="M724" s="5">
        <f>_xlfn.XLOOKUP(B724,Cardholders_Reference!A:A,Cardholders_Reference!G:G)</f>
        <v>80000</v>
      </c>
      <c r="N724" s="7" t="str">
        <f>_xlfn.XLOOKUP(B724,Cardholders_Reference!A:A,Cardholders_Reference!D:D)</f>
        <v>Capitec</v>
      </c>
      <c r="O724" s="7" t="str">
        <f>_xlfn.XLOOKUP(B724,Cardholders_Reference!A:A,Cardholders_Reference!E:E)</f>
        <v>Visa</v>
      </c>
      <c r="P724" s="6">
        <f t="shared" si="82"/>
        <v>1.25E-4</v>
      </c>
      <c r="Q724">
        <f t="shared" si="77"/>
        <v>0</v>
      </c>
      <c r="R724">
        <f t="shared" si="78"/>
        <v>0</v>
      </c>
      <c r="S724">
        <f>IF(COUNTIFS($B$1:$B$738,B723,$C$1:$C$738,#REF!)&gt;2,1,0)</f>
        <v>0</v>
      </c>
      <c r="T724">
        <f t="shared" si="79"/>
        <v>0</v>
      </c>
      <c r="U724">
        <f t="shared" si="80"/>
        <v>0</v>
      </c>
      <c r="V724">
        <f t="shared" si="81"/>
        <v>1</v>
      </c>
      <c r="W724">
        <f t="shared" si="83"/>
        <v>1</v>
      </c>
      <c r="X724" t="str" cm="1">
        <f t="array" ref="X724">_xlfn.IFS(W724&lt;=1,"Low",W724=2,"Medium",W724&gt;=3,"High")</f>
        <v>Low</v>
      </c>
    </row>
    <row r="725" spans="1:24" x14ac:dyDescent="0.3">
      <c r="A725" t="s">
        <v>1363</v>
      </c>
      <c r="B725" t="s">
        <v>257</v>
      </c>
      <c r="C725" s="3">
        <v>46024</v>
      </c>
      <c r="D725" s="8" t="s">
        <v>1364</v>
      </c>
      <c r="E725" s="7" t="s">
        <v>114</v>
      </c>
      <c r="F725" s="7" t="s">
        <v>81</v>
      </c>
      <c r="G725" s="7" t="s">
        <v>22</v>
      </c>
      <c r="H725" s="4">
        <v>19635.990000000002</v>
      </c>
      <c r="I725" s="7" t="s">
        <v>26</v>
      </c>
      <c r="J725" s="7" t="s">
        <v>17</v>
      </c>
      <c r="L725" t="str">
        <f>PROPER(TRIM(SUBSTITUTE(_xlfn.XLOOKUP(B725,Cardholders_Reference!A:A,Cardholders_Reference!B:B),","," ")))</f>
        <v>Bongani Pretorius</v>
      </c>
      <c r="M725" s="5">
        <f>_xlfn.XLOOKUP(B725,Cardholders_Reference!A:A,Cardholders_Reference!G:G)</f>
        <v>40000</v>
      </c>
      <c r="N725" s="7" t="str">
        <f>_xlfn.XLOOKUP(B725,Cardholders_Reference!A:A,Cardholders_Reference!D:D)</f>
        <v>Nedbank</v>
      </c>
      <c r="O725" s="7" t="str">
        <f>_xlfn.XLOOKUP(B725,Cardholders_Reference!A:A,Cardholders_Reference!E:E)</f>
        <v>Visa</v>
      </c>
      <c r="P725" s="6">
        <f t="shared" si="82"/>
        <v>0.49089975000000002</v>
      </c>
      <c r="Q725">
        <f t="shared" si="77"/>
        <v>1</v>
      </c>
      <c r="R725">
        <f t="shared" si="78"/>
        <v>1</v>
      </c>
      <c r="S725">
        <f>IF(COUNTIFS($B$1:$B$738,B724,$C$1:$C$738,#REF!)&gt;2,1,0)</f>
        <v>0</v>
      </c>
      <c r="T725">
        <f t="shared" si="79"/>
        <v>0</v>
      </c>
      <c r="U725">
        <f t="shared" si="80"/>
        <v>0</v>
      </c>
      <c r="V725">
        <f t="shared" si="81"/>
        <v>1</v>
      </c>
      <c r="W725">
        <f t="shared" si="83"/>
        <v>3</v>
      </c>
      <c r="X725" t="str" cm="1">
        <f t="array" ref="X725">_xlfn.IFS(W725&lt;=1,"Low",W725=2,"Medium",W725&gt;=3,"High")</f>
        <v>High</v>
      </c>
    </row>
    <row r="726" spans="1:24" x14ac:dyDescent="0.3">
      <c r="A726" t="s">
        <v>1365</v>
      </c>
      <c r="B726" t="s">
        <v>257</v>
      </c>
      <c r="C726" s="3">
        <v>46024</v>
      </c>
      <c r="D726" s="8" t="s">
        <v>329</v>
      </c>
      <c r="E726" s="7" t="s">
        <v>140</v>
      </c>
      <c r="F726" s="7" t="s">
        <v>53</v>
      </c>
      <c r="G726" s="7" t="s">
        <v>177</v>
      </c>
      <c r="H726" s="4">
        <v>598.46</v>
      </c>
      <c r="I726" s="7" t="s">
        <v>16</v>
      </c>
      <c r="J726" s="7" t="s">
        <v>17</v>
      </c>
      <c r="L726" t="str">
        <f>PROPER(TRIM(SUBSTITUTE(_xlfn.XLOOKUP(B726,Cardholders_Reference!A:A,Cardholders_Reference!B:B),","," ")))</f>
        <v>Bongani Pretorius</v>
      </c>
      <c r="M726" s="5">
        <f>_xlfn.XLOOKUP(B726,Cardholders_Reference!A:A,Cardholders_Reference!G:G)</f>
        <v>40000</v>
      </c>
      <c r="N726" s="7" t="str">
        <f>_xlfn.XLOOKUP(B726,Cardholders_Reference!A:A,Cardholders_Reference!D:D)</f>
        <v>Nedbank</v>
      </c>
      <c r="O726" s="7" t="str">
        <f>_xlfn.XLOOKUP(B726,Cardholders_Reference!A:A,Cardholders_Reference!E:E)</f>
        <v>Visa</v>
      </c>
      <c r="P726" s="6">
        <f t="shared" si="82"/>
        <v>1.4961500000000001E-2</v>
      </c>
      <c r="Q726">
        <f t="shared" si="77"/>
        <v>1</v>
      </c>
      <c r="R726">
        <f t="shared" si="78"/>
        <v>0</v>
      </c>
      <c r="S726">
        <f>IF(COUNTIFS($B$1:$B$738,B725,$C$1:$C$738,#REF!)&gt;2,1,0)</f>
        <v>0</v>
      </c>
      <c r="T726">
        <f t="shared" si="79"/>
        <v>1</v>
      </c>
      <c r="U726">
        <f t="shared" si="80"/>
        <v>0</v>
      </c>
      <c r="V726">
        <f t="shared" si="81"/>
        <v>0</v>
      </c>
      <c r="W726">
        <f t="shared" si="83"/>
        <v>2</v>
      </c>
      <c r="X726" t="str" cm="1">
        <f t="array" ref="X726">_xlfn.IFS(W726&lt;=1,"Low",W726=2,"Medium",W726&gt;=3,"High")</f>
        <v>Medium</v>
      </c>
    </row>
    <row r="727" spans="1:24" x14ac:dyDescent="0.3">
      <c r="A727" t="s">
        <v>1366</v>
      </c>
      <c r="B727" t="s">
        <v>1055</v>
      </c>
      <c r="C727" s="3">
        <v>46192</v>
      </c>
      <c r="D727" s="8" t="s">
        <v>1367</v>
      </c>
      <c r="E727" s="7" t="s">
        <v>77</v>
      </c>
      <c r="F727" s="7" t="s">
        <v>15</v>
      </c>
      <c r="G727" s="7" t="s">
        <v>22</v>
      </c>
      <c r="H727" s="4">
        <v>22447.72</v>
      </c>
      <c r="I727" s="7" t="s">
        <v>95</v>
      </c>
      <c r="J727" s="7" t="s">
        <v>17</v>
      </c>
      <c r="L727" t="str">
        <f>PROPER(TRIM(SUBSTITUTE(_xlfn.XLOOKUP(B727,Cardholders_Reference!A:A,Cardholders_Reference!B:B),","," ")))</f>
        <v>Johan Naidoo</v>
      </c>
      <c r="M727" s="5">
        <f>_xlfn.XLOOKUP(B727,Cardholders_Reference!A:A,Cardholders_Reference!G:G)</f>
        <v>20000</v>
      </c>
      <c r="N727" s="7" t="str">
        <f>_xlfn.XLOOKUP(B727,Cardholders_Reference!A:A,Cardholders_Reference!D:D)</f>
        <v>ABSA</v>
      </c>
      <c r="O727" s="7" t="str">
        <f>_xlfn.XLOOKUP(B727,Cardholders_Reference!A:A,Cardholders_Reference!E:E)</f>
        <v>Mastercard</v>
      </c>
      <c r="P727" s="6">
        <f t="shared" si="82"/>
        <v>1.1223860000000001</v>
      </c>
      <c r="Q727">
        <f t="shared" si="77"/>
        <v>0</v>
      </c>
      <c r="R727">
        <f t="shared" si="78"/>
        <v>1</v>
      </c>
      <c r="S727">
        <f>IF(COUNTIFS($B$1:$B$738,B726,$C$1:$C$738,#REF!)&gt;2,1,0)</f>
        <v>0</v>
      </c>
      <c r="T727">
        <f t="shared" si="79"/>
        <v>0</v>
      </c>
      <c r="U727">
        <f t="shared" si="80"/>
        <v>0</v>
      </c>
      <c r="V727">
        <f t="shared" si="81"/>
        <v>1</v>
      </c>
      <c r="W727">
        <f t="shared" si="83"/>
        <v>2</v>
      </c>
      <c r="X727" t="str" cm="1">
        <f t="array" ref="X727">_xlfn.IFS(W727&lt;=1,"Low",W727=2,"Medium",W727&gt;=3,"High")</f>
        <v>Medium</v>
      </c>
    </row>
    <row r="728" spans="1:24" x14ac:dyDescent="0.3">
      <c r="A728" t="s">
        <v>1368</v>
      </c>
      <c r="B728" t="s">
        <v>699</v>
      </c>
      <c r="C728" s="3">
        <v>46072</v>
      </c>
      <c r="D728" s="8" t="s">
        <v>34</v>
      </c>
      <c r="E728" s="7" t="s">
        <v>156</v>
      </c>
      <c r="F728" s="7" t="s">
        <v>36</v>
      </c>
      <c r="G728" s="7" t="s">
        <v>22</v>
      </c>
      <c r="H728" s="4">
        <v>2472.23</v>
      </c>
      <c r="I728" s="7" t="s">
        <v>95</v>
      </c>
      <c r="J728" s="7" t="s">
        <v>17</v>
      </c>
      <c r="L728" t="str">
        <f>PROPER(TRIM(SUBSTITUTE(_xlfn.XLOOKUP(B728,Cardholders_Reference!A:A,Cardholders_Reference!B:B),","," ")))</f>
        <v>Sipho Naidoo</v>
      </c>
      <c r="M728" s="5">
        <f>_xlfn.XLOOKUP(B728,Cardholders_Reference!A:A,Cardholders_Reference!G:G)</f>
        <v>15000</v>
      </c>
      <c r="N728" s="7" t="str">
        <f>_xlfn.XLOOKUP(B728,Cardholders_Reference!A:A,Cardholders_Reference!D:D)</f>
        <v>FNB</v>
      </c>
      <c r="O728" s="7" t="str">
        <f>_xlfn.XLOOKUP(B728,Cardholders_Reference!A:A,Cardholders_Reference!E:E)</f>
        <v>Mastercard</v>
      </c>
      <c r="P728" s="6">
        <f t="shared" si="82"/>
        <v>0.16481533333333334</v>
      </c>
      <c r="Q728">
        <f t="shared" si="77"/>
        <v>0</v>
      </c>
      <c r="R728">
        <f t="shared" si="78"/>
        <v>0</v>
      </c>
      <c r="S728">
        <f>IF(COUNTIFS($B$1:$B$738,B727,$C$1:$C$738,#REF!)&gt;2,1,0)</f>
        <v>0</v>
      </c>
      <c r="T728">
        <f t="shared" si="79"/>
        <v>1</v>
      </c>
      <c r="U728">
        <f t="shared" si="80"/>
        <v>0</v>
      </c>
      <c r="V728">
        <f t="shared" si="81"/>
        <v>1</v>
      </c>
      <c r="W728">
        <f t="shared" si="83"/>
        <v>2</v>
      </c>
      <c r="X728" t="str" cm="1">
        <f t="array" ref="X728">_xlfn.IFS(W728&lt;=1,"Low",W728=2,"Medium",W728&gt;=3,"High")</f>
        <v>Medium</v>
      </c>
    </row>
    <row r="729" spans="1:24" x14ac:dyDescent="0.3">
      <c r="A729" t="s">
        <v>1369</v>
      </c>
      <c r="B729" t="s">
        <v>699</v>
      </c>
      <c r="C729" s="3">
        <v>46072</v>
      </c>
      <c r="D729" s="8" t="s">
        <v>1370</v>
      </c>
      <c r="E729" s="7" t="s">
        <v>60</v>
      </c>
      <c r="F729" s="7" t="s">
        <v>61</v>
      </c>
      <c r="G729" s="7" t="s">
        <v>22</v>
      </c>
      <c r="H729" s="4">
        <v>5009.46</v>
      </c>
      <c r="I729" s="7" t="s">
        <v>95</v>
      </c>
      <c r="J729" s="7" t="s">
        <v>17</v>
      </c>
      <c r="L729" t="str">
        <f>PROPER(TRIM(SUBSTITUTE(_xlfn.XLOOKUP(B729,Cardholders_Reference!A:A,Cardholders_Reference!B:B),","," ")))</f>
        <v>Sipho Naidoo</v>
      </c>
      <c r="M729" s="5">
        <f>_xlfn.XLOOKUP(B729,Cardholders_Reference!A:A,Cardholders_Reference!G:G)</f>
        <v>15000</v>
      </c>
      <c r="N729" s="7" t="str">
        <f>_xlfn.XLOOKUP(B729,Cardholders_Reference!A:A,Cardholders_Reference!D:D)</f>
        <v>FNB</v>
      </c>
      <c r="O729" s="7" t="str">
        <f>_xlfn.XLOOKUP(B729,Cardholders_Reference!A:A,Cardholders_Reference!E:E)</f>
        <v>Mastercard</v>
      </c>
      <c r="P729" s="6">
        <f t="shared" si="82"/>
        <v>0.33396399999999998</v>
      </c>
      <c r="Q729">
        <f t="shared" si="77"/>
        <v>0</v>
      </c>
      <c r="R729">
        <f t="shared" si="78"/>
        <v>0</v>
      </c>
      <c r="S729">
        <f>IF(COUNTIFS($B$1:$B$738,B728,$C$1:$C$738,#REF!)&gt;2,1,0)</f>
        <v>0</v>
      </c>
      <c r="T729">
        <f t="shared" si="79"/>
        <v>0</v>
      </c>
      <c r="U729">
        <f t="shared" si="80"/>
        <v>0</v>
      </c>
      <c r="V729">
        <f t="shared" si="81"/>
        <v>1</v>
      </c>
      <c r="W729">
        <f t="shared" si="83"/>
        <v>1</v>
      </c>
      <c r="X729" t="str" cm="1">
        <f t="array" ref="X729">_xlfn.IFS(W729&lt;=1,"Low",W729=2,"Medium",W729&gt;=3,"High")</f>
        <v>Low</v>
      </c>
    </row>
    <row r="730" spans="1:24" x14ac:dyDescent="0.3">
      <c r="A730" t="s">
        <v>1371</v>
      </c>
      <c r="B730" t="s">
        <v>699</v>
      </c>
      <c r="C730" s="3">
        <v>46072</v>
      </c>
      <c r="D730" s="8" t="s">
        <v>147</v>
      </c>
      <c r="E730" s="7" t="s">
        <v>132</v>
      </c>
      <c r="F730" s="7" t="s">
        <v>25</v>
      </c>
      <c r="G730" s="7" t="s">
        <v>22</v>
      </c>
      <c r="H730" s="4">
        <v>4847.18</v>
      </c>
      <c r="I730" s="7" t="s">
        <v>95</v>
      </c>
      <c r="J730" s="7" t="s">
        <v>17</v>
      </c>
      <c r="L730" t="str">
        <f>PROPER(TRIM(SUBSTITUTE(_xlfn.XLOOKUP(B730,Cardholders_Reference!A:A,Cardholders_Reference!B:B),","," ")))</f>
        <v>Sipho Naidoo</v>
      </c>
      <c r="M730" s="5">
        <f>_xlfn.XLOOKUP(B730,Cardholders_Reference!A:A,Cardholders_Reference!G:G)</f>
        <v>15000</v>
      </c>
      <c r="N730" s="7" t="str">
        <f>_xlfn.XLOOKUP(B730,Cardholders_Reference!A:A,Cardholders_Reference!D:D)</f>
        <v>FNB</v>
      </c>
      <c r="O730" s="7" t="str">
        <f>_xlfn.XLOOKUP(B730,Cardholders_Reference!A:A,Cardholders_Reference!E:E)</f>
        <v>Mastercard</v>
      </c>
      <c r="P730" s="6">
        <f t="shared" si="82"/>
        <v>0.32314533333333334</v>
      </c>
      <c r="Q730">
        <f t="shared" si="77"/>
        <v>0</v>
      </c>
      <c r="R730">
        <f t="shared" si="78"/>
        <v>0</v>
      </c>
      <c r="S730">
        <f>IF(COUNTIFS($B$1:$B$738,B729,$C$1:$C$738,#REF!)&gt;2,1,0)</f>
        <v>0</v>
      </c>
      <c r="T730">
        <f t="shared" si="79"/>
        <v>0</v>
      </c>
      <c r="U730">
        <f t="shared" si="80"/>
        <v>0</v>
      </c>
      <c r="V730">
        <f t="shared" si="81"/>
        <v>1</v>
      </c>
      <c r="W730">
        <f t="shared" si="83"/>
        <v>1</v>
      </c>
      <c r="X730" t="str" cm="1">
        <f t="array" ref="X730">_xlfn.IFS(W730&lt;=1,"Low",W730=2,"Medium",W730&gt;=3,"High")</f>
        <v>Low</v>
      </c>
    </row>
    <row r="731" spans="1:24" x14ac:dyDescent="0.3">
      <c r="A731" t="s">
        <v>1372</v>
      </c>
      <c r="B731" t="s">
        <v>699</v>
      </c>
      <c r="C731" s="3">
        <v>46072</v>
      </c>
      <c r="D731" s="8" t="s">
        <v>634</v>
      </c>
      <c r="E731" s="7" t="s">
        <v>90</v>
      </c>
      <c r="F731" s="7" t="s">
        <v>91</v>
      </c>
      <c r="G731" s="7" t="s">
        <v>22</v>
      </c>
      <c r="H731" s="4">
        <v>5626.33</v>
      </c>
      <c r="I731" s="7" t="s">
        <v>95</v>
      </c>
      <c r="J731" s="7" t="s">
        <v>41</v>
      </c>
      <c r="L731" t="str">
        <f>PROPER(TRIM(SUBSTITUTE(_xlfn.XLOOKUP(B731,Cardholders_Reference!A:A,Cardholders_Reference!B:B),","," ")))</f>
        <v>Sipho Naidoo</v>
      </c>
      <c r="M731" s="5">
        <f>_xlfn.XLOOKUP(B731,Cardholders_Reference!A:A,Cardholders_Reference!G:G)</f>
        <v>15000</v>
      </c>
      <c r="N731" s="7" t="str">
        <f>_xlfn.XLOOKUP(B731,Cardholders_Reference!A:A,Cardholders_Reference!D:D)</f>
        <v>FNB</v>
      </c>
      <c r="O731" s="7" t="str">
        <f>_xlfn.XLOOKUP(B731,Cardholders_Reference!A:A,Cardholders_Reference!E:E)</f>
        <v>Mastercard</v>
      </c>
      <c r="P731" s="6">
        <f t="shared" si="82"/>
        <v>0.37508866666666668</v>
      </c>
      <c r="Q731">
        <f t="shared" si="77"/>
        <v>0</v>
      </c>
      <c r="R731">
        <f t="shared" si="78"/>
        <v>0</v>
      </c>
      <c r="S731">
        <f>IF(COUNTIFS($B$1:$B$738,B730,$C$1:$C$738,#REF!)&gt;2,1,0)</f>
        <v>0</v>
      </c>
      <c r="T731">
        <f t="shared" si="79"/>
        <v>0</v>
      </c>
      <c r="U731">
        <f t="shared" si="80"/>
        <v>0</v>
      </c>
      <c r="V731">
        <f t="shared" si="81"/>
        <v>1</v>
      </c>
      <c r="W731">
        <f t="shared" si="83"/>
        <v>1</v>
      </c>
      <c r="X731" t="str" cm="1">
        <f t="array" ref="X731">_xlfn.IFS(W731&lt;=1,"Low",W731=2,"Medium",W731&gt;=3,"High")</f>
        <v>Low</v>
      </c>
    </row>
    <row r="732" spans="1:24" x14ac:dyDescent="0.3">
      <c r="A732" t="s">
        <v>1373</v>
      </c>
      <c r="B732" t="s">
        <v>699</v>
      </c>
      <c r="C732" s="3">
        <v>46570</v>
      </c>
      <c r="D732" s="8" t="s">
        <v>1374</v>
      </c>
      <c r="E732" s="7" t="s">
        <v>180</v>
      </c>
      <c r="F732" s="7" t="s">
        <v>21</v>
      </c>
      <c r="G732" s="7" t="s">
        <v>22</v>
      </c>
      <c r="H732" s="4">
        <v>4109.6899999999996</v>
      </c>
      <c r="I732" s="7" t="s">
        <v>26</v>
      </c>
      <c r="J732" s="7" t="s">
        <v>17</v>
      </c>
      <c r="L732" t="str">
        <f>PROPER(TRIM(SUBSTITUTE(_xlfn.XLOOKUP(B732,Cardholders_Reference!A:A,Cardholders_Reference!B:B),","," ")))</f>
        <v>Sipho Naidoo</v>
      </c>
      <c r="M732" s="5">
        <f>_xlfn.XLOOKUP(B732,Cardholders_Reference!A:A,Cardholders_Reference!G:G)</f>
        <v>15000</v>
      </c>
      <c r="N732" s="7" t="str">
        <f>_xlfn.XLOOKUP(B732,Cardholders_Reference!A:A,Cardholders_Reference!D:D)</f>
        <v>FNB</v>
      </c>
      <c r="O732" s="7" t="str">
        <f>_xlfn.XLOOKUP(B732,Cardholders_Reference!A:A,Cardholders_Reference!E:E)</f>
        <v>Mastercard</v>
      </c>
      <c r="P732" s="6">
        <f t="shared" si="82"/>
        <v>0.2739793333333333</v>
      </c>
      <c r="Q732">
        <f t="shared" si="77"/>
        <v>0</v>
      </c>
      <c r="R732">
        <f t="shared" si="78"/>
        <v>0</v>
      </c>
      <c r="S732">
        <f>IF(COUNTIFS($B$1:$B$738,B731,$C$1:$C$738,#REF!)&gt;2,1,0)</f>
        <v>0</v>
      </c>
      <c r="T732">
        <f t="shared" si="79"/>
        <v>0</v>
      </c>
      <c r="U732">
        <f t="shared" si="80"/>
        <v>0</v>
      </c>
      <c r="V732">
        <f t="shared" si="81"/>
        <v>1</v>
      </c>
      <c r="W732">
        <f t="shared" si="83"/>
        <v>1</v>
      </c>
      <c r="X732" t="str" cm="1">
        <f t="array" ref="X732">_xlfn.IFS(W732&lt;=1,"Low",W732=2,"Medium",W732&gt;=3,"High")</f>
        <v>Low</v>
      </c>
    </row>
    <row r="733" spans="1:24" x14ac:dyDescent="0.3">
      <c r="A733" t="s">
        <v>1375</v>
      </c>
      <c r="B733" t="s">
        <v>957</v>
      </c>
      <c r="C733" s="3">
        <v>45878</v>
      </c>
      <c r="D733" s="8" t="s">
        <v>1376</v>
      </c>
      <c r="E733" s="7" t="s">
        <v>230</v>
      </c>
      <c r="F733" s="7" t="s">
        <v>81</v>
      </c>
      <c r="G733" s="7" t="s">
        <v>177</v>
      </c>
      <c r="H733" s="4">
        <v>8872.84</v>
      </c>
      <c r="I733" s="7" t="s">
        <v>26</v>
      </c>
      <c r="J733" s="7" t="s">
        <v>17</v>
      </c>
      <c r="L733" t="str">
        <f>PROPER(TRIM(SUBSTITUTE(_xlfn.XLOOKUP(B733,Cardholders_Reference!A:A,Cardholders_Reference!B:B),","," ")))</f>
        <v>Rachel Naidoo</v>
      </c>
      <c r="M733" s="5">
        <f>_xlfn.XLOOKUP(B733,Cardholders_Reference!A:A,Cardholders_Reference!G:G)</f>
        <v>15000</v>
      </c>
      <c r="N733" s="7" t="str">
        <f>_xlfn.XLOOKUP(B733,Cardholders_Reference!A:A,Cardholders_Reference!D:D)</f>
        <v>ABSA</v>
      </c>
      <c r="O733" s="7" t="str">
        <f>_xlfn.XLOOKUP(B733,Cardholders_Reference!A:A,Cardholders_Reference!E:E)</f>
        <v>Visa</v>
      </c>
      <c r="P733" s="6">
        <f t="shared" si="82"/>
        <v>0.59152266666666664</v>
      </c>
      <c r="Q733">
        <f t="shared" si="77"/>
        <v>0</v>
      </c>
      <c r="R733">
        <f t="shared" si="78"/>
        <v>1</v>
      </c>
      <c r="S733">
        <f>IF(COUNTIFS($B$1:$B$738,B732,$C$1:$C$738,#REF!)&gt;2,1,0)</f>
        <v>0</v>
      </c>
      <c r="T733">
        <f t="shared" si="79"/>
        <v>0</v>
      </c>
      <c r="U733">
        <f t="shared" si="80"/>
        <v>1</v>
      </c>
      <c r="V733">
        <f t="shared" si="81"/>
        <v>1</v>
      </c>
      <c r="W733">
        <f t="shared" si="83"/>
        <v>3</v>
      </c>
      <c r="X733" t="str" cm="1">
        <f t="array" ref="X733">_xlfn.IFS(W733&lt;=1,"Low",W733=2,"Medium",W733&gt;=3,"High")</f>
        <v>High</v>
      </c>
    </row>
    <row r="734" spans="1:24" x14ac:dyDescent="0.3">
      <c r="A734" t="s">
        <v>1377</v>
      </c>
      <c r="B734" t="s">
        <v>957</v>
      </c>
      <c r="C734" s="3">
        <v>45878</v>
      </c>
      <c r="D734" s="8" t="s">
        <v>1052</v>
      </c>
      <c r="E734" s="7" t="s">
        <v>97</v>
      </c>
      <c r="F734" s="7" t="s">
        <v>53</v>
      </c>
      <c r="G734" s="7" t="s">
        <v>250</v>
      </c>
      <c r="H734" s="4">
        <v>579.84</v>
      </c>
      <c r="I734" s="7" t="s">
        <v>16</v>
      </c>
      <c r="J734" s="7" t="s">
        <v>17</v>
      </c>
      <c r="L734" t="str">
        <f>PROPER(TRIM(SUBSTITUTE(_xlfn.XLOOKUP(B734,Cardholders_Reference!A:A,Cardholders_Reference!B:B),","," ")))</f>
        <v>Rachel Naidoo</v>
      </c>
      <c r="M734" s="5">
        <f>_xlfn.XLOOKUP(B734,Cardholders_Reference!A:A,Cardholders_Reference!G:G)</f>
        <v>15000</v>
      </c>
      <c r="N734" s="7" t="str">
        <f>_xlfn.XLOOKUP(B734,Cardholders_Reference!A:A,Cardholders_Reference!D:D)</f>
        <v>ABSA</v>
      </c>
      <c r="O734" s="7" t="str">
        <f>_xlfn.XLOOKUP(B734,Cardholders_Reference!A:A,Cardholders_Reference!E:E)</f>
        <v>Visa</v>
      </c>
      <c r="P734" s="6">
        <f t="shared" si="82"/>
        <v>3.8656000000000003E-2</v>
      </c>
      <c r="Q734">
        <f t="shared" si="77"/>
        <v>1</v>
      </c>
      <c r="R734">
        <f t="shared" si="78"/>
        <v>0</v>
      </c>
      <c r="S734">
        <f>IF(COUNTIFS($B$1:$B$738,B733,$C$1:$C$738,#REF!)&gt;2,1,0)</f>
        <v>0</v>
      </c>
      <c r="T734">
        <f t="shared" si="79"/>
        <v>1</v>
      </c>
      <c r="U734">
        <f t="shared" si="80"/>
        <v>0</v>
      </c>
      <c r="V734">
        <f t="shared" si="81"/>
        <v>0</v>
      </c>
      <c r="W734">
        <f t="shared" si="83"/>
        <v>2</v>
      </c>
      <c r="X734" t="str" cm="1">
        <f t="array" ref="X734">_xlfn.IFS(W734&lt;=1,"Low",W734=2,"Medium",W734&gt;=3,"High")</f>
        <v>Medium</v>
      </c>
    </row>
    <row r="735" spans="1:24" x14ac:dyDescent="0.3">
      <c r="A735" t="s">
        <v>1378</v>
      </c>
      <c r="B735" t="s">
        <v>372</v>
      </c>
      <c r="C735" s="3">
        <v>46119</v>
      </c>
      <c r="D735" s="8" t="s">
        <v>1379</v>
      </c>
      <c r="E735" s="7" t="s">
        <v>87</v>
      </c>
      <c r="F735" s="7" t="s">
        <v>48</v>
      </c>
      <c r="G735" s="7" t="s">
        <v>250</v>
      </c>
      <c r="H735" s="4">
        <v>2445.88</v>
      </c>
      <c r="I735" s="7" t="s">
        <v>95</v>
      </c>
      <c r="J735" s="7" t="s">
        <v>17</v>
      </c>
      <c r="L735" t="str">
        <f>PROPER(TRIM(SUBSTITUTE(_xlfn.XLOOKUP(B735,Cardholders_Reference!A:A,Cardholders_Reference!B:B),","," ")))</f>
        <v>Precious Khumalo</v>
      </c>
      <c r="M735" s="5">
        <f>_xlfn.XLOOKUP(B735,Cardholders_Reference!A:A,Cardholders_Reference!G:G)</f>
        <v>30000</v>
      </c>
      <c r="N735" s="7" t="str">
        <f>_xlfn.XLOOKUP(B735,Cardholders_Reference!A:A,Cardholders_Reference!D:D)</f>
        <v>Capitec</v>
      </c>
      <c r="O735" s="7" t="str">
        <f>_xlfn.XLOOKUP(B735,Cardholders_Reference!A:A,Cardholders_Reference!E:E)</f>
        <v>Visa</v>
      </c>
      <c r="P735" s="6">
        <f t="shared" si="82"/>
        <v>8.1529333333333343E-2</v>
      </c>
      <c r="Q735">
        <f t="shared" si="77"/>
        <v>0</v>
      </c>
      <c r="R735">
        <f t="shared" si="78"/>
        <v>0</v>
      </c>
      <c r="S735">
        <f>IF(COUNTIFS($B$1:$B$738,B734,$C$1:$C$738,#REF!)&gt;2,1,0)</f>
        <v>0</v>
      </c>
      <c r="T735">
        <f t="shared" si="79"/>
        <v>0</v>
      </c>
      <c r="U735">
        <f t="shared" si="80"/>
        <v>0</v>
      </c>
      <c r="V735">
        <f t="shared" si="81"/>
        <v>1</v>
      </c>
      <c r="W735">
        <f t="shared" si="83"/>
        <v>1</v>
      </c>
      <c r="X735" t="str" cm="1">
        <f t="array" ref="X735">_xlfn.IFS(W735&lt;=1,"Low",W735=2,"Medium",W735&gt;=3,"High")</f>
        <v>Low</v>
      </c>
    </row>
    <row r="736" spans="1:24" x14ac:dyDescent="0.3">
      <c r="A736" t="s">
        <v>1380</v>
      </c>
      <c r="B736" t="s">
        <v>372</v>
      </c>
      <c r="C736" s="3">
        <v>46207</v>
      </c>
      <c r="D736" s="8" t="s">
        <v>460</v>
      </c>
      <c r="E736" s="7" t="s">
        <v>137</v>
      </c>
      <c r="F736" s="7" t="s">
        <v>40</v>
      </c>
      <c r="G736" s="7" t="s">
        <v>250</v>
      </c>
      <c r="H736" s="4">
        <v>5445.46</v>
      </c>
      <c r="I736" s="7" t="s">
        <v>95</v>
      </c>
      <c r="J736" s="7" t="s">
        <v>17</v>
      </c>
      <c r="L736" t="str">
        <f>PROPER(TRIM(SUBSTITUTE(_xlfn.XLOOKUP(B736,Cardholders_Reference!A:A,Cardholders_Reference!B:B),","," ")))</f>
        <v>Precious Khumalo</v>
      </c>
      <c r="M736" s="5">
        <f>_xlfn.XLOOKUP(B736,Cardholders_Reference!A:A,Cardholders_Reference!G:G)</f>
        <v>30000</v>
      </c>
      <c r="N736" s="7" t="str">
        <f>_xlfn.XLOOKUP(B736,Cardholders_Reference!A:A,Cardholders_Reference!D:D)</f>
        <v>Capitec</v>
      </c>
      <c r="O736" s="7" t="str">
        <f>_xlfn.XLOOKUP(B736,Cardholders_Reference!A:A,Cardholders_Reference!E:E)</f>
        <v>Visa</v>
      </c>
      <c r="P736" s="6">
        <f t="shared" si="82"/>
        <v>0.18151533333333333</v>
      </c>
      <c r="Q736">
        <f t="shared" si="77"/>
        <v>0</v>
      </c>
      <c r="R736">
        <f t="shared" si="78"/>
        <v>0</v>
      </c>
      <c r="S736">
        <f>IF(COUNTIFS($B$1:$B$738,B735,$C$1:$C$738,#REF!)&gt;2,1,0)</f>
        <v>0</v>
      </c>
      <c r="T736">
        <f t="shared" si="79"/>
        <v>0</v>
      </c>
      <c r="U736">
        <f t="shared" si="80"/>
        <v>0</v>
      </c>
      <c r="V736">
        <f t="shared" si="81"/>
        <v>1</v>
      </c>
      <c r="W736">
        <f t="shared" si="83"/>
        <v>1</v>
      </c>
      <c r="X736" t="str" cm="1">
        <f t="array" ref="X736">_xlfn.IFS(W736&lt;=1,"Low",W736=2,"Medium",W736&gt;=3,"High")</f>
        <v>Low</v>
      </c>
    </row>
    <row r="737" spans="1:24" x14ac:dyDescent="0.3">
      <c r="A737" t="s">
        <v>1381</v>
      </c>
      <c r="B737" t="s">
        <v>372</v>
      </c>
      <c r="C737" s="3">
        <v>46119</v>
      </c>
      <c r="D737" s="8" t="s">
        <v>640</v>
      </c>
      <c r="E737" s="7" t="s">
        <v>73</v>
      </c>
      <c r="F737" s="7" t="s">
        <v>74</v>
      </c>
      <c r="G737" s="7" t="s">
        <v>250</v>
      </c>
      <c r="H737" s="4">
        <v>4935.99</v>
      </c>
      <c r="I737" s="7" t="s">
        <v>95</v>
      </c>
      <c r="J737" s="7" t="s">
        <v>17</v>
      </c>
      <c r="L737" t="str">
        <f>PROPER(TRIM(SUBSTITUTE(_xlfn.XLOOKUP(B737,Cardholders_Reference!A:A,Cardholders_Reference!B:B),","," ")))</f>
        <v>Precious Khumalo</v>
      </c>
      <c r="M737" s="5">
        <f>_xlfn.XLOOKUP(B737,Cardholders_Reference!A:A,Cardholders_Reference!G:G)</f>
        <v>30000</v>
      </c>
      <c r="N737" s="7" t="str">
        <f>_xlfn.XLOOKUP(B737,Cardholders_Reference!A:A,Cardholders_Reference!D:D)</f>
        <v>Capitec</v>
      </c>
      <c r="O737" s="7" t="str">
        <f>_xlfn.XLOOKUP(B737,Cardholders_Reference!A:A,Cardholders_Reference!E:E)</f>
        <v>Visa</v>
      </c>
      <c r="P737" s="6">
        <f t="shared" si="82"/>
        <v>0.16453299999999998</v>
      </c>
      <c r="Q737">
        <f t="shared" si="77"/>
        <v>0</v>
      </c>
      <c r="R737">
        <f t="shared" si="78"/>
        <v>0</v>
      </c>
      <c r="S737">
        <f>IF(COUNTIFS($B$1:$B$738,B736,$C$1:$C$738,#REF!)&gt;2,1,0)</f>
        <v>0</v>
      </c>
      <c r="T737">
        <f t="shared" si="79"/>
        <v>0</v>
      </c>
      <c r="U737">
        <f t="shared" si="80"/>
        <v>0</v>
      </c>
      <c r="V737">
        <f t="shared" si="81"/>
        <v>1</v>
      </c>
      <c r="W737">
        <f t="shared" si="83"/>
        <v>1</v>
      </c>
      <c r="X737" t="str" cm="1">
        <f t="array" ref="X737">_xlfn.IFS(W737&lt;=1,"Low",W737=2,"Medium",W737&gt;=3,"High")</f>
        <v>Low</v>
      </c>
    </row>
    <row r="738" spans="1:24" x14ac:dyDescent="0.3">
      <c r="A738" t="s">
        <v>1382</v>
      </c>
      <c r="B738" t="s">
        <v>372</v>
      </c>
      <c r="C738" s="3">
        <v>46119</v>
      </c>
      <c r="D738" s="8" t="s">
        <v>1383</v>
      </c>
      <c r="E738" s="7" t="s">
        <v>14</v>
      </c>
      <c r="F738" s="7" t="s">
        <v>15</v>
      </c>
      <c r="G738" s="7" t="s">
        <v>250</v>
      </c>
      <c r="H738" s="4">
        <v>3380.56</v>
      </c>
      <c r="I738" s="7" t="s">
        <v>95</v>
      </c>
      <c r="J738" s="7" t="s">
        <v>41</v>
      </c>
      <c r="L738" t="str">
        <f>PROPER(TRIM(SUBSTITUTE(_xlfn.XLOOKUP(B738,Cardholders_Reference!A:A,Cardholders_Reference!B:B),","," ")))</f>
        <v>Precious Khumalo</v>
      </c>
      <c r="M738" s="5">
        <f>_xlfn.XLOOKUP(B738,Cardholders_Reference!A:A,Cardholders_Reference!G:G)</f>
        <v>30000</v>
      </c>
      <c r="N738" s="7" t="str">
        <f>_xlfn.XLOOKUP(B738,Cardholders_Reference!A:A,Cardholders_Reference!D:D)</f>
        <v>Capitec</v>
      </c>
      <c r="O738" s="7" t="str">
        <f>_xlfn.XLOOKUP(B738,Cardholders_Reference!A:A,Cardholders_Reference!E:E)</f>
        <v>Visa</v>
      </c>
      <c r="P738" s="6">
        <f t="shared" si="82"/>
        <v>0.11268533333333333</v>
      </c>
      <c r="Q738">
        <f t="shared" si="77"/>
        <v>0</v>
      </c>
      <c r="R738">
        <f t="shared" si="78"/>
        <v>0</v>
      </c>
      <c r="S738">
        <f>IF(COUNTIFS($B$1:$B$738,B737,$C$1:$C$738,#REF!)&gt;2,1,0)</f>
        <v>0</v>
      </c>
      <c r="T738">
        <f t="shared" si="79"/>
        <v>0</v>
      </c>
      <c r="U738">
        <f t="shared" si="80"/>
        <v>0</v>
      </c>
      <c r="V738">
        <f t="shared" si="81"/>
        <v>1</v>
      </c>
      <c r="W738">
        <f t="shared" si="83"/>
        <v>1</v>
      </c>
      <c r="X738" t="str" cm="1">
        <f t="array" ref="X738">_xlfn.IFS(W738&lt;=1,"Low",W738=2,"Medium",W738&gt;=3,"High")</f>
        <v>Low</v>
      </c>
    </row>
    <row r="739" spans="1:24" x14ac:dyDescent="0.3">
      <c r="A739" t="s">
        <v>1384</v>
      </c>
      <c r="B739" t="s">
        <v>372</v>
      </c>
      <c r="C739" s="3">
        <v>46119</v>
      </c>
      <c r="D739" s="8" t="s">
        <v>1385</v>
      </c>
      <c r="E739" s="7" t="s">
        <v>321</v>
      </c>
      <c r="F739" s="7" t="s">
        <v>61</v>
      </c>
      <c r="G739" s="7" t="s">
        <v>250</v>
      </c>
      <c r="H739" s="4">
        <v>2581.0300000000002</v>
      </c>
      <c r="I739" s="7" t="s">
        <v>95</v>
      </c>
      <c r="J739" s="7" t="s">
        <v>41</v>
      </c>
      <c r="L739" t="str">
        <f>PROPER(TRIM(SUBSTITUTE(_xlfn.XLOOKUP(B739,Cardholders_Reference!A:A,Cardholders_Reference!B:B),","," ")))</f>
        <v>Precious Khumalo</v>
      </c>
      <c r="M739" s="5">
        <f>_xlfn.XLOOKUP(B739,Cardholders_Reference!A:A,Cardholders_Reference!G:G)</f>
        <v>30000</v>
      </c>
      <c r="N739" s="7" t="str">
        <f>_xlfn.XLOOKUP(B739,Cardholders_Reference!A:A,Cardholders_Reference!D:D)</f>
        <v>Capitec</v>
      </c>
      <c r="O739" s="7" t="str">
        <f>_xlfn.XLOOKUP(B739,Cardholders_Reference!A:A,Cardholders_Reference!E:E)</f>
        <v>Visa</v>
      </c>
      <c r="P739" s="6">
        <f t="shared" si="82"/>
        <v>8.6034333333333338E-2</v>
      </c>
      <c r="Q739">
        <f t="shared" si="77"/>
        <v>0</v>
      </c>
      <c r="R739">
        <f t="shared" si="78"/>
        <v>0</v>
      </c>
      <c r="S739">
        <f>IF(COUNTIFS($B$1:$B$738,B738,$C$1:$C$738,#REF!)&gt;2,1,0)</f>
        <v>0</v>
      </c>
      <c r="T739">
        <f t="shared" si="79"/>
        <v>0</v>
      </c>
      <c r="U739">
        <f t="shared" si="80"/>
        <v>0</v>
      </c>
      <c r="V739">
        <f t="shared" si="81"/>
        <v>1</v>
      </c>
      <c r="W739">
        <f t="shared" si="83"/>
        <v>1</v>
      </c>
      <c r="X739" t="str" cm="1">
        <f t="array" ref="X739">_xlfn.IFS(W739&lt;=1,"Low",W739=2,"Medium",W739&gt;=3,"High")</f>
        <v>Low</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6"/>
  <sheetViews>
    <sheetView topLeftCell="A27" zoomScale="95" zoomScaleNormal="95" workbookViewId="0">
      <selection activeCell="B5" sqref="B5:B66"/>
    </sheetView>
  </sheetViews>
  <sheetFormatPr defaultRowHeight="14.4" x14ac:dyDescent="0.3"/>
  <cols>
    <col min="1" max="1" width="12" customWidth="1"/>
    <col min="2" max="2" width="21.88671875" bestFit="1" customWidth="1"/>
    <col min="3" max="4" width="16" customWidth="1"/>
    <col min="5" max="5" width="16" bestFit="1" customWidth="1"/>
    <col min="6" max="6" width="20.88671875" bestFit="1" customWidth="1"/>
    <col min="7" max="7" width="14" customWidth="1"/>
  </cols>
  <sheetData>
    <row r="1" spans="1:7" ht="17.399999999999999" x14ac:dyDescent="0.35">
      <c r="A1" s="19" t="s">
        <v>1386</v>
      </c>
      <c r="B1" s="20"/>
      <c r="C1" s="20"/>
      <c r="D1" s="20"/>
      <c r="E1" s="20"/>
      <c r="F1" s="20"/>
      <c r="G1" s="20"/>
    </row>
    <row r="2" spans="1:7" x14ac:dyDescent="0.3">
      <c r="A2" s="2" t="s">
        <v>1387</v>
      </c>
    </row>
    <row r="4" spans="1:7" x14ac:dyDescent="0.3">
      <c r="A4" s="1" t="s">
        <v>1</v>
      </c>
      <c r="B4" s="1" t="s">
        <v>1388</v>
      </c>
      <c r="C4" s="1" t="s">
        <v>6</v>
      </c>
      <c r="D4" s="1" t="s">
        <v>1389</v>
      </c>
      <c r="E4" s="1" t="s">
        <v>1450</v>
      </c>
      <c r="F4" s="1" t="s">
        <v>1451</v>
      </c>
      <c r="G4" s="1" t="s">
        <v>1441</v>
      </c>
    </row>
    <row r="5" spans="1:7" x14ac:dyDescent="0.3">
      <c r="A5" t="s">
        <v>12</v>
      </c>
      <c r="B5" t="s">
        <v>1390</v>
      </c>
      <c r="C5" t="s">
        <v>22</v>
      </c>
      <c r="D5" t="s">
        <v>1391</v>
      </c>
      <c r="E5" t="s">
        <v>1392</v>
      </c>
      <c r="F5" s="3">
        <v>45206</v>
      </c>
      <c r="G5" s="5">
        <v>25000</v>
      </c>
    </row>
    <row r="6" spans="1:7" x14ac:dyDescent="0.3">
      <c r="A6" t="s">
        <v>55</v>
      </c>
      <c r="B6" t="s">
        <v>1452</v>
      </c>
      <c r="C6" t="s">
        <v>22</v>
      </c>
      <c r="D6" t="s">
        <v>1393</v>
      </c>
      <c r="E6" t="s">
        <v>1394</v>
      </c>
      <c r="F6" s="3">
        <v>44686</v>
      </c>
      <c r="G6" s="5">
        <v>20000</v>
      </c>
    </row>
    <row r="7" spans="1:7" x14ac:dyDescent="0.3">
      <c r="A7" t="s">
        <v>106</v>
      </c>
      <c r="B7" t="s">
        <v>1453</v>
      </c>
      <c r="C7" t="s">
        <v>108</v>
      </c>
      <c r="D7" t="s">
        <v>1391</v>
      </c>
      <c r="E7" t="s">
        <v>1394</v>
      </c>
      <c r="F7" s="3">
        <v>45318</v>
      </c>
      <c r="G7" s="5">
        <v>100000</v>
      </c>
    </row>
    <row r="8" spans="1:7" x14ac:dyDescent="0.3">
      <c r="A8" t="s">
        <v>143</v>
      </c>
      <c r="B8" t="s">
        <v>1395</v>
      </c>
      <c r="C8" t="s">
        <v>49</v>
      </c>
      <c r="D8" t="s">
        <v>1396</v>
      </c>
      <c r="E8" t="s">
        <v>1394</v>
      </c>
      <c r="F8" s="3">
        <v>44727</v>
      </c>
      <c r="G8" s="5">
        <v>30000</v>
      </c>
    </row>
    <row r="9" spans="1:7" x14ac:dyDescent="0.3">
      <c r="A9" t="s">
        <v>175</v>
      </c>
      <c r="B9" t="s">
        <v>1397</v>
      </c>
      <c r="C9" t="s">
        <v>192</v>
      </c>
      <c r="D9" t="s">
        <v>1398</v>
      </c>
      <c r="E9" t="s">
        <v>1392</v>
      </c>
      <c r="F9" s="3">
        <v>43664</v>
      </c>
      <c r="G9" s="5">
        <v>20000</v>
      </c>
    </row>
    <row r="10" spans="1:7" x14ac:dyDescent="0.3">
      <c r="A10" t="s">
        <v>196</v>
      </c>
      <c r="B10" t="s">
        <v>1399</v>
      </c>
      <c r="C10" t="s">
        <v>145</v>
      </c>
      <c r="D10" t="s">
        <v>1396</v>
      </c>
      <c r="E10" t="s">
        <v>1392</v>
      </c>
      <c r="F10" s="3">
        <v>42054</v>
      </c>
      <c r="G10" s="5">
        <v>20000</v>
      </c>
    </row>
    <row r="11" spans="1:7" x14ac:dyDescent="0.3">
      <c r="A11" t="s">
        <v>226</v>
      </c>
      <c r="B11" t="s">
        <v>1400</v>
      </c>
      <c r="C11" t="s">
        <v>177</v>
      </c>
      <c r="D11" t="s">
        <v>1398</v>
      </c>
      <c r="E11" t="s">
        <v>1394</v>
      </c>
      <c r="F11" s="3">
        <v>43192</v>
      </c>
      <c r="G11" s="5">
        <v>80000</v>
      </c>
    </row>
    <row r="12" spans="1:7" x14ac:dyDescent="0.3">
      <c r="A12" t="s">
        <v>257</v>
      </c>
      <c r="B12" t="s">
        <v>1401</v>
      </c>
      <c r="C12" t="s">
        <v>177</v>
      </c>
      <c r="D12" t="s">
        <v>1396</v>
      </c>
      <c r="E12" t="s">
        <v>1394</v>
      </c>
      <c r="F12" s="3">
        <v>43619</v>
      </c>
      <c r="G12" s="5">
        <v>40000</v>
      </c>
    </row>
    <row r="13" spans="1:7" x14ac:dyDescent="0.3">
      <c r="A13" t="s">
        <v>278</v>
      </c>
      <c r="B13" t="s">
        <v>1454</v>
      </c>
      <c r="C13" t="s">
        <v>192</v>
      </c>
      <c r="D13" t="s">
        <v>1393</v>
      </c>
      <c r="E13" t="s">
        <v>1394</v>
      </c>
      <c r="F13" s="3">
        <v>42371</v>
      </c>
      <c r="G13" s="5">
        <v>80000</v>
      </c>
    </row>
    <row r="14" spans="1:7" x14ac:dyDescent="0.3">
      <c r="A14" t="s">
        <v>304</v>
      </c>
      <c r="B14" t="s">
        <v>1455</v>
      </c>
      <c r="C14" t="s">
        <v>22</v>
      </c>
      <c r="D14" t="s">
        <v>1393</v>
      </c>
      <c r="E14" t="s">
        <v>1392</v>
      </c>
      <c r="F14" s="3">
        <v>45630</v>
      </c>
      <c r="G14" s="5">
        <v>25000</v>
      </c>
    </row>
    <row r="15" spans="1:7" x14ac:dyDescent="0.3">
      <c r="A15" t="s">
        <v>323</v>
      </c>
      <c r="B15" t="s">
        <v>1402</v>
      </c>
      <c r="C15" t="s">
        <v>108</v>
      </c>
      <c r="D15" t="s">
        <v>1391</v>
      </c>
      <c r="E15" t="s">
        <v>1394</v>
      </c>
      <c r="F15" s="3">
        <v>42830</v>
      </c>
      <c r="G15" s="5">
        <v>40000</v>
      </c>
    </row>
    <row r="16" spans="1:7" x14ac:dyDescent="0.3">
      <c r="A16" t="s">
        <v>342</v>
      </c>
      <c r="B16" t="s">
        <v>1403</v>
      </c>
      <c r="C16" t="s">
        <v>49</v>
      </c>
      <c r="D16" t="s">
        <v>1391</v>
      </c>
      <c r="E16" t="s">
        <v>1394</v>
      </c>
      <c r="F16" s="3">
        <v>42070</v>
      </c>
      <c r="G16" s="5">
        <v>80000</v>
      </c>
    </row>
    <row r="17" spans="1:7" x14ac:dyDescent="0.3">
      <c r="A17" t="s">
        <v>372</v>
      </c>
      <c r="B17" t="s">
        <v>1456</v>
      </c>
      <c r="C17" t="s">
        <v>250</v>
      </c>
      <c r="D17" t="s">
        <v>1391</v>
      </c>
      <c r="E17" t="s">
        <v>1394</v>
      </c>
      <c r="F17" s="3">
        <v>42407</v>
      </c>
      <c r="G17" s="5">
        <v>30000</v>
      </c>
    </row>
    <row r="18" spans="1:7" x14ac:dyDescent="0.3">
      <c r="A18" t="s">
        <v>395</v>
      </c>
      <c r="B18" t="s">
        <v>1404</v>
      </c>
      <c r="C18" t="s">
        <v>22</v>
      </c>
      <c r="D18" t="s">
        <v>1391</v>
      </c>
      <c r="E18" t="s">
        <v>1394</v>
      </c>
      <c r="F18" s="3">
        <v>45531</v>
      </c>
      <c r="G18" s="5">
        <v>25000</v>
      </c>
    </row>
    <row r="19" spans="1:7" x14ac:dyDescent="0.3">
      <c r="A19" t="s">
        <v>425</v>
      </c>
      <c r="B19" t="s">
        <v>1457</v>
      </c>
      <c r="C19" t="s">
        <v>49</v>
      </c>
      <c r="D19" t="s">
        <v>1405</v>
      </c>
      <c r="E19" t="s">
        <v>1394</v>
      </c>
      <c r="F19" s="3">
        <v>45995</v>
      </c>
      <c r="G19" s="5">
        <v>30000</v>
      </c>
    </row>
    <row r="20" spans="1:7" x14ac:dyDescent="0.3">
      <c r="A20" t="s">
        <v>446</v>
      </c>
      <c r="B20" t="s">
        <v>1406</v>
      </c>
      <c r="C20" t="s">
        <v>264</v>
      </c>
      <c r="D20" t="s">
        <v>1391</v>
      </c>
      <c r="E20" t="s">
        <v>1392</v>
      </c>
      <c r="F20" s="3">
        <v>45336</v>
      </c>
      <c r="G20" s="5">
        <v>15000</v>
      </c>
    </row>
    <row r="21" spans="1:7" x14ac:dyDescent="0.3">
      <c r="A21" t="s">
        <v>459</v>
      </c>
      <c r="B21" t="s">
        <v>1407</v>
      </c>
      <c r="C21" t="s">
        <v>250</v>
      </c>
      <c r="D21" t="s">
        <v>1393</v>
      </c>
      <c r="E21" t="s">
        <v>1392</v>
      </c>
      <c r="F21" s="3">
        <v>43673</v>
      </c>
      <c r="G21" s="5">
        <v>80000</v>
      </c>
    </row>
    <row r="22" spans="1:7" x14ac:dyDescent="0.3">
      <c r="A22" t="s">
        <v>478</v>
      </c>
      <c r="B22" t="s">
        <v>1408</v>
      </c>
      <c r="C22" t="s">
        <v>264</v>
      </c>
      <c r="D22" t="s">
        <v>1398</v>
      </c>
      <c r="E22" t="s">
        <v>1394</v>
      </c>
      <c r="F22" s="3">
        <v>43330</v>
      </c>
      <c r="G22" s="5">
        <v>20000</v>
      </c>
    </row>
    <row r="23" spans="1:7" x14ac:dyDescent="0.3">
      <c r="A23" t="s">
        <v>504</v>
      </c>
      <c r="B23" t="s">
        <v>1409</v>
      </c>
      <c r="C23" t="s">
        <v>192</v>
      </c>
      <c r="D23" t="s">
        <v>1398</v>
      </c>
      <c r="E23" t="s">
        <v>1392</v>
      </c>
      <c r="F23" s="3">
        <v>44416</v>
      </c>
      <c r="G23" s="5">
        <v>15000</v>
      </c>
    </row>
    <row r="24" spans="1:7" x14ac:dyDescent="0.3">
      <c r="A24" t="s">
        <v>534</v>
      </c>
      <c r="B24" t="s">
        <v>1410</v>
      </c>
      <c r="C24" t="s">
        <v>22</v>
      </c>
      <c r="D24" t="s">
        <v>1396</v>
      </c>
      <c r="E24" t="s">
        <v>1394</v>
      </c>
      <c r="F24" s="3">
        <v>42526</v>
      </c>
      <c r="G24" s="5">
        <v>80000</v>
      </c>
    </row>
    <row r="25" spans="1:7" x14ac:dyDescent="0.3">
      <c r="A25" t="s">
        <v>564</v>
      </c>
      <c r="B25" t="s">
        <v>1411</v>
      </c>
      <c r="C25" t="s">
        <v>49</v>
      </c>
      <c r="D25" t="s">
        <v>1396</v>
      </c>
      <c r="E25" t="s">
        <v>1394</v>
      </c>
      <c r="F25" s="3">
        <v>42346</v>
      </c>
      <c r="G25" s="5">
        <v>40000</v>
      </c>
    </row>
    <row r="26" spans="1:7" x14ac:dyDescent="0.3">
      <c r="A26" t="s">
        <v>593</v>
      </c>
      <c r="B26" t="s">
        <v>1412</v>
      </c>
      <c r="C26" t="s">
        <v>264</v>
      </c>
      <c r="D26" t="s">
        <v>1398</v>
      </c>
      <c r="E26" t="s">
        <v>1392</v>
      </c>
      <c r="F26" s="3">
        <v>42714</v>
      </c>
      <c r="G26" s="5">
        <v>50000</v>
      </c>
    </row>
    <row r="27" spans="1:7" x14ac:dyDescent="0.3">
      <c r="A27" t="s">
        <v>615</v>
      </c>
      <c r="B27" t="s">
        <v>1413</v>
      </c>
      <c r="C27" t="s">
        <v>108</v>
      </c>
      <c r="D27" t="s">
        <v>1396</v>
      </c>
      <c r="E27" t="s">
        <v>1392</v>
      </c>
      <c r="F27" s="3">
        <v>42716</v>
      </c>
      <c r="G27" s="5">
        <v>25000</v>
      </c>
    </row>
    <row r="28" spans="1:7" x14ac:dyDescent="0.3">
      <c r="A28" t="s">
        <v>631</v>
      </c>
      <c r="B28" t="s">
        <v>1414</v>
      </c>
      <c r="C28" t="s">
        <v>177</v>
      </c>
      <c r="D28" t="s">
        <v>1391</v>
      </c>
      <c r="E28" t="s">
        <v>1394</v>
      </c>
      <c r="F28" s="3">
        <v>44224</v>
      </c>
      <c r="G28" s="5">
        <v>80000</v>
      </c>
    </row>
    <row r="29" spans="1:7" x14ac:dyDescent="0.3">
      <c r="A29" t="s">
        <v>658</v>
      </c>
      <c r="B29" t="s">
        <v>1415</v>
      </c>
      <c r="C29" t="s">
        <v>108</v>
      </c>
      <c r="D29" t="s">
        <v>1391</v>
      </c>
      <c r="E29" t="s">
        <v>1394</v>
      </c>
      <c r="F29" s="3">
        <v>45325</v>
      </c>
      <c r="G29" s="5">
        <v>20000</v>
      </c>
    </row>
    <row r="30" spans="1:7" x14ac:dyDescent="0.3">
      <c r="A30" t="s">
        <v>683</v>
      </c>
      <c r="B30" t="s">
        <v>1416</v>
      </c>
      <c r="C30" t="s">
        <v>108</v>
      </c>
      <c r="D30" t="s">
        <v>1405</v>
      </c>
      <c r="E30" t="s">
        <v>1392</v>
      </c>
      <c r="F30" s="3">
        <v>45724</v>
      </c>
      <c r="G30" s="5">
        <v>80000</v>
      </c>
    </row>
    <row r="31" spans="1:7" x14ac:dyDescent="0.3">
      <c r="A31" t="s">
        <v>699</v>
      </c>
      <c r="B31" t="s">
        <v>1417</v>
      </c>
      <c r="C31" t="s">
        <v>22</v>
      </c>
      <c r="D31" t="s">
        <v>1398</v>
      </c>
      <c r="E31" t="s">
        <v>1392</v>
      </c>
      <c r="F31" s="3">
        <v>45338</v>
      </c>
      <c r="G31" s="5">
        <v>15000</v>
      </c>
    </row>
    <row r="32" spans="1:7" x14ac:dyDescent="0.3">
      <c r="A32" t="s">
        <v>728</v>
      </c>
      <c r="B32" t="s">
        <v>1422</v>
      </c>
      <c r="C32" t="s">
        <v>22</v>
      </c>
      <c r="D32" t="s">
        <v>1391</v>
      </c>
      <c r="E32" t="s">
        <v>1392</v>
      </c>
      <c r="F32" s="3">
        <v>42165</v>
      </c>
      <c r="G32" s="5">
        <v>25000</v>
      </c>
    </row>
    <row r="33" spans="1:7" x14ac:dyDescent="0.3">
      <c r="A33" t="s">
        <v>748</v>
      </c>
      <c r="B33" t="s">
        <v>1418</v>
      </c>
      <c r="C33" t="s">
        <v>49</v>
      </c>
      <c r="D33" t="s">
        <v>1405</v>
      </c>
      <c r="E33" t="s">
        <v>1392</v>
      </c>
      <c r="F33" s="3">
        <v>44869</v>
      </c>
      <c r="G33" s="5">
        <v>60000</v>
      </c>
    </row>
    <row r="34" spans="1:7" x14ac:dyDescent="0.3">
      <c r="A34" t="s">
        <v>768</v>
      </c>
      <c r="B34" t="s">
        <v>1458</v>
      </c>
      <c r="C34" t="s">
        <v>118</v>
      </c>
      <c r="D34" t="s">
        <v>1393</v>
      </c>
      <c r="E34" t="s">
        <v>1394</v>
      </c>
      <c r="F34" s="3">
        <v>44746</v>
      </c>
      <c r="G34" s="5">
        <v>50000</v>
      </c>
    </row>
    <row r="35" spans="1:7" x14ac:dyDescent="0.3">
      <c r="A35" t="s">
        <v>791</v>
      </c>
      <c r="B35" t="s">
        <v>1419</v>
      </c>
      <c r="C35" t="s">
        <v>250</v>
      </c>
      <c r="D35" t="s">
        <v>1398</v>
      </c>
      <c r="E35" t="s">
        <v>1394</v>
      </c>
      <c r="F35" s="3">
        <v>43558</v>
      </c>
      <c r="G35" s="5">
        <v>80000</v>
      </c>
    </row>
    <row r="36" spans="1:7" x14ac:dyDescent="0.3">
      <c r="A36" t="s">
        <v>816</v>
      </c>
      <c r="B36" t="s">
        <v>1420</v>
      </c>
      <c r="C36" t="s">
        <v>108</v>
      </c>
      <c r="D36" t="s">
        <v>1391</v>
      </c>
      <c r="E36" t="s">
        <v>1392</v>
      </c>
      <c r="F36" s="3">
        <v>44192</v>
      </c>
      <c r="G36" s="5">
        <v>80000</v>
      </c>
    </row>
    <row r="37" spans="1:7" x14ac:dyDescent="0.3">
      <c r="A37" t="s">
        <v>831</v>
      </c>
      <c r="B37" t="s">
        <v>1421</v>
      </c>
      <c r="C37" t="s">
        <v>22</v>
      </c>
      <c r="D37" t="s">
        <v>1398</v>
      </c>
      <c r="E37" t="s">
        <v>1392</v>
      </c>
      <c r="F37" s="3">
        <v>45453</v>
      </c>
      <c r="G37" s="5">
        <v>15000</v>
      </c>
    </row>
    <row r="38" spans="1:7" x14ac:dyDescent="0.3">
      <c r="A38" t="s">
        <v>851</v>
      </c>
      <c r="B38" t="s">
        <v>1459</v>
      </c>
      <c r="C38" t="s">
        <v>49</v>
      </c>
      <c r="D38" t="s">
        <v>1398</v>
      </c>
      <c r="E38" t="s">
        <v>1392</v>
      </c>
      <c r="F38" s="3">
        <v>43185</v>
      </c>
      <c r="G38" s="5">
        <v>15000</v>
      </c>
    </row>
    <row r="39" spans="1:7" x14ac:dyDescent="0.3">
      <c r="A39" t="s">
        <v>867</v>
      </c>
      <c r="B39" t="s">
        <v>1422</v>
      </c>
      <c r="C39" t="s">
        <v>177</v>
      </c>
      <c r="D39" t="s">
        <v>1396</v>
      </c>
      <c r="E39" t="s">
        <v>1392</v>
      </c>
      <c r="F39" s="3">
        <v>42562</v>
      </c>
      <c r="G39" s="5">
        <v>30000</v>
      </c>
    </row>
    <row r="40" spans="1:7" x14ac:dyDescent="0.3">
      <c r="A40" t="s">
        <v>889</v>
      </c>
      <c r="B40" t="s">
        <v>1460</v>
      </c>
      <c r="C40" t="s">
        <v>264</v>
      </c>
      <c r="D40" t="s">
        <v>1398</v>
      </c>
      <c r="E40" t="s">
        <v>1392</v>
      </c>
      <c r="F40" s="3">
        <v>45262</v>
      </c>
      <c r="G40" s="5">
        <v>25000</v>
      </c>
    </row>
    <row r="41" spans="1:7" x14ac:dyDescent="0.3">
      <c r="A41" t="s">
        <v>907</v>
      </c>
      <c r="B41" t="s">
        <v>1461</v>
      </c>
      <c r="C41" t="s">
        <v>264</v>
      </c>
      <c r="D41" t="s">
        <v>1396</v>
      </c>
      <c r="E41" t="s">
        <v>1394</v>
      </c>
      <c r="F41" s="3">
        <v>44538</v>
      </c>
      <c r="G41" s="5">
        <v>20000</v>
      </c>
    </row>
    <row r="42" spans="1:7" x14ac:dyDescent="0.3">
      <c r="A42" t="s">
        <v>925</v>
      </c>
      <c r="B42" t="s">
        <v>1462</v>
      </c>
      <c r="C42" t="s">
        <v>118</v>
      </c>
      <c r="D42" t="s">
        <v>1391</v>
      </c>
      <c r="E42" t="s">
        <v>1394</v>
      </c>
      <c r="F42" s="3">
        <v>42528</v>
      </c>
      <c r="G42" s="5">
        <v>100000</v>
      </c>
    </row>
    <row r="43" spans="1:7" x14ac:dyDescent="0.3">
      <c r="A43" t="s">
        <v>944</v>
      </c>
      <c r="B43" t="s">
        <v>1423</v>
      </c>
      <c r="C43" t="s">
        <v>250</v>
      </c>
      <c r="D43" t="s">
        <v>1393</v>
      </c>
      <c r="E43" t="s">
        <v>1394</v>
      </c>
      <c r="F43" s="3">
        <v>42586</v>
      </c>
      <c r="G43" s="5">
        <v>60000</v>
      </c>
    </row>
    <row r="44" spans="1:7" x14ac:dyDescent="0.3">
      <c r="A44" t="s">
        <v>957</v>
      </c>
      <c r="B44" t="s">
        <v>1424</v>
      </c>
      <c r="C44" t="s">
        <v>250</v>
      </c>
      <c r="D44" t="s">
        <v>1405</v>
      </c>
      <c r="E44" t="s">
        <v>1394</v>
      </c>
      <c r="F44" s="3">
        <v>44077</v>
      </c>
      <c r="G44" s="5">
        <v>15000</v>
      </c>
    </row>
    <row r="45" spans="1:7" x14ac:dyDescent="0.3">
      <c r="A45" t="s">
        <v>977</v>
      </c>
      <c r="B45" t="s">
        <v>1463</v>
      </c>
      <c r="C45" t="s">
        <v>250</v>
      </c>
      <c r="D45" t="s">
        <v>1391</v>
      </c>
      <c r="E45" t="s">
        <v>1394</v>
      </c>
      <c r="F45" s="3">
        <v>43498</v>
      </c>
      <c r="G45" s="5">
        <v>15000</v>
      </c>
    </row>
    <row r="46" spans="1:7" x14ac:dyDescent="0.3">
      <c r="A46" t="s">
        <v>1002</v>
      </c>
      <c r="B46" t="s">
        <v>1425</v>
      </c>
      <c r="C46" t="s">
        <v>49</v>
      </c>
      <c r="D46" t="s">
        <v>1391</v>
      </c>
      <c r="E46" t="s">
        <v>1394</v>
      </c>
      <c r="F46" s="3">
        <v>45277</v>
      </c>
      <c r="G46" s="5">
        <v>80000</v>
      </c>
    </row>
    <row r="47" spans="1:7" x14ac:dyDescent="0.3">
      <c r="A47" t="s">
        <v>1022</v>
      </c>
      <c r="B47" t="s">
        <v>1464</v>
      </c>
      <c r="C47" t="s">
        <v>264</v>
      </c>
      <c r="D47" t="s">
        <v>1398</v>
      </c>
      <c r="E47" t="s">
        <v>1394</v>
      </c>
      <c r="F47" s="3">
        <v>45086</v>
      </c>
      <c r="G47" s="5">
        <v>40000</v>
      </c>
    </row>
    <row r="48" spans="1:7" x14ac:dyDescent="0.3">
      <c r="A48" t="s">
        <v>1037</v>
      </c>
      <c r="B48" t="s">
        <v>1465</v>
      </c>
      <c r="C48" t="s">
        <v>49</v>
      </c>
      <c r="D48" t="s">
        <v>1396</v>
      </c>
      <c r="E48" t="s">
        <v>1392</v>
      </c>
      <c r="F48" s="3">
        <v>43782</v>
      </c>
      <c r="G48" s="5">
        <v>30000</v>
      </c>
    </row>
    <row r="49" spans="1:7" x14ac:dyDescent="0.3">
      <c r="A49" t="s">
        <v>1055</v>
      </c>
      <c r="B49" t="s">
        <v>1426</v>
      </c>
      <c r="C49" t="s">
        <v>22</v>
      </c>
      <c r="D49" t="s">
        <v>1405</v>
      </c>
      <c r="E49" t="s">
        <v>1392</v>
      </c>
      <c r="F49" s="3">
        <v>43299</v>
      </c>
      <c r="G49" s="5">
        <v>20000</v>
      </c>
    </row>
    <row r="50" spans="1:7" x14ac:dyDescent="0.3">
      <c r="A50" t="s">
        <v>1074</v>
      </c>
      <c r="B50" t="s">
        <v>1427</v>
      </c>
      <c r="C50" t="s">
        <v>192</v>
      </c>
      <c r="D50" t="s">
        <v>1396</v>
      </c>
      <c r="E50" t="s">
        <v>1394</v>
      </c>
      <c r="F50" s="3">
        <v>45125</v>
      </c>
      <c r="G50" s="5">
        <v>20000</v>
      </c>
    </row>
    <row r="51" spans="1:7" x14ac:dyDescent="0.3">
      <c r="A51" t="s">
        <v>1089</v>
      </c>
      <c r="B51" t="s">
        <v>1428</v>
      </c>
      <c r="C51" t="s">
        <v>22</v>
      </c>
      <c r="D51" t="s">
        <v>1391</v>
      </c>
      <c r="E51" t="s">
        <v>1392</v>
      </c>
      <c r="F51" s="3">
        <v>44324</v>
      </c>
      <c r="G51" s="5">
        <v>80000</v>
      </c>
    </row>
    <row r="52" spans="1:7" x14ac:dyDescent="0.3">
      <c r="A52" t="s">
        <v>1110</v>
      </c>
      <c r="B52" t="s">
        <v>1429</v>
      </c>
      <c r="C52" t="s">
        <v>108</v>
      </c>
      <c r="D52" t="s">
        <v>1396</v>
      </c>
      <c r="E52" t="s">
        <v>1392</v>
      </c>
      <c r="F52" s="3">
        <v>42474</v>
      </c>
      <c r="G52" s="5">
        <v>15000</v>
      </c>
    </row>
    <row r="53" spans="1:7" x14ac:dyDescent="0.3">
      <c r="A53" t="s">
        <v>1130</v>
      </c>
      <c r="B53" t="s">
        <v>1466</v>
      </c>
      <c r="C53" t="s">
        <v>177</v>
      </c>
      <c r="D53" t="s">
        <v>1398</v>
      </c>
      <c r="E53" t="s">
        <v>1394</v>
      </c>
      <c r="F53" s="3">
        <v>42739</v>
      </c>
      <c r="G53" s="5">
        <v>40000</v>
      </c>
    </row>
    <row r="54" spans="1:7" x14ac:dyDescent="0.3">
      <c r="A54" t="s">
        <v>1145</v>
      </c>
      <c r="B54" t="s">
        <v>1430</v>
      </c>
      <c r="C54" t="s">
        <v>22</v>
      </c>
      <c r="D54" t="s">
        <v>1391</v>
      </c>
      <c r="E54" t="s">
        <v>1394</v>
      </c>
      <c r="F54" s="3">
        <v>44914</v>
      </c>
      <c r="G54" s="5">
        <v>20000</v>
      </c>
    </row>
    <row r="55" spans="1:7" x14ac:dyDescent="0.3">
      <c r="A55" t="s">
        <v>1164</v>
      </c>
      <c r="B55" t="s">
        <v>1467</v>
      </c>
      <c r="C55" t="s">
        <v>264</v>
      </c>
      <c r="D55" t="s">
        <v>1393</v>
      </c>
      <c r="E55" t="s">
        <v>1392</v>
      </c>
      <c r="F55" s="3">
        <v>42206</v>
      </c>
      <c r="G55" s="5">
        <v>60000</v>
      </c>
    </row>
    <row r="56" spans="1:7" x14ac:dyDescent="0.3">
      <c r="A56" t="s">
        <v>1182</v>
      </c>
      <c r="B56" t="s">
        <v>1468</v>
      </c>
      <c r="C56" t="s">
        <v>22</v>
      </c>
      <c r="D56" t="s">
        <v>1393</v>
      </c>
      <c r="E56" t="s">
        <v>1394</v>
      </c>
      <c r="F56" s="3">
        <v>45751</v>
      </c>
      <c r="G56" s="5">
        <v>100000</v>
      </c>
    </row>
    <row r="57" spans="1:7" x14ac:dyDescent="0.3">
      <c r="A57" t="s">
        <v>1204</v>
      </c>
      <c r="B57" t="s">
        <v>1431</v>
      </c>
      <c r="C57" t="s">
        <v>264</v>
      </c>
      <c r="D57" t="s">
        <v>1405</v>
      </c>
      <c r="E57" t="s">
        <v>1394</v>
      </c>
      <c r="F57" s="3">
        <v>44115</v>
      </c>
      <c r="G57" s="5">
        <v>30000</v>
      </c>
    </row>
    <row r="58" spans="1:7" x14ac:dyDescent="0.3">
      <c r="A58" t="s">
        <v>1220</v>
      </c>
      <c r="B58" t="s">
        <v>1432</v>
      </c>
      <c r="C58" t="s">
        <v>177</v>
      </c>
      <c r="D58" t="s">
        <v>1393</v>
      </c>
      <c r="E58" t="s">
        <v>1394</v>
      </c>
      <c r="F58" s="3">
        <v>43072</v>
      </c>
      <c r="G58" s="5">
        <v>40000</v>
      </c>
    </row>
    <row r="59" spans="1:7" x14ac:dyDescent="0.3">
      <c r="A59" t="s">
        <v>1247</v>
      </c>
      <c r="B59" t="s">
        <v>1433</v>
      </c>
      <c r="C59" t="s">
        <v>108</v>
      </c>
      <c r="D59" t="s">
        <v>1396</v>
      </c>
      <c r="E59" t="s">
        <v>1394</v>
      </c>
      <c r="F59" s="3">
        <v>43715</v>
      </c>
      <c r="G59" s="5">
        <v>15000</v>
      </c>
    </row>
    <row r="60" spans="1:7" x14ac:dyDescent="0.3">
      <c r="A60" t="s">
        <v>1267</v>
      </c>
      <c r="B60" t="s">
        <v>1434</v>
      </c>
      <c r="C60" t="s">
        <v>250</v>
      </c>
      <c r="D60" t="s">
        <v>1405</v>
      </c>
      <c r="E60" t="s">
        <v>1394</v>
      </c>
      <c r="F60" s="3">
        <v>45255</v>
      </c>
      <c r="G60" s="5">
        <v>50000</v>
      </c>
    </row>
    <row r="61" spans="1:7" x14ac:dyDescent="0.3">
      <c r="A61" t="s">
        <v>1282</v>
      </c>
      <c r="B61" t="s">
        <v>1435</v>
      </c>
      <c r="C61" t="s">
        <v>177</v>
      </c>
      <c r="D61" t="s">
        <v>1391</v>
      </c>
      <c r="E61" t="s">
        <v>1394</v>
      </c>
      <c r="F61" s="3">
        <v>42029</v>
      </c>
      <c r="G61" s="5">
        <v>100000</v>
      </c>
    </row>
    <row r="62" spans="1:7" x14ac:dyDescent="0.3">
      <c r="A62" t="s">
        <v>1302</v>
      </c>
      <c r="B62" t="s">
        <v>1436</v>
      </c>
      <c r="C62" t="s">
        <v>49</v>
      </c>
      <c r="D62" t="s">
        <v>1393</v>
      </c>
      <c r="E62" t="s">
        <v>1394</v>
      </c>
      <c r="F62" s="3">
        <v>42466</v>
      </c>
      <c r="G62" s="5">
        <v>25000</v>
      </c>
    </row>
    <row r="63" spans="1:7" x14ac:dyDescent="0.3">
      <c r="A63" t="s">
        <v>1318</v>
      </c>
      <c r="B63" t="s">
        <v>1437</v>
      </c>
      <c r="C63" t="s">
        <v>177</v>
      </c>
      <c r="D63" t="s">
        <v>1393</v>
      </c>
      <c r="E63" t="s">
        <v>1392</v>
      </c>
      <c r="F63" s="3">
        <v>42411</v>
      </c>
      <c r="G63" s="5">
        <v>60000</v>
      </c>
    </row>
    <row r="64" spans="1:7" x14ac:dyDescent="0.3">
      <c r="A64" t="s">
        <v>1339</v>
      </c>
      <c r="B64" t="s">
        <v>1438</v>
      </c>
      <c r="C64" t="s">
        <v>118</v>
      </c>
      <c r="D64" t="s">
        <v>1393</v>
      </c>
      <c r="E64" t="s">
        <v>1392</v>
      </c>
      <c r="F64" s="3">
        <v>42685</v>
      </c>
      <c r="G64" s="5">
        <v>15000</v>
      </c>
    </row>
    <row r="65" spans="1:7" x14ac:dyDescent="0.3">
      <c r="A65" t="s">
        <v>631</v>
      </c>
      <c r="B65" t="s">
        <v>1414</v>
      </c>
      <c r="C65" t="s">
        <v>177</v>
      </c>
      <c r="D65" t="s">
        <v>1391</v>
      </c>
      <c r="E65" t="s">
        <v>1394</v>
      </c>
      <c r="F65" s="3">
        <v>44224</v>
      </c>
      <c r="G65" s="5">
        <v>80000</v>
      </c>
    </row>
    <row r="66" spans="1:7" x14ac:dyDescent="0.3">
      <c r="A66" t="s">
        <v>106</v>
      </c>
      <c r="B66" t="s">
        <v>1453</v>
      </c>
      <c r="C66" t="s">
        <v>108</v>
      </c>
      <c r="D66" t="s">
        <v>1391</v>
      </c>
      <c r="E66" t="s">
        <v>1394</v>
      </c>
      <c r="F66" s="3">
        <v>45318</v>
      </c>
      <c r="G66" s="5">
        <v>100000</v>
      </c>
    </row>
  </sheetData>
  <autoFilter ref="A4:G66" xr:uid="{00000000-0001-0000-0100-000000000000}"/>
  <mergeCells count="1">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57389-8AD8-4C2E-9047-4042A2E43934}">
  <dimension ref="A1:F8"/>
  <sheetViews>
    <sheetView workbookViewId="0">
      <selection activeCell="F9" sqref="F9"/>
    </sheetView>
  </sheetViews>
  <sheetFormatPr defaultRowHeight="14.4" x14ac:dyDescent="0.3"/>
  <cols>
    <col min="1" max="1" width="20.33203125" bestFit="1" customWidth="1"/>
    <col min="3" max="3" width="98.6640625" bestFit="1" customWidth="1"/>
    <col min="6" max="6" width="107.109375" bestFit="1" customWidth="1"/>
  </cols>
  <sheetData>
    <row r="1" spans="1:6" x14ac:dyDescent="0.3">
      <c r="A1" t="s">
        <v>1475</v>
      </c>
      <c r="B1" t="s">
        <v>1471</v>
      </c>
      <c r="C1" t="s">
        <v>1470</v>
      </c>
      <c r="D1" t="s">
        <v>1472</v>
      </c>
      <c r="E1" t="s">
        <v>1473</v>
      </c>
      <c r="F1" t="s">
        <v>1474</v>
      </c>
    </row>
    <row r="2" spans="1:6" x14ac:dyDescent="0.3">
      <c r="A2" t="s">
        <v>1476</v>
      </c>
      <c r="B2" t="s">
        <v>2</v>
      </c>
      <c r="C2" t="s">
        <v>1477</v>
      </c>
      <c r="D2">
        <v>362</v>
      </c>
      <c r="E2" t="s">
        <v>1478</v>
      </c>
      <c r="F2" t="s">
        <v>1479</v>
      </c>
    </row>
    <row r="3" spans="1:6" x14ac:dyDescent="0.3">
      <c r="A3" t="s">
        <v>1476</v>
      </c>
      <c r="B3" t="s">
        <v>3</v>
      </c>
      <c r="C3" t="s">
        <v>1480</v>
      </c>
      <c r="D3">
        <v>43</v>
      </c>
      <c r="E3" t="s">
        <v>1481</v>
      </c>
      <c r="F3" t="s">
        <v>1482</v>
      </c>
    </row>
    <row r="4" spans="1:6" x14ac:dyDescent="0.3">
      <c r="A4" t="s">
        <v>1476</v>
      </c>
      <c r="B4" t="s">
        <v>6</v>
      </c>
      <c r="C4" t="s">
        <v>1483</v>
      </c>
      <c r="D4">
        <v>278</v>
      </c>
      <c r="E4" t="s">
        <v>1478</v>
      </c>
      <c r="F4" t="s">
        <v>1484</v>
      </c>
    </row>
    <row r="5" spans="1:6" x14ac:dyDescent="0.3">
      <c r="A5" t="s">
        <v>1476</v>
      </c>
      <c r="B5" t="s">
        <v>1485</v>
      </c>
      <c r="C5" t="s">
        <v>1486</v>
      </c>
      <c r="D5">
        <v>90</v>
      </c>
      <c r="E5" t="s">
        <v>1478</v>
      </c>
      <c r="F5" t="s">
        <v>1487</v>
      </c>
    </row>
    <row r="6" spans="1:6" x14ac:dyDescent="0.3">
      <c r="A6" t="s">
        <v>1488</v>
      </c>
      <c r="B6" t="s">
        <v>6</v>
      </c>
      <c r="C6" t="s">
        <v>1483</v>
      </c>
      <c r="D6">
        <v>23</v>
      </c>
      <c r="E6" t="s">
        <v>1478</v>
      </c>
      <c r="F6" t="s">
        <v>1484</v>
      </c>
    </row>
    <row r="7" spans="1:6" x14ac:dyDescent="0.3">
      <c r="A7" t="s">
        <v>1488</v>
      </c>
      <c r="B7" t="s">
        <v>2</v>
      </c>
      <c r="C7" t="s">
        <v>1477</v>
      </c>
      <c r="D7">
        <v>31</v>
      </c>
      <c r="E7" t="s">
        <v>1478</v>
      </c>
      <c r="F7" t="s">
        <v>1479</v>
      </c>
    </row>
    <row r="8" spans="1:6" x14ac:dyDescent="0.3">
      <c r="A8" t="s">
        <v>1488</v>
      </c>
      <c r="B8" t="s">
        <v>1485</v>
      </c>
      <c r="C8" t="s">
        <v>1489</v>
      </c>
      <c r="D8">
        <v>5</v>
      </c>
      <c r="E8" t="s">
        <v>1478</v>
      </c>
      <c r="F8" t="s">
        <v>1487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 table</vt:lpstr>
      <vt:lpstr>Dashboard</vt:lpstr>
      <vt:lpstr>Transactions_Cleaned</vt:lpstr>
      <vt:lpstr>Cardholders_Reference</vt:lpstr>
      <vt:lpstr>Issues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Lehlogonolo  Makhafola</cp:lastModifiedBy>
  <dcterms:created xsi:type="dcterms:W3CDTF">2026-06-19T10:29:52Z</dcterms:created>
  <dcterms:modified xsi:type="dcterms:W3CDTF">2026-07-07T11:58:20Z</dcterms:modified>
</cp:coreProperties>
</file>